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liss\Documents\Work\Sunflower_drought\Sunflower_September2026\input\"/>
    </mc:Choice>
  </mc:AlternateContent>
  <xr:revisionPtr revIDLastSave="0" documentId="13_ncr:1_{C51CBE34-41E6-40B7-B350-D428BC05F6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_data" sheetId="40" r:id="rId1"/>
    <sheet name="HN_WW" sheetId="23" r:id="rId2"/>
    <sheet name="HN_SPD" sheetId="25" r:id="rId3"/>
    <sheet name="HN_FDD" sheetId="27" r:id="rId4"/>
    <sheet name="LN_WW" sheetId="24" r:id="rId5"/>
    <sheet name="LN_SPD" sheetId="26" r:id="rId6"/>
    <sheet name="LN_FDD" sheetId="28" r:id="rId7"/>
  </sheets>
  <definedNames>
    <definedName name="_xlnm._FilterDatabase" localSheetId="3" hidden="1">HN_FDD!$A$1:$R$319</definedName>
    <definedName name="_xlnm._FilterDatabase" localSheetId="2" hidden="1">HN_SPD!$A$1:$R$316</definedName>
    <definedName name="_xlnm._FilterDatabase" localSheetId="1" hidden="1">HN_WW!$A$1:$P$311</definedName>
    <definedName name="_xlnm._FilterDatabase" localSheetId="6" hidden="1">LN_FDD!$A$1:$R$331</definedName>
    <definedName name="_xlnm._FilterDatabase" localSheetId="5" hidden="1">LN_SPD!$A$1:$R$322</definedName>
    <definedName name="_xlnm._FilterDatabase" localSheetId="4" hidden="1">LN_WW!$A$1:$P$313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1" i="24" l="1"/>
  <c r="Q310" i="24"/>
  <c r="Q309" i="24"/>
  <c r="Q308" i="24"/>
  <c r="Q307" i="24"/>
  <c r="Q306" i="24"/>
  <c r="Q305" i="24"/>
  <c r="Q304" i="24"/>
  <c r="Q303" i="24"/>
  <c r="Q302" i="24"/>
  <c r="Q301" i="24"/>
  <c r="Q300" i="24"/>
  <c r="Q299" i="24"/>
  <c r="Q298" i="24"/>
  <c r="Q297" i="24"/>
  <c r="Q296" i="24"/>
  <c r="Q295" i="24"/>
  <c r="Q294" i="24"/>
  <c r="Q293" i="24"/>
  <c r="Q292" i="24"/>
  <c r="Q291" i="24"/>
  <c r="Q290" i="24"/>
  <c r="Q289" i="24"/>
  <c r="Q288" i="24"/>
  <c r="Q287" i="24"/>
  <c r="Q286" i="24"/>
  <c r="Q285" i="24"/>
  <c r="Q284" i="24"/>
  <c r="Q283" i="24"/>
  <c r="Q282" i="24"/>
  <c r="Q281" i="24"/>
  <c r="Q280" i="24"/>
  <c r="Q279" i="24"/>
  <c r="Q278" i="24"/>
  <c r="Q277" i="24"/>
  <c r="Q276" i="24"/>
  <c r="Q275" i="24"/>
  <c r="Q274" i="24"/>
  <c r="Q273" i="24"/>
  <c r="Q272" i="24"/>
  <c r="Q271" i="24"/>
  <c r="Q270" i="24"/>
  <c r="Q269" i="24"/>
  <c r="Q268" i="24"/>
  <c r="Q267" i="24"/>
  <c r="Q266" i="24"/>
  <c r="Q265" i="24"/>
  <c r="Q264" i="24"/>
  <c r="Q263" i="24"/>
  <c r="Q262" i="24"/>
  <c r="Q261" i="24"/>
  <c r="Q260" i="24"/>
  <c r="Q259" i="24"/>
  <c r="Q258" i="24"/>
  <c r="Q257" i="24"/>
  <c r="Q256" i="24"/>
  <c r="Q255" i="24"/>
  <c r="Q254" i="24"/>
  <c r="Q253" i="24"/>
  <c r="Q252" i="24"/>
  <c r="Q251" i="24"/>
  <c r="Q250" i="24"/>
  <c r="Q249" i="24"/>
  <c r="Q248" i="24"/>
  <c r="Q247" i="24"/>
  <c r="Q246" i="24"/>
  <c r="Q245" i="24"/>
  <c r="Q244" i="24"/>
  <c r="Q243" i="24"/>
  <c r="Q242" i="24"/>
  <c r="Q241" i="24"/>
  <c r="Q240" i="24"/>
  <c r="Q239" i="24"/>
  <c r="Q238" i="24"/>
  <c r="Q237" i="24"/>
  <c r="Q236" i="24"/>
  <c r="Q235" i="24"/>
  <c r="Q234" i="24"/>
  <c r="Q233" i="24"/>
  <c r="Q232" i="24"/>
  <c r="Q231" i="24"/>
  <c r="Q230" i="24"/>
  <c r="Q229" i="24"/>
  <c r="Q228" i="24"/>
  <c r="Q227" i="24"/>
  <c r="Q226" i="24"/>
  <c r="Q225" i="24"/>
  <c r="Q224" i="24"/>
  <c r="Q223" i="24"/>
  <c r="Q222" i="24"/>
  <c r="Q221" i="24"/>
  <c r="Q220" i="24"/>
  <c r="Q219" i="24"/>
  <c r="Q218" i="24"/>
  <c r="Q217" i="24"/>
  <c r="Q216" i="24"/>
  <c r="Q215" i="24"/>
  <c r="Q214" i="24"/>
  <c r="Q213" i="24"/>
  <c r="Q212" i="24"/>
  <c r="Q211" i="24"/>
  <c r="Q210" i="24"/>
  <c r="Q209" i="24"/>
  <c r="Q208" i="24"/>
  <c r="Q207" i="24"/>
  <c r="Q206" i="24"/>
  <c r="Q205" i="24"/>
  <c r="Q204" i="24"/>
  <c r="Q203" i="24"/>
  <c r="Q202" i="24"/>
  <c r="Q201" i="24"/>
  <c r="Q200" i="24"/>
  <c r="Q199" i="24"/>
  <c r="Q198" i="24"/>
  <c r="Q197" i="24"/>
  <c r="Q196" i="24"/>
  <c r="Q195" i="24"/>
  <c r="Q194" i="24"/>
  <c r="Q193" i="24"/>
  <c r="Q192" i="24"/>
  <c r="Q191" i="24"/>
  <c r="Q190" i="24"/>
  <c r="Q189" i="24"/>
  <c r="Q188" i="24"/>
  <c r="Q187" i="24"/>
  <c r="Q186" i="24"/>
  <c r="Q185" i="24"/>
  <c r="Q184" i="24"/>
  <c r="Q183" i="24"/>
  <c r="Q182" i="24"/>
  <c r="Q181" i="24"/>
  <c r="Q180" i="24"/>
  <c r="Q179" i="24"/>
  <c r="Q178" i="24"/>
  <c r="Q177" i="24"/>
  <c r="Q176" i="24"/>
  <c r="Q175" i="24"/>
  <c r="Q174" i="24"/>
  <c r="Q173" i="24"/>
  <c r="Q172" i="24"/>
  <c r="Q171" i="24"/>
  <c r="Q170" i="24"/>
  <c r="Q169" i="24"/>
  <c r="Q168" i="24"/>
  <c r="Q167" i="24"/>
  <c r="Q166" i="24"/>
  <c r="Q165" i="24"/>
  <c r="Q164" i="24"/>
  <c r="Q163" i="24"/>
  <c r="Q162" i="24"/>
  <c r="Q161" i="24"/>
  <c r="Q160" i="24"/>
  <c r="Q159" i="24"/>
  <c r="Q158" i="24"/>
  <c r="Q157" i="24"/>
  <c r="Q156" i="24"/>
  <c r="Q155" i="24"/>
  <c r="Q154" i="24"/>
  <c r="Q153" i="24"/>
  <c r="Q152" i="24"/>
  <c r="Q151" i="24"/>
  <c r="Q150" i="24"/>
  <c r="Q149" i="24"/>
  <c r="Q148" i="24"/>
  <c r="Q147" i="24"/>
  <c r="Q146" i="24"/>
  <c r="Q145" i="24"/>
  <c r="Q144" i="24"/>
  <c r="Q143" i="24"/>
  <c r="Q142" i="24"/>
  <c r="Q141" i="24"/>
  <c r="Q140" i="24"/>
  <c r="Q139" i="24"/>
  <c r="Q138" i="24"/>
  <c r="Q137" i="24"/>
  <c r="Q136" i="24"/>
  <c r="Q135" i="24"/>
  <c r="Q134" i="24"/>
  <c r="Q133" i="24"/>
  <c r="Q132" i="24"/>
  <c r="Q131" i="24"/>
  <c r="Q130" i="24"/>
  <c r="Q129" i="24"/>
  <c r="Q128" i="24"/>
  <c r="Q127" i="24"/>
  <c r="Q126" i="24"/>
  <c r="Q125" i="24"/>
  <c r="Q124" i="24"/>
  <c r="Q123" i="24"/>
  <c r="Q122" i="24"/>
  <c r="Q121" i="24"/>
  <c r="Q120" i="24"/>
  <c r="Q119" i="24"/>
  <c r="Q118" i="24"/>
  <c r="Q117" i="24"/>
  <c r="Q116" i="24"/>
  <c r="Q115" i="24"/>
  <c r="Q114" i="24"/>
  <c r="Q113" i="24"/>
  <c r="Q112" i="24"/>
  <c r="Q111" i="24"/>
  <c r="Q110" i="24"/>
  <c r="Q109" i="24"/>
  <c r="Q108" i="24"/>
  <c r="Q107" i="24"/>
  <c r="Q106" i="24"/>
  <c r="Q105" i="24"/>
  <c r="Q104" i="24"/>
  <c r="Q103" i="24"/>
  <c r="Q102" i="24"/>
  <c r="Q101" i="24"/>
  <c r="Q100" i="24"/>
  <c r="Q99" i="24"/>
  <c r="Q98" i="24"/>
  <c r="Q97" i="24"/>
  <c r="Q96" i="24"/>
  <c r="Q95" i="24"/>
  <c r="Q94" i="24"/>
  <c r="Q93" i="24"/>
  <c r="Q92" i="24"/>
  <c r="Q91" i="24"/>
  <c r="Q90" i="24"/>
  <c r="Q89" i="24"/>
  <c r="Q88" i="24"/>
  <c r="Q87" i="24"/>
  <c r="Q86" i="24"/>
  <c r="Q85" i="24"/>
  <c r="Q84" i="24"/>
  <c r="Q83" i="24"/>
  <c r="Q82" i="24"/>
  <c r="Q81" i="24"/>
  <c r="Q80" i="24"/>
  <c r="Q79" i="24"/>
  <c r="Q78" i="24"/>
  <c r="Q77" i="24"/>
  <c r="Q76" i="24"/>
  <c r="Q75" i="24"/>
  <c r="Q74" i="24"/>
  <c r="Q73" i="24"/>
  <c r="Q72" i="24"/>
  <c r="Q71" i="24"/>
  <c r="Q70" i="24"/>
  <c r="Q69" i="24"/>
  <c r="Q68" i="24"/>
  <c r="Q67" i="24"/>
  <c r="Q66" i="24"/>
  <c r="Q65" i="24"/>
  <c r="Q64" i="24"/>
  <c r="Q63" i="24"/>
  <c r="Q62" i="24"/>
  <c r="Q61" i="24"/>
  <c r="Q60" i="24"/>
  <c r="Q59" i="24"/>
  <c r="Q58" i="24"/>
  <c r="Q57" i="24"/>
  <c r="Q56" i="24"/>
  <c r="Q55" i="24"/>
  <c r="Q54" i="24"/>
  <c r="Q53" i="24"/>
  <c r="Q52" i="24"/>
  <c r="Q51" i="24"/>
  <c r="Q50" i="24"/>
  <c r="Q49" i="24"/>
  <c r="Q48" i="24"/>
  <c r="Q47" i="24"/>
  <c r="Q46" i="24"/>
  <c r="Q45" i="24"/>
  <c r="Q44" i="24"/>
  <c r="Q43" i="24"/>
  <c r="Q42" i="24"/>
  <c r="Q41" i="24"/>
  <c r="Q40" i="24"/>
  <c r="Q39" i="24"/>
  <c r="Q38" i="24"/>
  <c r="Q37" i="24"/>
  <c r="Q36" i="24"/>
  <c r="Q35" i="24"/>
  <c r="Q34" i="24"/>
  <c r="Q33" i="24"/>
  <c r="Q32" i="24"/>
  <c r="Q31" i="24"/>
  <c r="Q30" i="24"/>
  <c r="Q29" i="24"/>
  <c r="Q28" i="24"/>
  <c r="Q27" i="24"/>
  <c r="Q26" i="24"/>
  <c r="Q25" i="24"/>
  <c r="Q24" i="24"/>
  <c r="Q23" i="24"/>
  <c r="Q22" i="24"/>
  <c r="Q21" i="24"/>
  <c r="Q20" i="24"/>
  <c r="Q19" i="24"/>
  <c r="Q18" i="24"/>
  <c r="Q17" i="24"/>
  <c r="Q16" i="24"/>
  <c r="Q15" i="24"/>
  <c r="Q14" i="24"/>
  <c r="Q13" i="24"/>
  <c r="Q12" i="24"/>
  <c r="Q11" i="24"/>
  <c r="Q10" i="24"/>
  <c r="Q9" i="24"/>
  <c r="Q8" i="24"/>
  <c r="Q7" i="24"/>
  <c r="Q6" i="24"/>
  <c r="Q5" i="24"/>
  <c r="Q4" i="24"/>
  <c r="Q3" i="24"/>
  <c r="Q2" i="24"/>
  <c r="Q3" i="23"/>
  <c r="Q4" i="23"/>
  <c r="Q5" i="23"/>
  <c r="Q6" i="23"/>
  <c r="Q7" i="23"/>
  <c r="Q8" i="23"/>
  <c r="Q9" i="23"/>
  <c r="Q10" i="23"/>
  <c r="Q11" i="23"/>
  <c r="Q12" i="23"/>
  <c r="Q13" i="23"/>
  <c r="Q14" i="23"/>
  <c r="Q15" i="23"/>
  <c r="Q16" i="23"/>
  <c r="Q17" i="23"/>
  <c r="Q18" i="23"/>
  <c r="Q19" i="23"/>
  <c r="Q20" i="23"/>
  <c r="Q21" i="23"/>
  <c r="Q22" i="23"/>
  <c r="Q23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9" i="23"/>
  <c r="Q40" i="23"/>
  <c r="Q41" i="23"/>
  <c r="Q42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6" i="23"/>
  <c r="Q57" i="23"/>
  <c r="Q58" i="23"/>
  <c r="Q59" i="23"/>
  <c r="Q60" i="23"/>
  <c r="Q61" i="23"/>
  <c r="Q62" i="23"/>
  <c r="Q63" i="23"/>
  <c r="Q64" i="23"/>
  <c r="Q65" i="23"/>
  <c r="Q66" i="23"/>
  <c r="Q67" i="23"/>
  <c r="Q68" i="23"/>
  <c r="Q69" i="23"/>
  <c r="Q70" i="23"/>
  <c r="Q71" i="23"/>
  <c r="Q72" i="23"/>
  <c r="Q73" i="23"/>
  <c r="Q74" i="23"/>
  <c r="Q75" i="23"/>
  <c r="Q76" i="23"/>
  <c r="Q77" i="23"/>
  <c r="Q78" i="23"/>
  <c r="Q79" i="23"/>
  <c r="Q80" i="23"/>
  <c r="Q81" i="23"/>
  <c r="Q82" i="23"/>
  <c r="Q83" i="23"/>
  <c r="Q84" i="23"/>
  <c r="Q85" i="23"/>
  <c r="Q86" i="23"/>
  <c r="Q87" i="23"/>
  <c r="Q88" i="23"/>
  <c r="Q89" i="23"/>
  <c r="Q90" i="23"/>
  <c r="Q91" i="23"/>
  <c r="Q92" i="23"/>
  <c r="Q93" i="23"/>
  <c r="Q94" i="23"/>
  <c r="Q95" i="23"/>
  <c r="Q96" i="23"/>
  <c r="Q97" i="23"/>
  <c r="Q98" i="23"/>
  <c r="Q99" i="23"/>
  <c r="Q100" i="23"/>
  <c r="Q101" i="23"/>
  <c r="Q102" i="23"/>
  <c r="Q103" i="23"/>
  <c r="Q104" i="23"/>
  <c r="Q105" i="23"/>
  <c r="Q106" i="23"/>
  <c r="Q107" i="23"/>
  <c r="Q108" i="23"/>
  <c r="Q109" i="23"/>
  <c r="Q110" i="23"/>
  <c r="Q111" i="23"/>
  <c r="Q112" i="23"/>
  <c r="Q113" i="23"/>
  <c r="Q114" i="23"/>
  <c r="Q115" i="23"/>
  <c r="Q116" i="23"/>
  <c r="Q117" i="23"/>
  <c r="Q118" i="23"/>
  <c r="Q119" i="23"/>
  <c r="Q120" i="23"/>
  <c r="Q121" i="23"/>
  <c r="Q122" i="23"/>
  <c r="Q123" i="23"/>
  <c r="Q124" i="23"/>
  <c r="Q125" i="23"/>
  <c r="Q126" i="23"/>
  <c r="Q127" i="23"/>
  <c r="Q128" i="23"/>
  <c r="Q129" i="23"/>
  <c r="Q130" i="23"/>
  <c r="Q131" i="23"/>
  <c r="Q132" i="23"/>
  <c r="Q133" i="23"/>
  <c r="Q134" i="23"/>
  <c r="Q135" i="23"/>
  <c r="Q136" i="23"/>
  <c r="Q137" i="23"/>
  <c r="Q138" i="23"/>
  <c r="Q139" i="23"/>
  <c r="Q140" i="23"/>
  <c r="Q141" i="23"/>
  <c r="Q142" i="23"/>
  <c r="Q143" i="23"/>
  <c r="Q144" i="23"/>
  <c r="Q145" i="23"/>
  <c r="Q146" i="23"/>
  <c r="Q147" i="23"/>
  <c r="Q148" i="23"/>
  <c r="Q149" i="23"/>
  <c r="Q150" i="23"/>
  <c r="Q151" i="23"/>
  <c r="Q152" i="23"/>
  <c r="Q153" i="23"/>
  <c r="Q154" i="23"/>
  <c r="Q155" i="23"/>
  <c r="Q156" i="23"/>
  <c r="Q157" i="23"/>
  <c r="Q158" i="23"/>
  <c r="Q159" i="23"/>
  <c r="Q160" i="23"/>
  <c r="Q161" i="23"/>
  <c r="Q162" i="23"/>
  <c r="Q163" i="23"/>
  <c r="Q164" i="23"/>
  <c r="Q165" i="23"/>
  <c r="Q166" i="23"/>
  <c r="Q167" i="23"/>
  <c r="Q168" i="23"/>
  <c r="Q169" i="23"/>
  <c r="Q170" i="23"/>
  <c r="Q171" i="23"/>
  <c r="Q172" i="23"/>
  <c r="Q173" i="23"/>
  <c r="Q174" i="23"/>
  <c r="Q175" i="23"/>
  <c r="Q176" i="23"/>
  <c r="Q177" i="23"/>
  <c r="Q178" i="23"/>
  <c r="Q179" i="23"/>
  <c r="Q180" i="23"/>
  <c r="Q181" i="23"/>
  <c r="Q182" i="23"/>
  <c r="Q183" i="23"/>
  <c r="Q184" i="23"/>
  <c r="Q185" i="23"/>
  <c r="Q186" i="23"/>
  <c r="Q187" i="23"/>
  <c r="Q188" i="23"/>
  <c r="Q189" i="23"/>
  <c r="Q190" i="23"/>
  <c r="Q191" i="23"/>
  <c r="Q192" i="23"/>
  <c r="Q193" i="23"/>
  <c r="Q194" i="23"/>
  <c r="Q195" i="23"/>
  <c r="Q196" i="23"/>
  <c r="Q197" i="23"/>
  <c r="Q198" i="23"/>
  <c r="Q199" i="23"/>
  <c r="Q200" i="23"/>
  <c r="Q201" i="23"/>
  <c r="Q202" i="23"/>
  <c r="Q203" i="23"/>
  <c r="Q204" i="23"/>
  <c r="Q205" i="23"/>
  <c r="Q206" i="23"/>
  <c r="Q207" i="23"/>
  <c r="Q208" i="23"/>
  <c r="Q209" i="23"/>
  <c r="Q210" i="23"/>
  <c r="Q211" i="23"/>
  <c r="Q212" i="23"/>
  <c r="Q213" i="23"/>
  <c r="Q214" i="23"/>
  <c r="Q215" i="23"/>
  <c r="Q216" i="23"/>
  <c r="Q217" i="23"/>
  <c r="Q218" i="23"/>
  <c r="Q219" i="23"/>
  <c r="Q220" i="23"/>
  <c r="Q221" i="23"/>
  <c r="Q222" i="23"/>
  <c r="Q223" i="23"/>
  <c r="Q224" i="23"/>
  <c r="Q225" i="23"/>
  <c r="Q226" i="23"/>
  <c r="Q227" i="23"/>
  <c r="Q228" i="23"/>
  <c r="Q229" i="23"/>
  <c r="Q230" i="23"/>
  <c r="Q231" i="23"/>
  <c r="Q232" i="23"/>
  <c r="Q233" i="23"/>
  <c r="Q234" i="23"/>
  <c r="Q235" i="23"/>
  <c r="Q236" i="23"/>
  <c r="Q237" i="23"/>
  <c r="Q238" i="23"/>
  <c r="Q239" i="23"/>
  <c r="Q240" i="23"/>
  <c r="Q241" i="23"/>
  <c r="Q242" i="23"/>
  <c r="Q243" i="23"/>
  <c r="Q244" i="23"/>
  <c r="Q245" i="23"/>
  <c r="Q246" i="23"/>
  <c r="Q247" i="23"/>
  <c r="Q248" i="23"/>
  <c r="Q249" i="23"/>
  <c r="Q250" i="23"/>
  <c r="Q251" i="23"/>
  <c r="Q252" i="23"/>
  <c r="Q253" i="23"/>
  <c r="Q254" i="23"/>
  <c r="Q255" i="23"/>
  <c r="Q256" i="23"/>
  <c r="Q257" i="23"/>
  <c r="Q258" i="23"/>
  <c r="Q259" i="23"/>
  <c r="Q260" i="23"/>
  <c r="Q261" i="23"/>
  <c r="Q262" i="23"/>
  <c r="Q263" i="23"/>
  <c r="Q264" i="23"/>
  <c r="Q265" i="23"/>
  <c r="Q266" i="23"/>
  <c r="Q267" i="23"/>
  <c r="Q268" i="23"/>
  <c r="Q269" i="23"/>
  <c r="Q270" i="23"/>
  <c r="Q271" i="23"/>
  <c r="Q272" i="23"/>
  <c r="Q273" i="23"/>
  <c r="Q274" i="23"/>
  <c r="Q275" i="23"/>
  <c r="Q276" i="23"/>
  <c r="Q277" i="23"/>
  <c r="Q278" i="23"/>
  <c r="Q279" i="23"/>
  <c r="Q280" i="23"/>
  <c r="Q281" i="23"/>
  <c r="Q282" i="23"/>
  <c r="Q283" i="23"/>
  <c r="Q284" i="23"/>
  <c r="Q285" i="23"/>
  <c r="Q286" i="23"/>
  <c r="Q287" i="23"/>
  <c r="Q288" i="23"/>
  <c r="Q289" i="23"/>
  <c r="Q290" i="23"/>
  <c r="Q291" i="23"/>
  <c r="Q292" i="23"/>
  <c r="Q293" i="23"/>
  <c r="Q294" i="23"/>
  <c r="Q295" i="23"/>
  <c r="Q296" i="23"/>
  <c r="Q297" i="23"/>
  <c r="Q298" i="23"/>
  <c r="Q299" i="23"/>
  <c r="Q300" i="23"/>
  <c r="Q301" i="23"/>
  <c r="Q302" i="23"/>
  <c r="Q303" i="23"/>
  <c r="Q304" i="23"/>
  <c r="Q305" i="23"/>
  <c r="Q306" i="23"/>
  <c r="Q307" i="23"/>
  <c r="Q308" i="23"/>
  <c r="Q309" i="23"/>
  <c r="Q310" i="23"/>
  <c r="Q311" i="23"/>
  <c r="Q2" i="23"/>
  <c r="I2" i="26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H6" i="25"/>
  <c r="H7" i="25"/>
  <c r="G318" i="23"/>
  <c r="G317" i="23"/>
  <c r="G316" i="23"/>
  <c r="H33" i="28"/>
  <c r="H195" i="28"/>
  <c r="H272" i="28"/>
  <c r="H312" i="28"/>
  <c r="H311" i="28"/>
  <c r="H269" i="28"/>
  <c r="H230" i="28"/>
  <c r="H191" i="28"/>
  <c r="H63" i="28"/>
  <c r="H282" i="26"/>
  <c r="H162" i="26"/>
  <c r="H81" i="26"/>
  <c r="H281" i="26"/>
  <c r="H161" i="26"/>
  <c r="H80" i="26"/>
  <c r="H279" i="26"/>
  <c r="H78" i="26"/>
  <c r="H278" i="26"/>
  <c r="H239" i="26"/>
  <c r="H200" i="26"/>
  <c r="H158" i="26"/>
  <c r="H77" i="26"/>
  <c r="H277" i="26"/>
  <c r="H238" i="26"/>
  <c r="H157" i="26"/>
  <c r="H76" i="26"/>
  <c r="H276" i="26"/>
  <c r="H156" i="26"/>
  <c r="H117" i="26"/>
  <c r="H75" i="26"/>
  <c r="H275" i="26"/>
  <c r="H236" i="26"/>
  <c r="H155" i="26"/>
  <c r="H74" i="26"/>
  <c r="H316" i="26"/>
  <c r="H274" i="26"/>
  <c r="H154" i="26"/>
  <c r="H73" i="26"/>
  <c r="H315" i="26"/>
  <c r="H273" i="26"/>
  <c r="H234" i="26"/>
  <c r="H195" i="26"/>
  <c r="H153" i="26"/>
  <c r="H114" i="26"/>
  <c r="H72" i="26"/>
  <c r="H33" i="26"/>
  <c r="H314" i="26"/>
  <c r="H233" i="26"/>
  <c r="H194" i="26"/>
  <c r="H113" i="26"/>
  <c r="H32" i="26"/>
  <c r="H313" i="26"/>
  <c r="H271" i="26"/>
  <c r="H232" i="26"/>
  <c r="H151" i="26"/>
  <c r="H193" i="26"/>
  <c r="H112" i="26"/>
  <c r="H70" i="26"/>
  <c r="H31" i="26"/>
  <c r="H69" i="26"/>
  <c r="H270" i="26"/>
  <c r="H150" i="26"/>
  <c r="H312" i="26"/>
  <c r="H231" i="26"/>
  <c r="H192" i="26"/>
  <c r="H111" i="26"/>
  <c r="H30" i="26"/>
  <c r="H311" i="26"/>
  <c r="H269" i="26"/>
  <c r="H230" i="26"/>
  <c r="H191" i="26"/>
  <c r="H149" i="26"/>
  <c r="H110" i="26"/>
  <c r="H68" i="26"/>
  <c r="H29" i="26"/>
  <c r="H148" i="26"/>
  <c r="H67" i="26"/>
  <c r="H310" i="26"/>
  <c r="H268" i="26"/>
  <c r="H229" i="26"/>
  <c r="H190" i="26"/>
  <c r="H109" i="26"/>
  <c r="H28" i="26"/>
  <c r="H147" i="26"/>
  <c r="H66" i="26"/>
  <c r="H309" i="26"/>
  <c r="H267" i="26"/>
  <c r="H228" i="26"/>
  <c r="H189" i="26"/>
  <c r="H108" i="26"/>
  <c r="H27" i="26"/>
  <c r="H308" i="26"/>
  <c r="H227" i="26"/>
  <c r="H188" i="26"/>
  <c r="H146" i="26"/>
  <c r="H107" i="26"/>
  <c r="H26" i="26"/>
  <c r="H264" i="26"/>
  <c r="H144" i="26"/>
  <c r="H63" i="26"/>
  <c r="H305" i="26"/>
  <c r="H263" i="26"/>
  <c r="H224" i="26"/>
  <c r="H185" i="26"/>
  <c r="H143" i="26"/>
  <c r="H104" i="26"/>
  <c r="H62" i="26"/>
  <c r="H23" i="26"/>
  <c r="H142" i="26"/>
  <c r="H223" i="26"/>
  <c r="H184" i="26"/>
  <c r="H304" i="26"/>
  <c r="H262" i="26"/>
  <c r="H103" i="26"/>
  <c r="H61" i="26"/>
  <c r="H22" i="26"/>
  <c r="H303" i="26"/>
  <c r="H261" i="26"/>
  <c r="H141" i="26"/>
  <c r="H102" i="26"/>
  <c r="H302" i="26"/>
  <c r="H221" i="26"/>
  <c r="H182" i="26"/>
  <c r="H101" i="26"/>
  <c r="H20" i="26"/>
  <c r="H301" i="26"/>
  <c r="H220" i="26"/>
  <c r="H181" i="26"/>
  <c r="H100" i="26"/>
  <c r="H19" i="26"/>
  <c r="I32" i="27"/>
  <c r="I71" i="27"/>
  <c r="I152" i="27"/>
  <c r="I191" i="27"/>
  <c r="I230" i="27"/>
  <c r="I269" i="27"/>
  <c r="H107" i="27"/>
  <c r="H106" i="27"/>
  <c r="H303" i="27"/>
  <c r="H105" i="27"/>
  <c r="H302" i="27"/>
  <c r="H224" i="27"/>
  <c r="H185" i="27"/>
  <c r="H104" i="27"/>
  <c r="H65" i="27"/>
  <c r="H182" i="27"/>
  <c r="H62" i="27"/>
  <c r="H259" i="27"/>
  <c r="H220" i="27"/>
  <c r="H181" i="27"/>
  <c r="H142" i="27"/>
  <c r="H61" i="27"/>
  <c r="H22" i="27"/>
  <c r="H297" i="27"/>
  <c r="H258" i="27"/>
  <c r="H99" i="27"/>
  <c r="H219" i="27"/>
  <c r="H141" i="27"/>
  <c r="H21" i="27"/>
  <c r="H314" i="25"/>
  <c r="H275" i="25"/>
  <c r="H236" i="25"/>
  <c r="H194" i="25"/>
  <c r="H155" i="25"/>
  <c r="H116" i="25"/>
  <c r="H77" i="25"/>
  <c r="H38" i="25"/>
  <c r="H69" i="25"/>
  <c r="H186" i="25"/>
  <c r="H182" i="25"/>
  <c r="H180" i="25"/>
  <c r="H179" i="25"/>
  <c r="H297" i="25"/>
  <c r="H258" i="25"/>
  <c r="H219" i="25"/>
  <c r="H138" i="25"/>
  <c r="H99" i="25"/>
  <c r="H60" i="25"/>
  <c r="H21" i="25"/>
  <c r="H292" i="25"/>
  <c r="H253" i="25"/>
  <c r="H214" i="25"/>
  <c r="H172" i="25"/>
  <c r="H133" i="25"/>
  <c r="H94" i="25"/>
  <c r="H55" i="25"/>
  <c r="H16" i="25"/>
  <c r="H291" i="25"/>
  <c r="H252" i="25"/>
  <c r="H213" i="25"/>
  <c r="H132" i="25"/>
  <c r="H93" i="25"/>
  <c r="H54" i="25"/>
  <c r="H15" i="25"/>
  <c r="H290" i="25"/>
  <c r="H251" i="25"/>
  <c r="H212" i="25"/>
  <c r="H131" i="25"/>
  <c r="H92" i="25"/>
  <c r="H53" i="25"/>
  <c r="H14" i="25"/>
  <c r="H289" i="25"/>
  <c r="H250" i="25"/>
  <c r="H211" i="25"/>
  <c r="H130" i="25"/>
  <c r="H91" i="25"/>
  <c r="H52" i="25"/>
  <c r="H13" i="25"/>
  <c r="H178" i="23"/>
  <c r="O291" i="28"/>
  <c r="O292" i="28" s="1"/>
  <c r="P290" i="28"/>
  <c r="O249" i="28"/>
  <c r="P249" i="28" s="1"/>
  <c r="P248" i="28"/>
  <c r="O210" i="28"/>
  <c r="O211" i="28" s="1"/>
  <c r="P209" i="28"/>
  <c r="O171" i="28"/>
  <c r="P171" i="28" s="1"/>
  <c r="P170" i="28"/>
  <c r="O129" i="28"/>
  <c r="O130" i="28" s="1"/>
  <c r="P128" i="28"/>
  <c r="O87" i="28"/>
  <c r="O88" i="28" s="1"/>
  <c r="P86" i="28"/>
  <c r="O45" i="28"/>
  <c r="O46" i="28" s="1"/>
  <c r="P44" i="28"/>
  <c r="O3" i="28"/>
  <c r="O4" i="28" s="1"/>
  <c r="P2" i="28"/>
  <c r="O285" i="26"/>
  <c r="O286" i="26" s="1"/>
  <c r="P284" i="26"/>
  <c r="O243" i="26"/>
  <c r="O244" i="26" s="1"/>
  <c r="P242" i="26"/>
  <c r="O204" i="26"/>
  <c r="O205" i="26" s="1"/>
  <c r="P203" i="26"/>
  <c r="O165" i="26"/>
  <c r="O166" i="26" s="1"/>
  <c r="P164" i="26"/>
  <c r="O123" i="26"/>
  <c r="P123" i="26" s="1"/>
  <c r="P122" i="26"/>
  <c r="O84" i="26"/>
  <c r="P84" i="26" s="1"/>
  <c r="P83" i="26"/>
  <c r="O42" i="26"/>
  <c r="O43" i="26" s="1"/>
  <c r="P41" i="26"/>
  <c r="O3" i="26"/>
  <c r="O4" i="26" s="1"/>
  <c r="P2" i="26"/>
  <c r="O276" i="24"/>
  <c r="O277" i="24" s="1"/>
  <c r="P275" i="24"/>
  <c r="O237" i="24"/>
  <c r="O238" i="24" s="1"/>
  <c r="P236" i="24"/>
  <c r="O198" i="24"/>
  <c r="O199" i="24" s="1"/>
  <c r="P197" i="24"/>
  <c r="O159" i="24"/>
  <c r="O160" i="24" s="1"/>
  <c r="P158" i="24"/>
  <c r="O120" i="24"/>
  <c r="P120" i="24" s="1"/>
  <c r="P119" i="24"/>
  <c r="O81" i="24"/>
  <c r="O82" i="24" s="1"/>
  <c r="P80" i="24"/>
  <c r="O42" i="24"/>
  <c r="O43" i="24" s="1"/>
  <c r="P41" i="24"/>
  <c r="P2" i="24"/>
  <c r="O3" i="24"/>
  <c r="O4" i="24" s="1"/>
  <c r="P4" i="24" s="1"/>
  <c r="O279" i="27"/>
  <c r="O280" i="27" s="1"/>
  <c r="P278" i="27"/>
  <c r="O240" i="27"/>
  <c r="P240" i="27" s="1"/>
  <c r="P239" i="27"/>
  <c r="O201" i="27"/>
  <c r="O202" i="27" s="1"/>
  <c r="P200" i="27"/>
  <c r="O162" i="27"/>
  <c r="O163" i="27" s="1"/>
  <c r="P161" i="27"/>
  <c r="O123" i="27"/>
  <c r="O124" i="27" s="1"/>
  <c r="P122" i="27"/>
  <c r="O81" i="27"/>
  <c r="P81" i="27" s="1"/>
  <c r="P80" i="27"/>
  <c r="O42" i="27"/>
  <c r="O43" i="27" s="1"/>
  <c r="P41" i="27"/>
  <c r="O3" i="27"/>
  <c r="O4" i="27" s="1"/>
  <c r="P2" i="27"/>
  <c r="O279" i="25"/>
  <c r="O280" i="25" s="1"/>
  <c r="P278" i="25"/>
  <c r="O240" i="25"/>
  <c r="O241" i="25" s="1"/>
  <c r="P239" i="25"/>
  <c r="O201" i="25"/>
  <c r="O202" i="25" s="1"/>
  <c r="P200" i="25"/>
  <c r="O159" i="25"/>
  <c r="O160" i="25" s="1"/>
  <c r="P158" i="25"/>
  <c r="O120" i="25"/>
  <c r="O121" i="25" s="1"/>
  <c r="P119" i="25"/>
  <c r="O81" i="25"/>
  <c r="O82" i="25" s="1"/>
  <c r="P80" i="25"/>
  <c r="O42" i="25"/>
  <c r="O43" i="25" s="1"/>
  <c r="P41" i="25"/>
  <c r="P2" i="25"/>
  <c r="O3" i="25"/>
  <c r="P3" i="25" s="1"/>
  <c r="P196" i="23"/>
  <c r="P235" i="23"/>
  <c r="P274" i="23"/>
  <c r="P119" i="23"/>
  <c r="P80" i="23"/>
  <c r="P41" i="23"/>
  <c r="P2" i="23"/>
  <c r="O275" i="23"/>
  <c r="O276" i="23" s="1"/>
  <c r="O277" i="23" s="1"/>
  <c r="O278" i="23" s="1"/>
  <c r="O279" i="23" s="1"/>
  <c r="O280" i="23" s="1"/>
  <c r="O281" i="23" s="1"/>
  <c r="O282" i="23" s="1"/>
  <c r="O283" i="23" s="1"/>
  <c r="O284" i="23" s="1"/>
  <c r="O285" i="23" s="1"/>
  <c r="O286" i="23" s="1"/>
  <c r="O287" i="23" s="1"/>
  <c r="O288" i="23" s="1"/>
  <c r="O289" i="23" s="1"/>
  <c r="O290" i="23" s="1"/>
  <c r="O291" i="23" s="1"/>
  <c r="O292" i="23" s="1"/>
  <c r="O293" i="23" s="1"/>
  <c r="O294" i="23" s="1"/>
  <c r="O295" i="23" s="1"/>
  <c r="O296" i="23" s="1"/>
  <c r="O297" i="23" s="1"/>
  <c r="O298" i="23" s="1"/>
  <c r="O299" i="23" s="1"/>
  <c r="O300" i="23" s="1"/>
  <c r="O301" i="23" s="1"/>
  <c r="O302" i="23" s="1"/>
  <c r="O303" i="23" s="1"/>
  <c r="O304" i="23" s="1"/>
  <c r="O305" i="23" s="1"/>
  <c r="O306" i="23" s="1"/>
  <c r="O307" i="23" s="1"/>
  <c r="O308" i="23" s="1"/>
  <c r="O309" i="23" s="1"/>
  <c r="O310" i="23" s="1"/>
  <c r="O311" i="23" s="1"/>
  <c r="P311" i="23" s="1"/>
  <c r="O236" i="23"/>
  <c r="O237" i="23" s="1"/>
  <c r="O238" i="23" s="1"/>
  <c r="O239" i="23" s="1"/>
  <c r="O240" i="23" s="1"/>
  <c r="O241" i="23" s="1"/>
  <c r="O242" i="23" s="1"/>
  <c r="O243" i="23" s="1"/>
  <c r="O244" i="23" s="1"/>
  <c r="O245" i="23" s="1"/>
  <c r="O246" i="23" s="1"/>
  <c r="O247" i="23" s="1"/>
  <c r="O248" i="23" s="1"/>
  <c r="O249" i="23" s="1"/>
  <c r="O250" i="23" s="1"/>
  <c r="O251" i="23" s="1"/>
  <c r="O252" i="23" s="1"/>
  <c r="O253" i="23" s="1"/>
  <c r="O254" i="23" s="1"/>
  <c r="O255" i="23" s="1"/>
  <c r="O256" i="23" s="1"/>
  <c r="O257" i="23" s="1"/>
  <c r="O258" i="23" s="1"/>
  <c r="O259" i="23" s="1"/>
  <c r="O260" i="23" s="1"/>
  <c r="O261" i="23" s="1"/>
  <c r="O262" i="23" s="1"/>
  <c r="O263" i="23" s="1"/>
  <c r="O264" i="23" s="1"/>
  <c r="O265" i="23" s="1"/>
  <c r="O266" i="23" s="1"/>
  <c r="O267" i="23" s="1"/>
  <c r="O268" i="23" s="1"/>
  <c r="O269" i="23" s="1"/>
  <c r="O270" i="23" s="1"/>
  <c r="O271" i="23" s="1"/>
  <c r="O272" i="23" s="1"/>
  <c r="O273" i="23" s="1"/>
  <c r="P273" i="23" s="1"/>
  <c r="O197" i="23"/>
  <c r="O198" i="23" s="1"/>
  <c r="O199" i="23" s="1"/>
  <c r="O200" i="23" s="1"/>
  <c r="O201" i="23" s="1"/>
  <c r="O202" i="23" s="1"/>
  <c r="O203" i="23" s="1"/>
  <c r="O204" i="23" s="1"/>
  <c r="O205" i="23" s="1"/>
  <c r="O206" i="23" s="1"/>
  <c r="O207" i="23" s="1"/>
  <c r="O208" i="23" s="1"/>
  <c r="O209" i="23" s="1"/>
  <c r="O210" i="23" s="1"/>
  <c r="O211" i="23" s="1"/>
  <c r="O212" i="23" s="1"/>
  <c r="O213" i="23" s="1"/>
  <c r="O214" i="23" s="1"/>
  <c r="O215" i="23" s="1"/>
  <c r="O216" i="23" s="1"/>
  <c r="O217" i="23" s="1"/>
  <c r="O218" i="23" s="1"/>
  <c r="O219" i="23" s="1"/>
  <c r="O220" i="23" s="1"/>
  <c r="O221" i="23" s="1"/>
  <c r="O222" i="23" s="1"/>
  <c r="O223" i="23" s="1"/>
  <c r="O224" i="23" s="1"/>
  <c r="O225" i="23" s="1"/>
  <c r="O226" i="23" s="1"/>
  <c r="O227" i="23" s="1"/>
  <c r="O228" i="23" s="1"/>
  <c r="O229" i="23" s="1"/>
  <c r="O230" i="23" s="1"/>
  <c r="O231" i="23" s="1"/>
  <c r="O232" i="23" s="1"/>
  <c r="O233" i="23" s="1"/>
  <c r="O234" i="23" s="1"/>
  <c r="P234" i="23" s="1"/>
  <c r="O158" i="23"/>
  <c r="O159" i="23" s="1"/>
  <c r="O160" i="23" s="1"/>
  <c r="O161" i="23" s="1"/>
  <c r="O162" i="23" s="1"/>
  <c r="O163" i="23" s="1"/>
  <c r="O164" i="23" s="1"/>
  <c r="O165" i="23" s="1"/>
  <c r="O166" i="23" s="1"/>
  <c r="O167" i="23" s="1"/>
  <c r="O168" i="23" s="1"/>
  <c r="O169" i="23" s="1"/>
  <c r="O170" i="23" s="1"/>
  <c r="O171" i="23" s="1"/>
  <c r="O172" i="23" s="1"/>
  <c r="O173" i="23" s="1"/>
  <c r="O174" i="23" s="1"/>
  <c r="O175" i="23" s="1"/>
  <c r="O176" i="23" s="1"/>
  <c r="O177" i="23" s="1"/>
  <c r="O178" i="23" s="1"/>
  <c r="O179" i="23" s="1"/>
  <c r="O180" i="23" s="1"/>
  <c r="O181" i="23" s="1"/>
  <c r="O182" i="23" s="1"/>
  <c r="O183" i="23" s="1"/>
  <c r="O184" i="23" s="1"/>
  <c r="O185" i="23" s="1"/>
  <c r="O186" i="23" s="1"/>
  <c r="O187" i="23" s="1"/>
  <c r="O188" i="23" s="1"/>
  <c r="O189" i="23" s="1"/>
  <c r="O190" i="23" s="1"/>
  <c r="O191" i="23" s="1"/>
  <c r="O192" i="23" s="1"/>
  <c r="O193" i="23" s="1"/>
  <c r="O194" i="23" s="1"/>
  <c r="O195" i="23" s="1"/>
  <c r="P195" i="23" s="1"/>
  <c r="O120" i="23"/>
  <c r="O121" i="23" s="1"/>
  <c r="O122" i="23" s="1"/>
  <c r="O123" i="23" s="1"/>
  <c r="O124" i="23" s="1"/>
  <c r="O125" i="23" s="1"/>
  <c r="O126" i="23" s="1"/>
  <c r="O127" i="23" s="1"/>
  <c r="O128" i="23" s="1"/>
  <c r="O129" i="23" s="1"/>
  <c r="O130" i="23" s="1"/>
  <c r="O131" i="23" s="1"/>
  <c r="O132" i="23" s="1"/>
  <c r="O133" i="23" s="1"/>
  <c r="O134" i="23" s="1"/>
  <c r="O135" i="23" s="1"/>
  <c r="O136" i="23" s="1"/>
  <c r="O137" i="23" s="1"/>
  <c r="O138" i="23" s="1"/>
  <c r="O139" i="23" s="1"/>
  <c r="O140" i="23" s="1"/>
  <c r="O141" i="23" s="1"/>
  <c r="O142" i="23" s="1"/>
  <c r="O143" i="23" s="1"/>
  <c r="O144" i="23" s="1"/>
  <c r="O145" i="23" s="1"/>
  <c r="O146" i="23" s="1"/>
  <c r="O147" i="23" s="1"/>
  <c r="O148" i="23" s="1"/>
  <c r="O149" i="23" s="1"/>
  <c r="O150" i="23" s="1"/>
  <c r="O151" i="23" s="1"/>
  <c r="O152" i="23" s="1"/>
  <c r="O153" i="23" s="1"/>
  <c r="O154" i="23" s="1"/>
  <c r="O155" i="23" s="1"/>
  <c r="O156" i="23" s="1"/>
  <c r="P156" i="23" s="1"/>
  <c r="O81" i="23"/>
  <c r="O82" i="23" s="1"/>
  <c r="O83" i="23" s="1"/>
  <c r="O84" i="23" s="1"/>
  <c r="O85" i="23" s="1"/>
  <c r="O86" i="23" s="1"/>
  <c r="O87" i="23" s="1"/>
  <c r="O88" i="23" s="1"/>
  <c r="O89" i="23" s="1"/>
  <c r="O90" i="23" s="1"/>
  <c r="O91" i="23" s="1"/>
  <c r="O92" i="23" s="1"/>
  <c r="O93" i="23" s="1"/>
  <c r="O94" i="23" s="1"/>
  <c r="O95" i="23" s="1"/>
  <c r="O96" i="23" s="1"/>
  <c r="O97" i="23" s="1"/>
  <c r="O98" i="23" s="1"/>
  <c r="O99" i="23" s="1"/>
  <c r="O100" i="23" s="1"/>
  <c r="O101" i="23" s="1"/>
  <c r="O102" i="23" s="1"/>
  <c r="O103" i="23" s="1"/>
  <c r="O104" i="23" s="1"/>
  <c r="O105" i="23" s="1"/>
  <c r="O106" i="23" s="1"/>
  <c r="O107" i="23" s="1"/>
  <c r="O108" i="23" s="1"/>
  <c r="O109" i="23" s="1"/>
  <c r="O110" i="23" s="1"/>
  <c r="O111" i="23" s="1"/>
  <c r="O112" i="23" s="1"/>
  <c r="O113" i="23" s="1"/>
  <c r="O114" i="23" s="1"/>
  <c r="O115" i="23" s="1"/>
  <c r="O116" i="23" s="1"/>
  <c r="O117" i="23" s="1"/>
  <c r="P117" i="23" s="1"/>
  <c r="O42" i="23"/>
  <c r="O43" i="23" s="1"/>
  <c r="O44" i="23" s="1"/>
  <c r="O45" i="23" s="1"/>
  <c r="O46" i="23" s="1"/>
  <c r="O47" i="23" s="1"/>
  <c r="O48" i="23" s="1"/>
  <c r="O49" i="23" s="1"/>
  <c r="O50" i="23" s="1"/>
  <c r="O51" i="23" s="1"/>
  <c r="O52" i="23" s="1"/>
  <c r="O53" i="23" s="1"/>
  <c r="O54" i="23" s="1"/>
  <c r="O55" i="23" s="1"/>
  <c r="O56" i="23" s="1"/>
  <c r="O57" i="23" s="1"/>
  <c r="O58" i="23" s="1"/>
  <c r="O59" i="23" s="1"/>
  <c r="O60" i="23" s="1"/>
  <c r="O61" i="23" s="1"/>
  <c r="O62" i="23" s="1"/>
  <c r="O63" i="23" s="1"/>
  <c r="O64" i="23" s="1"/>
  <c r="O65" i="23" s="1"/>
  <c r="O66" i="23" s="1"/>
  <c r="O67" i="23" s="1"/>
  <c r="O68" i="23" s="1"/>
  <c r="O69" i="23" s="1"/>
  <c r="O70" i="23" s="1"/>
  <c r="O71" i="23" s="1"/>
  <c r="O72" i="23" s="1"/>
  <c r="O73" i="23" s="1"/>
  <c r="O74" i="23" s="1"/>
  <c r="O75" i="23" s="1"/>
  <c r="O76" i="23" s="1"/>
  <c r="O77" i="23" s="1"/>
  <c r="O78" i="23" s="1"/>
  <c r="P78" i="23" s="1"/>
  <c r="O3" i="23"/>
  <c r="O4" i="23" s="1"/>
  <c r="O5" i="23" s="1"/>
  <c r="O6" i="23" s="1"/>
  <c r="O7" i="23" s="1"/>
  <c r="O8" i="23" s="1"/>
  <c r="O9" i="23" s="1"/>
  <c r="O10" i="23" s="1"/>
  <c r="O11" i="23" s="1"/>
  <c r="O12" i="23" s="1"/>
  <c r="O13" i="23" s="1"/>
  <c r="O14" i="23" s="1"/>
  <c r="O15" i="23" s="1"/>
  <c r="O16" i="23" s="1"/>
  <c r="O17" i="23" s="1"/>
  <c r="O18" i="23" s="1"/>
  <c r="O19" i="23" s="1"/>
  <c r="O20" i="23" s="1"/>
  <c r="O21" i="23" s="1"/>
  <c r="O22" i="23" s="1"/>
  <c r="O23" i="23" s="1"/>
  <c r="O24" i="23" s="1"/>
  <c r="O25" i="23" s="1"/>
  <c r="O26" i="23" s="1"/>
  <c r="O27" i="23" s="1"/>
  <c r="O28" i="23" s="1"/>
  <c r="O29" i="23" s="1"/>
  <c r="O30" i="23" s="1"/>
  <c r="O31" i="23" s="1"/>
  <c r="O32" i="23" s="1"/>
  <c r="O33" i="23" s="1"/>
  <c r="O34" i="23" s="1"/>
  <c r="O35" i="23" s="1"/>
  <c r="O36" i="23" s="1"/>
  <c r="O37" i="23" s="1"/>
  <c r="O38" i="23" s="1"/>
  <c r="O39" i="23" s="1"/>
  <c r="P39" i="23" s="1"/>
  <c r="P3" i="24" l="1"/>
  <c r="O250" i="28"/>
  <c r="P250" i="28" s="1"/>
  <c r="O4" i="25"/>
  <c r="O293" i="28"/>
  <c r="P292" i="28"/>
  <c r="P291" i="28"/>
  <c r="P211" i="28"/>
  <c r="O212" i="28"/>
  <c r="P210" i="28"/>
  <c r="O172" i="28"/>
  <c r="P130" i="28"/>
  <c r="O131" i="28"/>
  <c r="P129" i="28"/>
  <c r="O89" i="28"/>
  <c r="P88" i="28"/>
  <c r="P87" i="28"/>
  <c r="O47" i="28"/>
  <c r="P46" i="28"/>
  <c r="P45" i="28"/>
  <c r="O5" i="28"/>
  <c r="P4" i="28"/>
  <c r="P3" i="28"/>
  <c r="O287" i="26"/>
  <c r="P286" i="26"/>
  <c r="P285" i="26"/>
  <c r="O245" i="26"/>
  <c r="P244" i="26"/>
  <c r="P243" i="26"/>
  <c r="O206" i="26"/>
  <c r="P205" i="26"/>
  <c r="P204" i="26"/>
  <c r="O167" i="26"/>
  <c r="P166" i="26"/>
  <c r="P165" i="26"/>
  <c r="O124" i="26"/>
  <c r="O85" i="26"/>
  <c r="O44" i="26"/>
  <c r="P43" i="26"/>
  <c r="P42" i="26"/>
  <c r="O5" i="26"/>
  <c r="P4" i="26"/>
  <c r="P3" i="26"/>
  <c r="P277" i="24"/>
  <c r="O278" i="24"/>
  <c r="P276" i="24"/>
  <c r="O239" i="24"/>
  <c r="P238" i="24"/>
  <c r="P237" i="24"/>
  <c r="O200" i="24"/>
  <c r="P199" i="24"/>
  <c r="P198" i="24"/>
  <c r="O161" i="24"/>
  <c r="P160" i="24"/>
  <c r="P159" i="24"/>
  <c r="O121" i="24"/>
  <c r="O83" i="24"/>
  <c r="P82" i="24"/>
  <c r="P81" i="24"/>
  <c r="O44" i="24"/>
  <c r="P43" i="24"/>
  <c r="P42" i="24"/>
  <c r="O5" i="24"/>
  <c r="P5" i="24" s="1"/>
  <c r="O281" i="27"/>
  <c r="P280" i="27"/>
  <c r="P279" i="27"/>
  <c r="O241" i="27"/>
  <c r="P202" i="27"/>
  <c r="O203" i="27"/>
  <c r="P201" i="27"/>
  <c r="O164" i="27"/>
  <c r="P163" i="27"/>
  <c r="P162" i="27"/>
  <c r="P124" i="27"/>
  <c r="O125" i="27"/>
  <c r="P123" i="27"/>
  <c r="O82" i="27"/>
  <c r="O44" i="27"/>
  <c r="P43" i="27"/>
  <c r="P42" i="27"/>
  <c r="O5" i="27"/>
  <c r="P4" i="27"/>
  <c r="P3" i="27"/>
  <c r="O281" i="25"/>
  <c r="P280" i="25"/>
  <c r="P279" i="25"/>
  <c r="O242" i="25"/>
  <c r="P241" i="25"/>
  <c r="P240" i="25"/>
  <c r="O203" i="25"/>
  <c r="P202" i="25"/>
  <c r="P201" i="25"/>
  <c r="O161" i="25"/>
  <c r="P160" i="25"/>
  <c r="P159" i="25"/>
  <c r="O122" i="25"/>
  <c r="P121" i="25"/>
  <c r="P120" i="25"/>
  <c r="O83" i="25"/>
  <c r="P82" i="25"/>
  <c r="P81" i="25"/>
  <c r="O44" i="25"/>
  <c r="P43" i="25"/>
  <c r="P42" i="25"/>
  <c r="P246" i="23"/>
  <c r="P306" i="23"/>
  <c r="P219" i="23"/>
  <c r="P253" i="23"/>
  <c r="P252" i="23"/>
  <c r="P248" i="23"/>
  <c r="P220" i="23"/>
  <c r="P305" i="23"/>
  <c r="P218" i="23"/>
  <c r="P251" i="23"/>
  <c r="P247" i="23"/>
  <c r="P222" i="23"/>
  <c r="P279" i="23"/>
  <c r="P217" i="23"/>
  <c r="P278" i="23"/>
  <c r="P216" i="23"/>
  <c r="P254" i="23"/>
  <c r="P277" i="23"/>
  <c r="P276" i="23"/>
  <c r="P184" i="23"/>
  <c r="P275" i="23"/>
  <c r="P182" i="23"/>
  <c r="P179" i="23"/>
  <c r="P180" i="23"/>
  <c r="P256" i="23"/>
  <c r="P175" i="23"/>
  <c r="P10" i="23"/>
  <c r="P225" i="23"/>
  <c r="P194" i="23"/>
  <c r="P255" i="23"/>
  <c r="P224" i="23"/>
  <c r="P185" i="23"/>
  <c r="P68" i="23"/>
  <c r="P67" i="23"/>
  <c r="P66" i="23"/>
  <c r="P58" i="23"/>
  <c r="P174" i="23"/>
  <c r="P158" i="23"/>
  <c r="P112" i="23"/>
  <c r="P245" i="23"/>
  <c r="P271" i="23"/>
  <c r="P244" i="23"/>
  <c r="P155" i="23"/>
  <c r="P70" i="23"/>
  <c r="P69" i="23"/>
  <c r="P214" i="23"/>
  <c r="P110" i="23"/>
  <c r="P154" i="23"/>
  <c r="P206" i="23"/>
  <c r="P213" i="23"/>
  <c r="P108" i="23"/>
  <c r="P268" i="23"/>
  <c r="P242" i="23"/>
  <c r="P211" i="23"/>
  <c r="P107" i="23"/>
  <c r="P267" i="23"/>
  <c r="P240" i="23"/>
  <c r="P207" i="23"/>
  <c r="P153" i="23"/>
  <c r="P106" i="23"/>
  <c r="P266" i="23"/>
  <c r="P239" i="23"/>
  <c r="P152" i="23"/>
  <c r="P105" i="23"/>
  <c r="P265" i="23"/>
  <c r="P238" i="23"/>
  <c r="P204" i="23"/>
  <c r="P144" i="23"/>
  <c r="P34" i="23"/>
  <c r="P104" i="23"/>
  <c r="P264" i="23"/>
  <c r="P237" i="23"/>
  <c r="P199" i="23"/>
  <c r="P143" i="23"/>
  <c r="P33" i="23"/>
  <c r="P88" i="23"/>
  <c r="P262" i="23"/>
  <c r="P236" i="23"/>
  <c r="P198" i="23"/>
  <c r="P141" i="23"/>
  <c r="P215" i="23"/>
  <c r="P82" i="23"/>
  <c r="P197" i="23"/>
  <c r="P139" i="23"/>
  <c r="P227" i="23"/>
  <c r="P135" i="23"/>
  <c r="P272" i="23"/>
  <c r="P32" i="23"/>
  <c r="P260" i="23"/>
  <c r="P31" i="23"/>
  <c r="P259" i="23"/>
  <c r="P20" i="23"/>
  <c r="P307" i="23"/>
  <c r="P258" i="23"/>
  <c r="P226" i="23"/>
  <c r="P134" i="23"/>
  <c r="P304" i="23"/>
  <c r="P302" i="23"/>
  <c r="P103" i="23"/>
  <c r="P19" i="23"/>
  <c r="P298" i="23"/>
  <c r="P14" i="23"/>
  <c r="P94" i="23"/>
  <c r="P13" i="23"/>
  <c r="P51" i="23"/>
  <c r="P93" i="23"/>
  <c r="P296" i="23"/>
  <c r="P178" i="23"/>
  <c r="P138" i="23"/>
  <c r="P57" i="23"/>
  <c r="P300" i="23"/>
  <c r="P56" i="23"/>
  <c r="P299" i="23"/>
  <c r="P55" i="23"/>
  <c r="P95" i="23"/>
  <c r="P53" i="23"/>
  <c r="P297" i="23"/>
  <c r="P12" i="23"/>
  <c r="P50" i="23"/>
  <c r="P92" i="23"/>
  <c r="P295" i="23"/>
  <c r="P177" i="23"/>
  <c r="P137" i="23"/>
  <c r="P11" i="23"/>
  <c r="P49" i="23"/>
  <c r="P90" i="23"/>
  <c r="P294" i="23"/>
  <c r="P176" i="23"/>
  <c r="P136" i="23"/>
  <c r="P47" i="23"/>
  <c r="P87" i="23"/>
  <c r="P77" i="23"/>
  <c r="P46" i="23"/>
  <c r="P86" i="23"/>
  <c r="P286" i="23"/>
  <c r="P205" i="23"/>
  <c r="P165" i="23"/>
  <c r="P133" i="23"/>
  <c r="P48" i="23"/>
  <c r="P293" i="23"/>
  <c r="P287" i="23"/>
  <c r="P76" i="23"/>
  <c r="P85" i="23"/>
  <c r="P285" i="23"/>
  <c r="P164" i="23"/>
  <c r="P132" i="23"/>
  <c r="P75" i="23"/>
  <c r="P115" i="23"/>
  <c r="P84" i="23"/>
  <c r="P284" i="23"/>
  <c r="P202" i="23"/>
  <c r="P162" i="23"/>
  <c r="P124" i="23"/>
  <c r="P73" i="23"/>
  <c r="P114" i="23"/>
  <c r="P83" i="23"/>
  <c r="P282" i="23"/>
  <c r="P257" i="23"/>
  <c r="P233" i="23"/>
  <c r="P200" i="23"/>
  <c r="P160" i="23"/>
  <c r="P123" i="23"/>
  <c r="P71" i="23"/>
  <c r="P113" i="23"/>
  <c r="P280" i="23"/>
  <c r="P159" i="23"/>
  <c r="P121" i="23"/>
  <c r="P9" i="23"/>
  <c r="P65" i="23"/>
  <c r="P102" i="23"/>
  <c r="P64" i="23"/>
  <c r="P81" i="23"/>
  <c r="P26" i="23"/>
  <c r="P6" i="23"/>
  <c r="P63" i="23"/>
  <c r="P43" i="23"/>
  <c r="P100" i="23"/>
  <c r="P292" i="23"/>
  <c r="P232" i="23"/>
  <c r="P212" i="23"/>
  <c r="P192" i="23"/>
  <c r="P172" i="23"/>
  <c r="P151" i="23"/>
  <c r="P131" i="23"/>
  <c r="P28" i="23"/>
  <c r="P25" i="23"/>
  <c r="P42" i="23"/>
  <c r="P24" i="23"/>
  <c r="P4" i="23"/>
  <c r="P61" i="23"/>
  <c r="P98" i="23"/>
  <c r="P310" i="23"/>
  <c r="P290" i="23"/>
  <c r="P270" i="23"/>
  <c r="P250" i="23"/>
  <c r="P230" i="23"/>
  <c r="P210" i="23"/>
  <c r="P190" i="23"/>
  <c r="P170" i="23"/>
  <c r="P149" i="23"/>
  <c r="P129" i="23"/>
  <c r="P30" i="23"/>
  <c r="P29" i="23"/>
  <c r="P27" i="23"/>
  <c r="P7" i="23"/>
  <c r="P101" i="23"/>
  <c r="P173" i="23"/>
  <c r="P5" i="23"/>
  <c r="P62" i="23"/>
  <c r="P99" i="23"/>
  <c r="P291" i="23"/>
  <c r="P231" i="23"/>
  <c r="P191" i="23"/>
  <c r="P171" i="23"/>
  <c r="P150" i="23"/>
  <c r="P130" i="23"/>
  <c r="P23" i="23"/>
  <c r="P3" i="23"/>
  <c r="P60" i="23"/>
  <c r="P97" i="23"/>
  <c r="P309" i="23"/>
  <c r="P289" i="23"/>
  <c r="P269" i="23"/>
  <c r="P249" i="23"/>
  <c r="P229" i="23"/>
  <c r="P209" i="23"/>
  <c r="P189" i="23"/>
  <c r="P169" i="23"/>
  <c r="P148" i="23"/>
  <c r="P128" i="23"/>
  <c r="P8" i="23"/>
  <c r="P45" i="23"/>
  <c r="P44" i="23"/>
  <c r="P193" i="23"/>
  <c r="P22" i="23"/>
  <c r="P59" i="23"/>
  <c r="P116" i="23"/>
  <c r="P96" i="23"/>
  <c r="P308" i="23"/>
  <c r="P288" i="23"/>
  <c r="P228" i="23"/>
  <c r="P208" i="23"/>
  <c r="P188" i="23"/>
  <c r="P168" i="23"/>
  <c r="P147" i="23"/>
  <c r="P127" i="23"/>
  <c r="P21" i="23"/>
  <c r="P187" i="23"/>
  <c r="P167" i="23"/>
  <c r="P146" i="23"/>
  <c r="P126" i="23"/>
  <c r="P186" i="23"/>
  <c r="P166" i="23"/>
  <c r="P145" i="23"/>
  <c r="P125" i="23"/>
  <c r="P38" i="23"/>
  <c r="P18" i="23"/>
  <c r="P37" i="23"/>
  <c r="P17" i="23"/>
  <c r="P74" i="23"/>
  <c r="P54" i="23"/>
  <c r="P111" i="23"/>
  <c r="P91" i="23"/>
  <c r="P303" i="23"/>
  <c r="P283" i="23"/>
  <c r="P263" i="23"/>
  <c r="P243" i="23"/>
  <c r="P223" i="23"/>
  <c r="P203" i="23"/>
  <c r="P183" i="23"/>
  <c r="P163" i="23"/>
  <c r="P142" i="23"/>
  <c r="P122" i="23"/>
  <c r="P36" i="23"/>
  <c r="P16" i="23"/>
  <c r="P35" i="23"/>
  <c r="P15" i="23"/>
  <c r="P72" i="23"/>
  <c r="P52" i="23"/>
  <c r="P109" i="23"/>
  <c r="P89" i="23"/>
  <c r="P301" i="23"/>
  <c r="P281" i="23"/>
  <c r="P261" i="23"/>
  <c r="P241" i="23"/>
  <c r="P221" i="23"/>
  <c r="P201" i="23"/>
  <c r="P181" i="23"/>
  <c r="P161" i="23"/>
  <c r="P140" i="23"/>
  <c r="P120" i="23"/>
  <c r="H312" i="24"/>
  <c r="H311" i="24"/>
  <c r="H310" i="24"/>
  <c r="H309" i="24"/>
  <c r="H308" i="24"/>
  <c r="H307" i="24"/>
  <c r="H306" i="24"/>
  <c r="H305" i="24"/>
  <c r="H304" i="24"/>
  <c r="H303" i="24"/>
  <c r="H302" i="24"/>
  <c r="H301" i="24"/>
  <c r="H300" i="24"/>
  <c r="H299" i="24"/>
  <c r="H298" i="24"/>
  <c r="H297" i="24"/>
  <c r="H296" i="24"/>
  <c r="H295" i="24"/>
  <c r="H294" i="24"/>
  <c r="H293" i="24"/>
  <c r="H292" i="24"/>
  <c r="H291" i="24"/>
  <c r="H290" i="24"/>
  <c r="H289" i="24"/>
  <c r="H288" i="24"/>
  <c r="H287" i="24"/>
  <c r="H286" i="24"/>
  <c r="H285" i="24"/>
  <c r="H284" i="24"/>
  <c r="H283" i="24"/>
  <c r="H282" i="24"/>
  <c r="H280" i="24"/>
  <c r="H279" i="24"/>
  <c r="H278" i="24"/>
  <c r="H277" i="24"/>
  <c r="H276" i="24"/>
  <c r="H275" i="24"/>
  <c r="H273" i="24"/>
  <c r="H272" i="24"/>
  <c r="H271" i="24"/>
  <c r="H270" i="24"/>
  <c r="H269" i="24"/>
  <c r="H268" i="24"/>
  <c r="H267" i="24"/>
  <c r="H266" i="24"/>
  <c r="H265" i="24"/>
  <c r="H264" i="24"/>
  <c r="H263" i="24"/>
  <c r="H262" i="24"/>
  <c r="H261" i="24"/>
  <c r="H260" i="24"/>
  <c r="H259" i="24"/>
  <c r="H258" i="24"/>
  <c r="H257" i="24"/>
  <c r="H256" i="24"/>
  <c r="H255" i="24"/>
  <c r="H254" i="24"/>
  <c r="H253" i="24"/>
  <c r="H252" i="24"/>
  <c r="H251" i="24"/>
  <c r="H250" i="24"/>
  <c r="H249" i="24"/>
  <c r="H248" i="24"/>
  <c r="H247" i="24"/>
  <c r="H245" i="24"/>
  <c r="H244" i="24"/>
  <c r="H243" i="24"/>
  <c r="H242" i="24"/>
  <c r="H241" i="24"/>
  <c r="H240" i="24"/>
  <c r="H239" i="24"/>
  <c r="H237" i="24"/>
  <c r="H236" i="24"/>
  <c r="H234" i="24"/>
  <c r="H233" i="24"/>
  <c r="H232" i="24"/>
  <c r="H231" i="24"/>
  <c r="H230" i="24"/>
  <c r="H229" i="24"/>
  <c r="H228" i="24"/>
  <c r="H227" i="24"/>
  <c r="H226" i="24"/>
  <c r="H225" i="24"/>
  <c r="H224" i="24"/>
  <c r="H223" i="24"/>
  <c r="H222" i="24"/>
  <c r="H221" i="24"/>
  <c r="H220" i="24"/>
  <c r="H219" i="24"/>
  <c r="H218" i="24"/>
  <c r="H217" i="24"/>
  <c r="H216" i="24"/>
  <c r="H215" i="24"/>
  <c r="H214" i="24"/>
  <c r="H213" i="24"/>
  <c r="H212" i="24"/>
  <c r="H211" i="24"/>
  <c r="H210" i="24"/>
  <c r="H209" i="24"/>
  <c r="H208" i="24"/>
  <c r="H207" i="24"/>
  <c r="H206" i="24"/>
  <c r="H205" i="24"/>
  <c r="H204" i="24"/>
  <c r="H203" i="24"/>
  <c r="H202" i="24"/>
  <c r="H201" i="24"/>
  <c r="H200" i="24"/>
  <c r="H199" i="24"/>
  <c r="H198" i="24"/>
  <c r="H197" i="24"/>
  <c r="H195" i="24"/>
  <c r="H194" i="24"/>
  <c r="H193" i="24"/>
  <c r="H192" i="24"/>
  <c r="H190" i="24"/>
  <c r="H189" i="24"/>
  <c r="H188" i="24"/>
  <c r="H187" i="24"/>
  <c r="H186" i="24"/>
  <c r="H185" i="24"/>
  <c r="H184" i="24"/>
  <c r="H183" i="24"/>
  <c r="H182" i="24"/>
  <c r="H181" i="24"/>
  <c r="H180" i="24"/>
  <c r="H179" i="24"/>
  <c r="H178" i="24"/>
  <c r="H177" i="24"/>
  <c r="H176" i="24"/>
  <c r="H175" i="24"/>
  <c r="H174" i="24"/>
  <c r="H173" i="24"/>
  <c r="H172" i="24"/>
  <c r="H171" i="24"/>
  <c r="H170" i="24"/>
  <c r="H169" i="24"/>
  <c r="H168" i="24"/>
  <c r="H167" i="24"/>
  <c r="H166" i="24"/>
  <c r="H165" i="24"/>
  <c r="H164" i="24"/>
  <c r="H163" i="24"/>
  <c r="H162" i="24"/>
  <c r="H161" i="24"/>
  <c r="H160" i="24"/>
  <c r="H159" i="24"/>
  <c r="H158" i="24"/>
  <c r="H156" i="24"/>
  <c r="H155" i="24"/>
  <c r="H154" i="24"/>
  <c r="H153" i="24"/>
  <c r="H152" i="24"/>
  <c r="H151" i="24"/>
  <c r="H150" i="24"/>
  <c r="H149" i="24"/>
  <c r="H148" i="24"/>
  <c r="H147" i="24"/>
  <c r="H146" i="24"/>
  <c r="H144" i="24"/>
  <c r="H143" i="24"/>
  <c r="H141" i="24"/>
  <c r="H140" i="24"/>
  <c r="H139" i="24"/>
  <c r="H137" i="24"/>
  <c r="H136" i="24"/>
  <c r="H134" i="24"/>
  <c r="H133" i="24"/>
  <c r="H132" i="24"/>
  <c r="H131" i="24"/>
  <c r="H130" i="24"/>
  <c r="H128" i="24"/>
  <c r="H127" i="24"/>
  <c r="H126" i="24"/>
  <c r="H124" i="24"/>
  <c r="H123" i="24"/>
  <c r="H122" i="24"/>
  <c r="H120" i="24"/>
  <c r="H119" i="24"/>
  <c r="H117" i="24"/>
  <c r="H116" i="24"/>
  <c r="H115" i="24"/>
  <c r="H114" i="24"/>
  <c r="H112" i="24"/>
  <c r="H111" i="24"/>
  <c r="H110" i="24"/>
  <c r="H109" i="24"/>
  <c r="H108" i="24"/>
  <c r="H105" i="24"/>
  <c r="H104" i="24"/>
  <c r="H102" i="24"/>
  <c r="H101" i="24"/>
  <c r="H100" i="24"/>
  <c r="H98" i="24"/>
  <c r="H97" i="24"/>
  <c r="H95" i="24"/>
  <c r="H94" i="24"/>
  <c r="H88" i="24"/>
  <c r="H87" i="24"/>
  <c r="H84" i="24"/>
  <c r="H81" i="24"/>
  <c r="H80" i="24"/>
  <c r="H78" i="24"/>
  <c r="H77" i="24"/>
  <c r="H76" i="24"/>
  <c r="H75" i="24"/>
  <c r="H73" i="24"/>
  <c r="H72" i="24"/>
  <c r="H70" i="24"/>
  <c r="H69" i="24"/>
  <c r="H68" i="24"/>
  <c r="H66" i="24"/>
  <c r="H65" i="24"/>
  <c r="H63" i="24"/>
  <c r="H62" i="24"/>
  <c r="H61" i="24"/>
  <c r="H59" i="24"/>
  <c r="H58" i="24"/>
  <c r="H56" i="24"/>
  <c r="H55" i="24"/>
  <c r="H54" i="24"/>
  <c r="H52" i="24"/>
  <c r="H50" i="24"/>
  <c r="H49" i="24"/>
  <c r="H48" i="24"/>
  <c r="H46" i="24"/>
  <c r="H45" i="24"/>
  <c r="H42" i="24"/>
  <c r="H41" i="24"/>
  <c r="H3" i="24"/>
  <c r="H6" i="24"/>
  <c r="H7" i="24"/>
  <c r="H9" i="24"/>
  <c r="H10" i="24"/>
  <c r="H13" i="24"/>
  <c r="H16" i="24"/>
  <c r="H17" i="24"/>
  <c r="H19" i="24"/>
  <c r="H20" i="24"/>
  <c r="H22" i="24"/>
  <c r="H23" i="24"/>
  <c r="H24" i="24"/>
  <c r="H26" i="24"/>
  <c r="H27" i="24"/>
  <c r="H29" i="24"/>
  <c r="H30" i="24"/>
  <c r="H31" i="24"/>
  <c r="H33" i="24"/>
  <c r="H34" i="24"/>
  <c r="H36" i="24"/>
  <c r="H37" i="24"/>
  <c r="H38" i="24"/>
  <c r="H39" i="24"/>
  <c r="H2" i="24"/>
  <c r="O251" i="28" l="1"/>
  <c r="P251" i="28" s="1"/>
  <c r="O5" i="25"/>
  <c r="P4" i="25"/>
  <c r="O294" i="28"/>
  <c r="P293" i="28"/>
  <c r="O213" i="28"/>
  <c r="P212" i="28"/>
  <c r="O173" i="28"/>
  <c r="P172" i="28"/>
  <c r="O132" i="28"/>
  <c r="P131" i="28"/>
  <c r="O90" i="28"/>
  <c r="P89" i="28"/>
  <c r="P47" i="28"/>
  <c r="O48" i="28"/>
  <c r="O6" i="28"/>
  <c r="P5" i="28"/>
  <c r="O288" i="26"/>
  <c r="P287" i="26"/>
  <c r="O246" i="26"/>
  <c r="P245" i="26"/>
  <c r="O207" i="26"/>
  <c r="P206" i="26"/>
  <c r="O168" i="26"/>
  <c r="P167" i="26"/>
  <c r="O125" i="26"/>
  <c r="P124" i="26"/>
  <c r="O86" i="26"/>
  <c r="P85" i="26"/>
  <c r="O45" i="26"/>
  <c r="P44" i="26"/>
  <c r="O6" i="26"/>
  <c r="P5" i="26"/>
  <c r="O279" i="24"/>
  <c r="P278" i="24"/>
  <c r="O240" i="24"/>
  <c r="P239" i="24"/>
  <c r="O201" i="24"/>
  <c r="P200" i="24"/>
  <c r="O162" i="24"/>
  <c r="P161" i="24"/>
  <c r="O122" i="24"/>
  <c r="P121" i="24"/>
  <c r="O84" i="24"/>
  <c r="P83" i="24"/>
  <c r="O45" i="24"/>
  <c r="P44" i="24"/>
  <c r="O6" i="24"/>
  <c r="P6" i="24" s="1"/>
  <c r="O282" i="27"/>
  <c r="P281" i="27"/>
  <c r="O242" i="27"/>
  <c r="P241" i="27"/>
  <c r="O204" i="27"/>
  <c r="P203" i="27"/>
  <c r="O165" i="27"/>
  <c r="P164" i="27"/>
  <c r="O126" i="27"/>
  <c r="P125" i="27"/>
  <c r="O83" i="27"/>
  <c r="P82" i="27"/>
  <c r="O45" i="27"/>
  <c r="P44" i="27"/>
  <c r="O6" i="27"/>
  <c r="P5" i="27"/>
  <c r="O282" i="25"/>
  <c r="P281" i="25"/>
  <c r="O243" i="25"/>
  <c r="P242" i="25"/>
  <c r="O204" i="25"/>
  <c r="P203" i="25"/>
  <c r="O162" i="25"/>
  <c r="P161" i="25"/>
  <c r="O123" i="25"/>
  <c r="P122" i="25"/>
  <c r="O84" i="25"/>
  <c r="P83" i="25"/>
  <c r="O45" i="25"/>
  <c r="P44" i="25"/>
  <c r="I246" i="28"/>
  <c r="J246" i="28" s="1"/>
  <c r="I245" i="28"/>
  <c r="J245" i="28" s="1"/>
  <c r="I244" i="28"/>
  <c r="J244" i="28" s="1"/>
  <c r="I243" i="28"/>
  <c r="J243" i="28" s="1"/>
  <c r="I242" i="28"/>
  <c r="J242" i="28" s="1"/>
  <c r="I241" i="28"/>
  <c r="J241" i="28" s="1"/>
  <c r="I240" i="28"/>
  <c r="J240" i="28" s="1"/>
  <c r="I239" i="28"/>
  <c r="J239" i="28" s="1"/>
  <c r="I238" i="28"/>
  <c r="J238" i="28" s="1"/>
  <c r="H237" i="28"/>
  <c r="I237" i="28" s="1"/>
  <c r="J237" i="28" s="1"/>
  <c r="H236" i="28"/>
  <c r="I236" i="28" s="1"/>
  <c r="J236" i="28" s="1"/>
  <c r="H235" i="28"/>
  <c r="I235" i="28" s="1"/>
  <c r="J235" i="28" s="1"/>
  <c r="H234" i="28"/>
  <c r="I234" i="28" s="1"/>
  <c r="J234" i="28" s="1"/>
  <c r="H233" i="28"/>
  <c r="I233" i="28" s="1"/>
  <c r="J233" i="28" s="1"/>
  <c r="H232" i="28"/>
  <c r="I232" i="28" s="1"/>
  <c r="J232" i="28" s="1"/>
  <c r="H231" i="28"/>
  <c r="I231" i="28" s="1"/>
  <c r="J231" i="28" s="1"/>
  <c r="I230" i="28"/>
  <c r="J230" i="28" s="1"/>
  <c r="I229" i="28"/>
  <c r="J229" i="28" s="1"/>
  <c r="I228" i="28"/>
  <c r="J228" i="28" s="1"/>
  <c r="H227" i="28"/>
  <c r="I227" i="28" s="1"/>
  <c r="J227" i="28" s="1"/>
  <c r="H226" i="28"/>
  <c r="I226" i="28" s="1"/>
  <c r="J226" i="28" s="1"/>
  <c r="H225" i="28"/>
  <c r="I225" i="28" s="1"/>
  <c r="J225" i="28" s="1"/>
  <c r="H224" i="28"/>
  <c r="I224" i="28" s="1"/>
  <c r="J224" i="28" s="1"/>
  <c r="H223" i="28"/>
  <c r="I223" i="28" s="1"/>
  <c r="J223" i="28" s="1"/>
  <c r="H222" i="28"/>
  <c r="I222" i="28" s="1"/>
  <c r="J222" i="28" s="1"/>
  <c r="H221" i="28"/>
  <c r="I221" i="28" s="1"/>
  <c r="J221" i="28" s="1"/>
  <c r="H220" i="28"/>
  <c r="I220" i="28" s="1"/>
  <c r="J220" i="28" s="1"/>
  <c r="I219" i="28"/>
  <c r="J219" i="28" s="1"/>
  <c r="I218" i="28"/>
  <c r="J218" i="28" s="1"/>
  <c r="I217" i="28"/>
  <c r="J217" i="28" s="1"/>
  <c r="I216" i="28"/>
  <c r="J216" i="28" s="1"/>
  <c r="I215" i="28"/>
  <c r="J215" i="28" s="1"/>
  <c r="I214" i="28"/>
  <c r="J214" i="28" s="1"/>
  <c r="I213" i="28"/>
  <c r="J213" i="28" s="1"/>
  <c r="I212" i="28"/>
  <c r="J212" i="28" s="1"/>
  <c r="I211" i="28"/>
  <c r="J211" i="28" s="1"/>
  <c r="I210" i="28"/>
  <c r="J210" i="28" s="1"/>
  <c r="I209" i="28"/>
  <c r="J209" i="28" s="1"/>
  <c r="H196" i="28"/>
  <c r="I196" i="28" s="1"/>
  <c r="J196" i="28" s="1"/>
  <c r="H197" i="28"/>
  <c r="I197" i="28" s="1"/>
  <c r="J197" i="28" s="1"/>
  <c r="H198" i="28"/>
  <c r="I198" i="28" s="1"/>
  <c r="J198" i="28" s="1"/>
  <c r="I195" i="28"/>
  <c r="J195" i="28" s="1"/>
  <c r="H192" i="28"/>
  <c r="I192" i="28" s="1"/>
  <c r="J192" i="28" s="1"/>
  <c r="H193" i="28"/>
  <c r="I193" i="28" s="1"/>
  <c r="J193" i="28" s="1"/>
  <c r="H194" i="28"/>
  <c r="I194" i="28" s="1"/>
  <c r="J194" i="28" s="1"/>
  <c r="I189" i="28"/>
  <c r="J189" i="28" s="1"/>
  <c r="I190" i="28"/>
  <c r="J190" i="28" s="1"/>
  <c r="H181" i="28"/>
  <c r="I181" i="28" s="1"/>
  <c r="J181" i="28" s="1"/>
  <c r="H182" i="28"/>
  <c r="I182" i="28" s="1"/>
  <c r="J182" i="28" s="1"/>
  <c r="H183" i="28"/>
  <c r="I183" i="28" s="1"/>
  <c r="J183" i="28" s="1"/>
  <c r="H184" i="28"/>
  <c r="I184" i="28" s="1"/>
  <c r="J184" i="28" s="1"/>
  <c r="I207" i="28"/>
  <c r="J207" i="28" s="1"/>
  <c r="I206" i="28"/>
  <c r="J206" i="28" s="1"/>
  <c r="I205" i="28"/>
  <c r="J205" i="28" s="1"/>
  <c r="I204" i="28"/>
  <c r="J204" i="28" s="1"/>
  <c r="I203" i="28"/>
  <c r="J203" i="28" s="1"/>
  <c r="I202" i="28"/>
  <c r="J202" i="28" s="1"/>
  <c r="I201" i="28"/>
  <c r="J201" i="28" s="1"/>
  <c r="I200" i="28"/>
  <c r="J200" i="28" s="1"/>
  <c r="I199" i="28"/>
  <c r="J199" i="28" s="1"/>
  <c r="I191" i="28"/>
  <c r="J191" i="28" s="1"/>
  <c r="H188" i="28"/>
  <c r="I188" i="28" s="1"/>
  <c r="J188" i="28" s="1"/>
  <c r="H187" i="28"/>
  <c r="I187" i="28" s="1"/>
  <c r="J187" i="28" s="1"/>
  <c r="H186" i="28"/>
  <c r="I186" i="28" s="1"/>
  <c r="J186" i="28" s="1"/>
  <c r="H185" i="28"/>
  <c r="I185" i="28" s="1"/>
  <c r="J185" i="28" s="1"/>
  <c r="I180" i="28"/>
  <c r="J180" i="28" s="1"/>
  <c r="I179" i="28"/>
  <c r="J179" i="28" s="1"/>
  <c r="I178" i="28"/>
  <c r="J178" i="28" s="1"/>
  <c r="I177" i="28"/>
  <c r="J177" i="28" s="1"/>
  <c r="I176" i="28"/>
  <c r="J176" i="28" s="1"/>
  <c r="I175" i="28"/>
  <c r="J175" i="28" s="1"/>
  <c r="I174" i="28"/>
  <c r="J174" i="28" s="1"/>
  <c r="I173" i="28"/>
  <c r="J173" i="28" s="1"/>
  <c r="I172" i="28"/>
  <c r="J172" i="28" s="1"/>
  <c r="I171" i="28"/>
  <c r="J171" i="28" s="1"/>
  <c r="I170" i="28"/>
  <c r="J170" i="28" s="1"/>
  <c r="I331" i="28"/>
  <c r="H318" i="28"/>
  <c r="I318" i="28" s="1"/>
  <c r="J318" i="28" s="1"/>
  <c r="H317" i="28"/>
  <c r="I317" i="28" s="1"/>
  <c r="J317" i="28" s="1"/>
  <c r="H316" i="28"/>
  <c r="I316" i="28" s="1"/>
  <c r="J316" i="28" s="1"/>
  <c r="H313" i="28"/>
  <c r="I313" i="28" s="1"/>
  <c r="J313" i="28" s="1"/>
  <c r="H314" i="28"/>
  <c r="I314" i="28" s="1"/>
  <c r="J314" i="28" s="1"/>
  <c r="H315" i="28"/>
  <c r="I315" i="28" s="1"/>
  <c r="J315" i="28" s="1"/>
  <c r="H302" i="28"/>
  <c r="I302" i="28" s="1"/>
  <c r="J302" i="28" s="1"/>
  <c r="H303" i="28"/>
  <c r="I303" i="28" s="1"/>
  <c r="J303" i="28" s="1"/>
  <c r="H304" i="28"/>
  <c r="I304" i="28" s="1"/>
  <c r="J304" i="28" s="1"/>
  <c r="H305" i="28"/>
  <c r="I305" i="28" s="1"/>
  <c r="J305" i="28" s="1"/>
  <c r="H306" i="28"/>
  <c r="I306" i="28" s="1"/>
  <c r="J306" i="28" s="1"/>
  <c r="H307" i="28"/>
  <c r="I307" i="28" s="1"/>
  <c r="J307" i="28" s="1"/>
  <c r="H308" i="28"/>
  <c r="I308" i="28" s="1"/>
  <c r="J308" i="28" s="1"/>
  <c r="I309" i="28"/>
  <c r="J309" i="28" s="1"/>
  <c r="I330" i="28"/>
  <c r="J330" i="28" s="1"/>
  <c r="I329" i="28"/>
  <c r="J329" i="28" s="1"/>
  <c r="I328" i="28"/>
  <c r="J328" i="28" s="1"/>
  <c r="I327" i="28"/>
  <c r="J327" i="28" s="1"/>
  <c r="I326" i="28"/>
  <c r="J326" i="28" s="1"/>
  <c r="I325" i="28"/>
  <c r="J325" i="28" s="1"/>
  <c r="I324" i="28"/>
  <c r="J324" i="28" s="1"/>
  <c r="I323" i="28"/>
  <c r="J323" i="28" s="1"/>
  <c r="I322" i="28"/>
  <c r="J322" i="28" s="1"/>
  <c r="I321" i="28"/>
  <c r="J321" i="28" s="1"/>
  <c r="I320" i="28"/>
  <c r="J320" i="28" s="1"/>
  <c r="I319" i="28"/>
  <c r="J319" i="28" s="1"/>
  <c r="I312" i="28"/>
  <c r="J312" i="28" s="1"/>
  <c r="I311" i="28"/>
  <c r="J311" i="28" s="1"/>
  <c r="I310" i="28"/>
  <c r="J310" i="28" s="1"/>
  <c r="I301" i="28"/>
  <c r="J301" i="28" s="1"/>
  <c r="I300" i="28"/>
  <c r="J300" i="28" s="1"/>
  <c r="I299" i="28"/>
  <c r="J299" i="28" s="1"/>
  <c r="I298" i="28"/>
  <c r="J298" i="28" s="1"/>
  <c r="I297" i="28"/>
  <c r="J297" i="28" s="1"/>
  <c r="I296" i="28"/>
  <c r="J296" i="28" s="1"/>
  <c r="I295" i="28"/>
  <c r="J295" i="28" s="1"/>
  <c r="I294" i="28"/>
  <c r="J294" i="28" s="1"/>
  <c r="I293" i="28"/>
  <c r="J293" i="28" s="1"/>
  <c r="I292" i="28"/>
  <c r="J292" i="28" s="1"/>
  <c r="I291" i="28"/>
  <c r="J291" i="28" s="1"/>
  <c r="I290" i="28"/>
  <c r="J290" i="28" s="1"/>
  <c r="H282" i="28"/>
  <c r="I282" i="28" s="1"/>
  <c r="J282" i="28" s="1"/>
  <c r="H280" i="28"/>
  <c r="I280" i="28" s="1"/>
  <c r="J280" i="28" s="1"/>
  <c r="H281" i="28"/>
  <c r="I281" i="28" s="1"/>
  <c r="J281" i="28" s="1"/>
  <c r="H279" i="28"/>
  <c r="I279" i="28" s="1"/>
  <c r="J279" i="28" s="1"/>
  <c r="H277" i="28"/>
  <c r="I277" i="28" s="1"/>
  <c r="J277" i="28" s="1"/>
  <c r="H276" i="28"/>
  <c r="I276" i="28" s="1"/>
  <c r="J276" i="28" s="1"/>
  <c r="H275" i="28"/>
  <c r="I275" i="28" s="1"/>
  <c r="J275" i="28" s="1"/>
  <c r="I268" i="28"/>
  <c r="J268" i="28" s="1"/>
  <c r="I269" i="28"/>
  <c r="J269" i="28" s="1"/>
  <c r="H270" i="28"/>
  <c r="I270" i="28" s="1"/>
  <c r="J270" i="28" s="1"/>
  <c r="I271" i="28"/>
  <c r="J271" i="28" s="1"/>
  <c r="I273" i="28"/>
  <c r="J273" i="28" s="1"/>
  <c r="I274" i="28"/>
  <c r="J274" i="28" s="1"/>
  <c r="I272" i="28"/>
  <c r="J272" i="28" s="1"/>
  <c r="I288" i="28"/>
  <c r="J288" i="28" s="1"/>
  <c r="I287" i="28"/>
  <c r="J287" i="28" s="1"/>
  <c r="I286" i="28"/>
  <c r="J286" i="28" s="1"/>
  <c r="I285" i="28"/>
  <c r="J285" i="28" s="1"/>
  <c r="I284" i="28"/>
  <c r="J284" i="28" s="1"/>
  <c r="I283" i="28"/>
  <c r="J283" i="28" s="1"/>
  <c r="I278" i="28"/>
  <c r="J278" i="28" s="1"/>
  <c r="I267" i="28"/>
  <c r="J267" i="28" s="1"/>
  <c r="I266" i="28"/>
  <c r="J266" i="28" s="1"/>
  <c r="I265" i="28"/>
  <c r="J265" i="28" s="1"/>
  <c r="I264" i="28"/>
  <c r="J264" i="28" s="1"/>
  <c r="I263" i="28"/>
  <c r="J263" i="28" s="1"/>
  <c r="I262" i="28"/>
  <c r="J262" i="28" s="1"/>
  <c r="I261" i="28"/>
  <c r="J261" i="28" s="1"/>
  <c r="I260" i="28"/>
  <c r="J260" i="28" s="1"/>
  <c r="I259" i="28"/>
  <c r="J259" i="28" s="1"/>
  <c r="I258" i="28"/>
  <c r="J258" i="28" s="1"/>
  <c r="I257" i="28"/>
  <c r="J257" i="28" s="1"/>
  <c r="I256" i="28"/>
  <c r="J256" i="28" s="1"/>
  <c r="I255" i="28"/>
  <c r="J255" i="28" s="1"/>
  <c r="I254" i="28"/>
  <c r="J254" i="28" s="1"/>
  <c r="I253" i="28"/>
  <c r="J253" i="28" s="1"/>
  <c r="I252" i="28"/>
  <c r="J252" i="28" s="1"/>
  <c r="I251" i="28"/>
  <c r="J251" i="28" s="1"/>
  <c r="I250" i="28"/>
  <c r="J250" i="28" s="1"/>
  <c r="I249" i="28"/>
  <c r="J249" i="28" s="1"/>
  <c r="I248" i="28"/>
  <c r="J248" i="28" s="1"/>
  <c r="H161" i="28"/>
  <c r="I161" i="28" s="1"/>
  <c r="J161" i="28" s="1"/>
  <c r="H162" i="28"/>
  <c r="I162" i="28" s="1"/>
  <c r="J162" i="28" s="1"/>
  <c r="H159" i="28"/>
  <c r="I159" i="28" s="1"/>
  <c r="J159" i="28" s="1"/>
  <c r="H156" i="28"/>
  <c r="I156" i="28" s="1"/>
  <c r="J156" i="28" s="1"/>
  <c r="H157" i="28"/>
  <c r="I157" i="28" s="1"/>
  <c r="J157" i="28" s="1"/>
  <c r="I158" i="28"/>
  <c r="J158" i="28" s="1"/>
  <c r="H155" i="28"/>
  <c r="I155" i="28" s="1"/>
  <c r="J155" i="28" s="1"/>
  <c r="H154" i="28"/>
  <c r="I154" i="28" s="1"/>
  <c r="J154" i="28" s="1"/>
  <c r="H153" i="28"/>
  <c r="I153" i="28" s="1"/>
  <c r="J153" i="28" s="1"/>
  <c r="I152" i="28"/>
  <c r="J152" i="28" s="1"/>
  <c r="H151" i="28"/>
  <c r="I151" i="28" s="1"/>
  <c r="J151" i="28" s="1"/>
  <c r="H146" i="28"/>
  <c r="I146" i="28" s="1"/>
  <c r="J146" i="28" s="1"/>
  <c r="H147" i="28"/>
  <c r="I147" i="28" s="1"/>
  <c r="J147" i="28" s="1"/>
  <c r="H148" i="28"/>
  <c r="I148" i="28" s="1"/>
  <c r="J148" i="28" s="1"/>
  <c r="H149" i="28"/>
  <c r="I149" i="28" s="1"/>
  <c r="J149" i="28" s="1"/>
  <c r="H150" i="28"/>
  <c r="I150" i="28" s="1"/>
  <c r="J150" i="28" s="1"/>
  <c r="I168" i="28"/>
  <c r="J168" i="28" s="1"/>
  <c r="I167" i="28"/>
  <c r="J167" i="28" s="1"/>
  <c r="I166" i="28"/>
  <c r="J166" i="28" s="1"/>
  <c r="I165" i="28"/>
  <c r="J165" i="28" s="1"/>
  <c r="I164" i="28"/>
  <c r="J164" i="28" s="1"/>
  <c r="I163" i="28"/>
  <c r="J163" i="28" s="1"/>
  <c r="H160" i="28"/>
  <c r="I160" i="28" s="1"/>
  <c r="J160" i="28" s="1"/>
  <c r="H145" i="28"/>
  <c r="I145" i="28" s="1"/>
  <c r="J145" i="28" s="1"/>
  <c r="I144" i="28"/>
  <c r="J144" i="28" s="1"/>
  <c r="I143" i="28"/>
  <c r="J143" i="28" s="1"/>
  <c r="I142" i="28"/>
  <c r="J142" i="28" s="1"/>
  <c r="I141" i="28"/>
  <c r="J141" i="28" s="1"/>
  <c r="I140" i="28"/>
  <c r="J140" i="28" s="1"/>
  <c r="I139" i="28"/>
  <c r="J139" i="28" s="1"/>
  <c r="I138" i="28"/>
  <c r="J138" i="28" s="1"/>
  <c r="I137" i="28"/>
  <c r="J137" i="28" s="1"/>
  <c r="I136" i="28"/>
  <c r="J136" i="28" s="1"/>
  <c r="I135" i="28"/>
  <c r="J135" i="28" s="1"/>
  <c r="I134" i="28"/>
  <c r="J134" i="28" s="1"/>
  <c r="I133" i="28"/>
  <c r="J133" i="28" s="1"/>
  <c r="I132" i="28"/>
  <c r="J132" i="28" s="1"/>
  <c r="I131" i="28"/>
  <c r="J131" i="28" s="1"/>
  <c r="I130" i="28"/>
  <c r="J130" i="28" s="1"/>
  <c r="I129" i="28"/>
  <c r="J129" i="28" s="1"/>
  <c r="I128" i="28"/>
  <c r="J128" i="28" s="1"/>
  <c r="I127" i="28"/>
  <c r="I126" i="28"/>
  <c r="J126" i="28" s="1"/>
  <c r="I125" i="28"/>
  <c r="J125" i="28" s="1"/>
  <c r="I124" i="28"/>
  <c r="J124" i="28" s="1"/>
  <c r="I123" i="28"/>
  <c r="J123" i="28" s="1"/>
  <c r="I122" i="28"/>
  <c r="J122" i="28" s="1"/>
  <c r="I121" i="28"/>
  <c r="J121" i="28" s="1"/>
  <c r="I120" i="28"/>
  <c r="J120" i="28" s="1"/>
  <c r="I119" i="28"/>
  <c r="J119" i="28" s="1"/>
  <c r="I118" i="28"/>
  <c r="J118" i="28" s="1"/>
  <c r="I117" i="28"/>
  <c r="J117" i="28" s="1"/>
  <c r="I116" i="28"/>
  <c r="J116" i="28" s="1"/>
  <c r="I115" i="28"/>
  <c r="J115" i="28" s="1"/>
  <c r="I114" i="28"/>
  <c r="J114" i="28" s="1"/>
  <c r="I113" i="28"/>
  <c r="J113" i="28" s="1"/>
  <c r="I112" i="28"/>
  <c r="J112" i="28" s="1"/>
  <c r="I111" i="28"/>
  <c r="J111" i="28" s="1"/>
  <c r="I110" i="28"/>
  <c r="J110" i="28" s="1"/>
  <c r="I109" i="28"/>
  <c r="J109" i="28" s="1"/>
  <c r="I108" i="28"/>
  <c r="J108" i="28" s="1"/>
  <c r="I107" i="28"/>
  <c r="J107" i="28" s="1"/>
  <c r="I106" i="28"/>
  <c r="J106" i="28" s="1"/>
  <c r="I105" i="28"/>
  <c r="J105" i="28" s="1"/>
  <c r="I104" i="28"/>
  <c r="J104" i="28" s="1"/>
  <c r="I103" i="28"/>
  <c r="J103" i="28" s="1"/>
  <c r="I102" i="28"/>
  <c r="J102" i="28" s="1"/>
  <c r="I101" i="28"/>
  <c r="J101" i="28" s="1"/>
  <c r="I100" i="28"/>
  <c r="J100" i="28" s="1"/>
  <c r="I99" i="28"/>
  <c r="J99" i="28" s="1"/>
  <c r="I98" i="28"/>
  <c r="J98" i="28" s="1"/>
  <c r="I97" i="28"/>
  <c r="J97" i="28" s="1"/>
  <c r="I96" i="28"/>
  <c r="J96" i="28" s="1"/>
  <c r="I95" i="28"/>
  <c r="J95" i="28" s="1"/>
  <c r="I94" i="28"/>
  <c r="J94" i="28" s="1"/>
  <c r="I93" i="28"/>
  <c r="J93" i="28" s="1"/>
  <c r="I92" i="28"/>
  <c r="J92" i="28" s="1"/>
  <c r="I91" i="28"/>
  <c r="J91" i="28" s="1"/>
  <c r="I90" i="28"/>
  <c r="J90" i="28" s="1"/>
  <c r="I89" i="28"/>
  <c r="J89" i="28" s="1"/>
  <c r="I88" i="28"/>
  <c r="J88" i="28" s="1"/>
  <c r="I87" i="28"/>
  <c r="J87" i="28" s="1"/>
  <c r="I86" i="28"/>
  <c r="J86" i="28" s="1"/>
  <c r="H75" i="28"/>
  <c r="I75" i="28" s="1"/>
  <c r="J75" i="28" s="1"/>
  <c r="H76" i="28"/>
  <c r="I76" i="28" s="1"/>
  <c r="J76" i="28" s="1"/>
  <c r="H77" i="28"/>
  <c r="I77" i="28" s="1"/>
  <c r="J77" i="28" s="1"/>
  <c r="H78" i="28"/>
  <c r="I78" i="28" s="1"/>
  <c r="J78" i="28" s="1"/>
  <c r="H74" i="28"/>
  <c r="I74" i="28" s="1"/>
  <c r="J74" i="28" s="1"/>
  <c r="H69" i="28"/>
  <c r="I69" i="28" s="1"/>
  <c r="J69" i="28" s="1"/>
  <c r="H70" i="28"/>
  <c r="I70" i="28" s="1"/>
  <c r="J70" i="28" s="1"/>
  <c r="H71" i="28"/>
  <c r="I71" i="28" s="1"/>
  <c r="J71" i="28" s="1"/>
  <c r="H67" i="28"/>
  <c r="I67" i="28" s="1"/>
  <c r="J67" i="28" s="1"/>
  <c r="H68" i="28"/>
  <c r="I68" i="28" s="1"/>
  <c r="J68" i="28" s="1"/>
  <c r="H64" i="28"/>
  <c r="I64" i="28" s="1"/>
  <c r="J64" i="28" s="1"/>
  <c r="H65" i="28"/>
  <c r="I65" i="28" s="1"/>
  <c r="J65" i="28" s="1"/>
  <c r="H66" i="28"/>
  <c r="I66" i="28" s="1"/>
  <c r="J66" i="28" s="1"/>
  <c r="H60" i="28"/>
  <c r="I60" i="28" s="1"/>
  <c r="J60" i="28" s="1"/>
  <c r="H61" i="28"/>
  <c r="I61" i="28" s="1"/>
  <c r="J61" i="28" s="1"/>
  <c r="H62" i="28"/>
  <c r="I62" i="28" s="1"/>
  <c r="J62" i="28" s="1"/>
  <c r="I63" i="28"/>
  <c r="J63" i="28" s="1"/>
  <c r="H58" i="28"/>
  <c r="I58" i="28" s="1"/>
  <c r="J58" i="28" s="1"/>
  <c r="I85" i="28"/>
  <c r="I84" i="28"/>
  <c r="J84" i="28" s="1"/>
  <c r="I83" i="28"/>
  <c r="J83" i="28" s="1"/>
  <c r="I82" i="28"/>
  <c r="J82" i="28" s="1"/>
  <c r="I81" i="28"/>
  <c r="J81" i="28" s="1"/>
  <c r="I80" i="28"/>
  <c r="J80" i="28" s="1"/>
  <c r="I79" i="28"/>
  <c r="J79" i="28" s="1"/>
  <c r="H73" i="28"/>
  <c r="I73" i="28" s="1"/>
  <c r="J73" i="28" s="1"/>
  <c r="H72" i="28"/>
  <c r="I72" i="28" s="1"/>
  <c r="J72" i="28" s="1"/>
  <c r="H59" i="28"/>
  <c r="I59" i="28" s="1"/>
  <c r="J59" i="28" s="1"/>
  <c r="I57" i="28"/>
  <c r="J57" i="28" s="1"/>
  <c r="I56" i="28"/>
  <c r="J56" i="28" s="1"/>
  <c r="I55" i="28"/>
  <c r="J55" i="28" s="1"/>
  <c r="I54" i="28"/>
  <c r="J54" i="28" s="1"/>
  <c r="I53" i="28"/>
  <c r="J53" i="28" s="1"/>
  <c r="I52" i="28"/>
  <c r="J52" i="28" s="1"/>
  <c r="I51" i="28"/>
  <c r="J51" i="28" s="1"/>
  <c r="I50" i="28"/>
  <c r="J50" i="28" s="1"/>
  <c r="I49" i="28"/>
  <c r="J49" i="28" s="1"/>
  <c r="I48" i="28"/>
  <c r="J48" i="28" s="1"/>
  <c r="I47" i="28"/>
  <c r="J47" i="28" s="1"/>
  <c r="I46" i="28"/>
  <c r="J46" i="28" s="1"/>
  <c r="I45" i="28"/>
  <c r="J45" i="28" s="1"/>
  <c r="I44" i="28"/>
  <c r="J44" i="28" s="1"/>
  <c r="I33" i="28"/>
  <c r="J33" i="28" s="1"/>
  <c r="H34" i="28"/>
  <c r="I34" i="28" s="1"/>
  <c r="J34" i="28" s="1"/>
  <c r="H36" i="28"/>
  <c r="I36" i="28" s="1"/>
  <c r="J36" i="28" s="1"/>
  <c r="I35" i="28"/>
  <c r="J35" i="28" s="1"/>
  <c r="H30" i="28"/>
  <c r="I30" i="28" s="1"/>
  <c r="J30" i="28" s="1"/>
  <c r="H31" i="28"/>
  <c r="I31" i="28" s="1"/>
  <c r="J31" i="28" s="1"/>
  <c r="H29" i="28"/>
  <c r="I29" i="28" s="1"/>
  <c r="J29" i="28" s="1"/>
  <c r="H28" i="28"/>
  <c r="I28" i="28" s="1"/>
  <c r="J28" i="28" s="1"/>
  <c r="H20" i="28"/>
  <c r="I20" i="28" s="1"/>
  <c r="J20" i="28" s="1"/>
  <c r="H22" i="28"/>
  <c r="I22" i="28" s="1"/>
  <c r="J22" i="28" s="1"/>
  <c r="H23" i="28"/>
  <c r="I23" i="28" s="1"/>
  <c r="J23" i="28" s="1"/>
  <c r="H17" i="28"/>
  <c r="I17" i="28" s="1"/>
  <c r="J17" i="28" s="1"/>
  <c r="I43" i="28"/>
  <c r="I42" i="28"/>
  <c r="J42" i="28" s="1"/>
  <c r="I41" i="28"/>
  <c r="J41" i="28" s="1"/>
  <c r="I40" i="28"/>
  <c r="J40" i="28" s="1"/>
  <c r="I39" i="28"/>
  <c r="J39" i="28" s="1"/>
  <c r="I38" i="28"/>
  <c r="J38" i="28" s="1"/>
  <c r="I37" i="28"/>
  <c r="J37" i="28" s="1"/>
  <c r="I32" i="28"/>
  <c r="J32" i="28" s="1"/>
  <c r="H27" i="28"/>
  <c r="I27" i="28" s="1"/>
  <c r="J27" i="28" s="1"/>
  <c r="H26" i="28"/>
  <c r="I26" i="28" s="1"/>
  <c r="J26" i="28" s="1"/>
  <c r="H25" i="28"/>
  <c r="I25" i="28" s="1"/>
  <c r="J25" i="28" s="1"/>
  <c r="H24" i="28"/>
  <c r="I24" i="28" s="1"/>
  <c r="J24" i="28" s="1"/>
  <c r="I21" i="28"/>
  <c r="J21" i="28" s="1"/>
  <c r="H19" i="28"/>
  <c r="I19" i="28" s="1"/>
  <c r="J19" i="28" s="1"/>
  <c r="H18" i="28"/>
  <c r="I18" i="28" s="1"/>
  <c r="J18" i="28" s="1"/>
  <c r="I16" i="28"/>
  <c r="J16" i="28" s="1"/>
  <c r="I15" i="28"/>
  <c r="J15" i="28" s="1"/>
  <c r="I14" i="28"/>
  <c r="J14" i="28" s="1"/>
  <c r="I13" i="28"/>
  <c r="J13" i="28" s="1"/>
  <c r="I12" i="28"/>
  <c r="J12" i="28" s="1"/>
  <c r="I11" i="28"/>
  <c r="J11" i="28" s="1"/>
  <c r="I10" i="28"/>
  <c r="J10" i="28" s="1"/>
  <c r="I9" i="28"/>
  <c r="J9" i="28" s="1"/>
  <c r="I8" i="28"/>
  <c r="J8" i="28" s="1"/>
  <c r="I7" i="28"/>
  <c r="J7" i="28" s="1"/>
  <c r="I6" i="28"/>
  <c r="J6" i="28" s="1"/>
  <c r="I5" i="28"/>
  <c r="J5" i="28" s="1"/>
  <c r="I4" i="28"/>
  <c r="J4" i="28" s="1"/>
  <c r="I3" i="28"/>
  <c r="J3" i="28" s="1"/>
  <c r="I2" i="28"/>
  <c r="J2" i="28" s="1"/>
  <c r="H310" i="27"/>
  <c r="I310" i="27" s="1"/>
  <c r="J310" i="27" s="1"/>
  <c r="H311" i="27"/>
  <c r="I311" i="27" s="1"/>
  <c r="J311" i="27" s="1"/>
  <c r="H308" i="27"/>
  <c r="H309" i="27"/>
  <c r="I309" i="27" s="1"/>
  <c r="J309" i="27" s="1"/>
  <c r="H307" i="27"/>
  <c r="I307" i="27" s="1"/>
  <c r="J307" i="27" s="1"/>
  <c r="H305" i="27"/>
  <c r="I305" i="27" s="1"/>
  <c r="J305" i="27" s="1"/>
  <c r="H306" i="27"/>
  <c r="I306" i="27" s="1"/>
  <c r="J306" i="27" s="1"/>
  <c r="H304" i="27"/>
  <c r="I304" i="27" s="1"/>
  <c r="J304" i="27" s="1"/>
  <c r="H291" i="27"/>
  <c r="I291" i="27" s="1"/>
  <c r="J291" i="27" s="1"/>
  <c r="I318" i="27"/>
  <c r="J318" i="27" s="1"/>
  <c r="I317" i="27"/>
  <c r="J317" i="27" s="1"/>
  <c r="I316" i="27"/>
  <c r="J316" i="27" s="1"/>
  <c r="I315" i="27"/>
  <c r="J315" i="27" s="1"/>
  <c r="I314" i="27"/>
  <c r="J314" i="27" s="1"/>
  <c r="I313" i="27"/>
  <c r="J313" i="27" s="1"/>
  <c r="I312" i="27"/>
  <c r="J312" i="27" s="1"/>
  <c r="I303" i="27"/>
  <c r="J303" i="27" s="1"/>
  <c r="I302" i="27"/>
  <c r="J302" i="27" s="1"/>
  <c r="H301" i="27"/>
  <c r="I301" i="27" s="1"/>
  <c r="J301" i="27" s="1"/>
  <c r="H300" i="27"/>
  <c r="I300" i="27" s="1"/>
  <c r="J300" i="27" s="1"/>
  <c r="H299" i="27"/>
  <c r="I299" i="27" s="1"/>
  <c r="J299" i="27" s="1"/>
  <c r="M299" i="27" s="1"/>
  <c r="Q299" i="27" s="1"/>
  <c r="H298" i="27"/>
  <c r="I298" i="27" s="1"/>
  <c r="J298" i="27" s="1"/>
  <c r="I297" i="27"/>
  <c r="J297" i="27" s="1"/>
  <c r="H296" i="27"/>
  <c r="I296" i="27" s="1"/>
  <c r="J296" i="27" s="1"/>
  <c r="H295" i="27"/>
  <c r="I295" i="27" s="1"/>
  <c r="J295" i="27" s="1"/>
  <c r="H294" i="27"/>
  <c r="I294" i="27" s="1"/>
  <c r="J294" i="27" s="1"/>
  <c r="H293" i="27"/>
  <c r="I293" i="27" s="1"/>
  <c r="J293" i="27" s="1"/>
  <c r="H292" i="27"/>
  <c r="I292" i="27" s="1"/>
  <c r="J292" i="27" s="1"/>
  <c r="I290" i="27"/>
  <c r="J290" i="27" s="1"/>
  <c r="I289" i="27"/>
  <c r="J289" i="27" s="1"/>
  <c r="I288" i="27"/>
  <c r="J288" i="27" s="1"/>
  <c r="I287" i="27"/>
  <c r="J287" i="27" s="1"/>
  <c r="I286" i="27"/>
  <c r="J286" i="27" s="1"/>
  <c r="I285" i="27"/>
  <c r="J285" i="27" s="1"/>
  <c r="I284" i="27"/>
  <c r="J284" i="27" s="1"/>
  <c r="I283" i="27"/>
  <c r="J283" i="27" s="1"/>
  <c r="I282" i="27"/>
  <c r="J282" i="27" s="1"/>
  <c r="I281" i="27"/>
  <c r="J281" i="27" s="1"/>
  <c r="I280" i="27"/>
  <c r="J280" i="27" s="1"/>
  <c r="I279" i="27"/>
  <c r="J279" i="27" s="1"/>
  <c r="I278" i="27"/>
  <c r="J278" i="27" s="1"/>
  <c r="H271" i="27"/>
  <c r="I271" i="27" s="1"/>
  <c r="J271" i="27" s="1"/>
  <c r="H272" i="27"/>
  <c r="I272" i="27" s="1"/>
  <c r="J272" i="27" s="1"/>
  <c r="H273" i="27"/>
  <c r="I273" i="27" s="1"/>
  <c r="J273" i="27" s="1"/>
  <c r="H264" i="27"/>
  <c r="I264" i="27" s="1"/>
  <c r="J264" i="27" s="1"/>
  <c r="H265" i="27"/>
  <c r="I265" i="27" s="1"/>
  <c r="J265" i="27" s="1"/>
  <c r="H266" i="27"/>
  <c r="I266" i="27" s="1"/>
  <c r="J266" i="27" s="1"/>
  <c r="H261" i="27"/>
  <c r="I261" i="27" s="1"/>
  <c r="J261" i="27" s="1"/>
  <c r="H262" i="27"/>
  <c r="I262" i="27" s="1"/>
  <c r="J262" i="27" s="1"/>
  <c r="I257" i="27"/>
  <c r="J257" i="27" s="1"/>
  <c r="I258" i="27"/>
  <c r="J258" i="27" s="1"/>
  <c r="I259" i="27"/>
  <c r="J259" i="27" s="1"/>
  <c r="H248" i="27"/>
  <c r="I248" i="27" s="1"/>
  <c r="J248" i="27" s="1"/>
  <c r="H249" i="27"/>
  <c r="I249" i="27" s="1"/>
  <c r="J249" i="27" s="1"/>
  <c r="H250" i="27"/>
  <c r="I250" i="27" s="1"/>
  <c r="J250" i="27" s="1"/>
  <c r="H251" i="27"/>
  <c r="I251" i="27" s="1"/>
  <c r="J251" i="27" s="1"/>
  <c r="H252" i="27"/>
  <c r="I252" i="27" s="1"/>
  <c r="J252" i="27" s="1"/>
  <c r="H253" i="27"/>
  <c r="I253" i="27" s="1"/>
  <c r="J253" i="27" s="1"/>
  <c r="H254" i="27"/>
  <c r="I254" i="27" s="1"/>
  <c r="J254" i="27" s="1"/>
  <c r="H255" i="27"/>
  <c r="I255" i="27" s="1"/>
  <c r="J255" i="27" s="1"/>
  <c r="H256" i="27"/>
  <c r="I256" i="27" s="1"/>
  <c r="J256" i="27" s="1"/>
  <c r="H277" i="27"/>
  <c r="I277" i="27" s="1"/>
  <c r="J277" i="27" s="1"/>
  <c r="H276" i="27"/>
  <c r="I276" i="27" s="1"/>
  <c r="J276" i="27" s="1"/>
  <c r="H275" i="27"/>
  <c r="I275" i="27" s="1"/>
  <c r="J275" i="27" s="1"/>
  <c r="H274" i="27"/>
  <c r="I274" i="27" s="1"/>
  <c r="J274" i="27" s="1"/>
  <c r="I270" i="27"/>
  <c r="J270" i="27" s="1"/>
  <c r="J269" i="27"/>
  <c r="I268" i="27"/>
  <c r="J268" i="27" s="1"/>
  <c r="I267" i="27"/>
  <c r="J267" i="27" s="1"/>
  <c r="H263" i="27"/>
  <c r="I263" i="27" s="1"/>
  <c r="J263" i="27" s="1"/>
  <c r="H260" i="27"/>
  <c r="I260" i="27" s="1"/>
  <c r="J260" i="27" s="1"/>
  <c r="H247" i="27"/>
  <c r="I247" i="27" s="1"/>
  <c r="J247" i="27" s="1"/>
  <c r="I246" i="27"/>
  <c r="J246" i="27" s="1"/>
  <c r="I245" i="27"/>
  <c r="J245" i="27" s="1"/>
  <c r="I244" i="27"/>
  <c r="J244" i="27" s="1"/>
  <c r="M244" i="27" s="1"/>
  <c r="Q244" i="27" s="1"/>
  <c r="I243" i="27"/>
  <c r="J243" i="27" s="1"/>
  <c r="I242" i="27"/>
  <c r="J242" i="27" s="1"/>
  <c r="I241" i="27"/>
  <c r="J241" i="27" s="1"/>
  <c r="I240" i="27"/>
  <c r="J240" i="27" s="1"/>
  <c r="I239" i="27"/>
  <c r="J239" i="27" s="1"/>
  <c r="H226" i="27"/>
  <c r="I226" i="27" s="1"/>
  <c r="J226" i="27" s="1"/>
  <c r="H227" i="27"/>
  <c r="I227" i="27" s="1"/>
  <c r="J227" i="27" s="1"/>
  <c r="I224" i="27"/>
  <c r="J224" i="27" s="1"/>
  <c r="H222" i="27"/>
  <c r="I222" i="27" s="1"/>
  <c r="J222" i="27" s="1"/>
  <c r="H223" i="27"/>
  <c r="I223" i="27" s="1"/>
  <c r="J223" i="27" s="1"/>
  <c r="H221" i="27"/>
  <c r="I221" i="27" s="1"/>
  <c r="J221" i="27" s="1"/>
  <c r="I219" i="27"/>
  <c r="J219" i="27" s="1"/>
  <c r="I220" i="27"/>
  <c r="J220" i="27" s="1"/>
  <c r="H209" i="27"/>
  <c r="I209" i="27" s="1"/>
  <c r="J209" i="27" s="1"/>
  <c r="H210" i="27"/>
  <c r="I210" i="27" s="1"/>
  <c r="J210" i="27" s="1"/>
  <c r="H211" i="27"/>
  <c r="I211" i="27" s="1"/>
  <c r="J211" i="27" s="1"/>
  <c r="H212" i="27"/>
  <c r="I212" i="27" s="1"/>
  <c r="J212" i="27" s="1"/>
  <c r="H213" i="27"/>
  <c r="I213" i="27" s="1"/>
  <c r="J213" i="27" s="1"/>
  <c r="H214" i="27"/>
  <c r="I214" i="27" s="1"/>
  <c r="J214" i="27" s="1"/>
  <c r="H215" i="27"/>
  <c r="I215" i="27" s="1"/>
  <c r="J215" i="27" s="1"/>
  <c r="H216" i="27"/>
  <c r="I216" i="27" s="1"/>
  <c r="J216" i="27" s="1"/>
  <c r="H217" i="27"/>
  <c r="I217" i="27" s="1"/>
  <c r="J217" i="27" s="1"/>
  <c r="H218" i="27"/>
  <c r="I218" i="27" s="1"/>
  <c r="J218" i="27" s="1"/>
  <c r="H208" i="27"/>
  <c r="I208" i="27" s="1"/>
  <c r="J208" i="27" s="1"/>
  <c r="H238" i="27"/>
  <c r="I238" i="27" s="1"/>
  <c r="J238" i="27" s="1"/>
  <c r="H237" i="27"/>
  <c r="I237" i="27" s="1"/>
  <c r="J237" i="27" s="1"/>
  <c r="H236" i="27"/>
  <c r="I236" i="27" s="1"/>
  <c r="J236" i="27" s="1"/>
  <c r="H235" i="27"/>
  <c r="I235" i="27" s="1"/>
  <c r="J235" i="27" s="1"/>
  <c r="H234" i="27"/>
  <c r="I234" i="27" s="1"/>
  <c r="J234" i="27" s="1"/>
  <c r="I233" i="27"/>
  <c r="J233" i="27" s="1"/>
  <c r="I232" i="27"/>
  <c r="J232" i="27" s="1"/>
  <c r="I231" i="27"/>
  <c r="J231" i="27" s="1"/>
  <c r="J230" i="27"/>
  <c r="I229" i="27"/>
  <c r="J229" i="27" s="1"/>
  <c r="I228" i="27"/>
  <c r="J228" i="27" s="1"/>
  <c r="H225" i="27"/>
  <c r="I225" i="27" s="1"/>
  <c r="J225" i="27" s="1"/>
  <c r="I207" i="27"/>
  <c r="J207" i="27" s="1"/>
  <c r="I206" i="27"/>
  <c r="J206" i="27" s="1"/>
  <c r="I205" i="27"/>
  <c r="J205" i="27" s="1"/>
  <c r="I204" i="27"/>
  <c r="J204" i="27" s="1"/>
  <c r="I203" i="27"/>
  <c r="J203" i="27" s="1"/>
  <c r="I202" i="27"/>
  <c r="J202" i="27" s="1"/>
  <c r="I201" i="27"/>
  <c r="J201" i="27" s="1"/>
  <c r="I200" i="27"/>
  <c r="J200" i="27" s="1"/>
  <c r="H186" i="27"/>
  <c r="I186" i="27" s="1"/>
  <c r="J186" i="27" s="1"/>
  <c r="H184" i="27"/>
  <c r="I184" i="27" s="1"/>
  <c r="J184" i="27" s="1"/>
  <c r="I185" i="27"/>
  <c r="J185" i="27" s="1"/>
  <c r="H187" i="27"/>
  <c r="I187" i="27" s="1"/>
  <c r="J187" i="27" s="1"/>
  <c r="H174" i="27"/>
  <c r="I174" i="27" s="1"/>
  <c r="J174" i="27" s="1"/>
  <c r="H175" i="27"/>
  <c r="I175" i="27" s="1"/>
  <c r="J175" i="27" s="1"/>
  <c r="H176" i="27"/>
  <c r="I176" i="27" s="1"/>
  <c r="J176" i="27" s="1"/>
  <c r="H177" i="27"/>
  <c r="I177" i="27" s="1"/>
  <c r="J177" i="27" s="1"/>
  <c r="H178" i="27"/>
  <c r="I178" i="27" s="1"/>
  <c r="J178" i="27" s="1"/>
  <c r="H179" i="27"/>
  <c r="I179" i="27" s="1"/>
  <c r="J179" i="27" s="1"/>
  <c r="I180" i="27"/>
  <c r="J180" i="27" s="1"/>
  <c r="I181" i="27"/>
  <c r="J181" i="27" s="1"/>
  <c r="I182" i="27"/>
  <c r="J182" i="27" s="1"/>
  <c r="H183" i="27"/>
  <c r="I183" i="27" s="1"/>
  <c r="J183" i="27" s="1"/>
  <c r="H199" i="27"/>
  <c r="I199" i="27" s="1"/>
  <c r="J199" i="27" s="1"/>
  <c r="H198" i="27"/>
  <c r="I198" i="27" s="1"/>
  <c r="J198" i="27" s="1"/>
  <c r="H197" i="27"/>
  <c r="I197" i="27" s="1"/>
  <c r="J197" i="27" s="1"/>
  <c r="H196" i="27"/>
  <c r="I196" i="27" s="1"/>
  <c r="J196" i="27" s="1"/>
  <c r="H195" i="27"/>
  <c r="I195" i="27" s="1"/>
  <c r="J195" i="27" s="1"/>
  <c r="I194" i="27"/>
  <c r="J194" i="27" s="1"/>
  <c r="I193" i="27"/>
  <c r="J193" i="27" s="1"/>
  <c r="I192" i="27"/>
  <c r="J192" i="27" s="1"/>
  <c r="J191" i="27"/>
  <c r="I190" i="27"/>
  <c r="J190" i="27" s="1"/>
  <c r="I189" i="27"/>
  <c r="J189" i="27" s="1"/>
  <c r="H188" i="27"/>
  <c r="I188" i="27" s="1"/>
  <c r="J188" i="27" s="1"/>
  <c r="H173" i="27"/>
  <c r="I173" i="27" s="1"/>
  <c r="J173" i="27" s="1"/>
  <c r="I172" i="27"/>
  <c r="J172" i="27" s="1"/>
  <c r="I171" i="27"/>
  <c r="J171" i="27" s="1"/>
  <c r="I170" i="27"/>
  <c r="J170" i="27" s="1"/>
  <c r="I169" i="27"/>
  <c r="J169" i="27" s="1"/>
  <c r="I168" i="27"/>
  <c r="J168" i="27" s="1"/>
  <c r="I167" i="27"/>
  <c r="J167" i="27" s="1"/>
  <c r="I166" i="27"/>
  <c r="J166" i="27" s="1"/>
  <c r="I165" i="27"/>
  <c r="J165" i="27" s="1"/>
  <c r="I164" i="27"/>
  <c r="J164" i="27" s="1"/>
  <c r="I163" i="27"/>
  <c r="J163" i="27" s="1"/>
  <c r="I162" i="27"/>
  <c r="J162" i="27" s="1"/>
  <c r="I161" i="27"/>
  <c r="J161" i="27" s="1"/>
  <c r="H160" i="27"/>
  <c r="I160" i="27" s="1"/>
  <c r="J160" i="27" s="1"/>
  <c r="H159" i="27"/>
  <c r="I159" i="27" s="1"/>
  <c r="J159" i="27" s="1"/>
  <c r="H158" i="27"/>
  <c r="I158" i="27" s="1"/>
  <c r="J158" i="27" s="1"/>
  <c r="H157" i="27"/>
  <c r="I157" i="27" s="1"/>
  <c r="J157" i="27" s="1"/>
  <c r="H156" i="27"/>
  <c r="I156" i="27" s="1"/>
  <c r="J156" i="27" s="1"/>
  <c r="I155" i="27"/>
  <c r="J155" i="27" s="1"/>
  <c r="I154" i="27"/>
  <c r="J154" i="27" s="1"/>
  <c r="I153" i="27"/>
  <c r="J153" i="27" s="1"/>
  <c r="J152" i="27"/>
  <c r="I151" i="27"/>
  <c r="J151" i="27" s="1"/>
  <c r="I150" i="27"/>
  <c r="J150" i="27" s="1"/>
  <c r="H149" i="27"/>
  <c r="I149" i="27" s="1"/>
  <c r="J149" i="27" s="1"/>
  <c r="H148" i="27"/>
  <c r="I148" i="27" s="1"/>
  <c r="J148" i="27" s="1"/>
  <c r="H147" i="27"/>
  <c r="I147" i="27" s="1"/>
  <c r="J147" i="27" s="1"/>
  <c r="H146" i="27"/>
  <c r="I146" i="27" s="1"/>
  <c r="J146" i="27" s="1"/>
  <c r="H145" i="27"/>
  <c r="I145" i="27" s="1"/>
  <c r="J145" i="27" s="1"/>
  <c r="H144" i="27"/>
  <c r="I144" i="27" s="1"/>
  <c r="J144" i="27" s="1"/>
  <c r="H143" i="27"/>
  <c r="I143" i="27" s="1"/>
  <c r="J143" i="27" s="1"/>
  <c r="I142" i="27"/>
  <c r="J142" i="27" s="1"/>
  <c r="I141" i="27"/>
  <c r="J141" i="27" s="1"/>
  <c r="I140" i="27"/>
  <c r="J140" i="27" s="1"/>
  <c r="H139" i="27"/>
  <c r="I139" i="27" s="1"/>
  <c r="J139" i="27" s="1"/>
  <c r="H138" i="27"/>
  <c r="I138" i="27" s="1"/>
  <c r="J138" i="27" s="1"/>
  <c r="H137" i="27"/>
  <c r="I137" i="27" s="1"/>
  <c r="J137" i="27" s="1"/>
  <c r="H136" i="27"/>
  <c r="I136" i="27" s="1"/>
  <c r="J136" i="27" s="1"/>
  <c r="H135" i="27"/>
  <c r="I135" i="27" s="1"/>
  <c r="J135" i="27" s="1"/>
  <c r="H134" i="27"/>
  <c r="I134" i="27" s="1"/>
  <c r="J134" i="27" s="1"/>
  <c r="H133" i="27"/>
  <c r="I133" i="27" s="1"/>
  <c r="J133" i="27" s="1"/>
  <c r="H132" i="27"/>
  <c r="I132" i="27" s="1"/>
  <c r="J132" i="27" s="1"/>
  <c r="H131" i="27"/>
  <c r="I131" i="27" s="1"/>
  <c r="J131" i="27" s="1"/>
  <c r="I130" i="27"/>
  <c r="J130" i="27" s="1"/>
  <c r="I129" i="27"/>
  <c r="J129" i="27" s="1"/>
  <c r="M129" i="27" s="1"/>
  <c r="Q129" i="27" s="1"/>
  <c r="I128" i="27"/>
  <c r="J128" i="27" s="1"/>
  <c r="I127" i="27"/>
  <c r="J127" i="27" s="1"/>
  <c r="I126" i="27"/>
  <c r="J126" i="27" s="1"/>
  <c r="M126" i="27" s="1"/>
  <c r="Q126" i="27" s="1"/>
  <c r="I125" i="27"/>
  <c r="J125" i="27" s="1"/>
  <c r="I124" i="27"/>
  <c r="J124" i="27" s="1"/>
  <c r="I123" i="27"/>
  <c r="J123" i="27" s="1"/>
  <c r="I122" i="27"/>
  <c r="J122" i="27" s="1"/>
  <c r="I121" i="27"/>
  <c r="I119" i="27"/>
  <c r="J119" i="27" s="1"/>
  <c r="I120" i="27"/>
  <c r="J120" i="27" s="1"/>
  <c r="M120" i="27" s="1"/>
  <c r="Q120" i="27" s="1"/>
  <c r="H113" i="27"/>
  <c r="I113" i="27" s="1"/>
  <c r="J113" i="27" s="1"/>
  <c r="H111" i="27"/>
  <c r="I111" i="27" s="1"/>
  <c r="J111" i="27" s="1"/>
  <c r="H112" i="27"/>
  <c r="I112" i="27" s="1"/>
  <c r="J112" i="27" s="1"/>
  <c r="H109" i="27"/>
  <c r="I109" i="27" s="1"/>
  <c r="J109" i="27" s="1"/>
  <c r="H108" i="27"/>
  <c r="I108" i="27" s="1"/>
  <c r="J108" i="27" s="1"/>
  <c r="I104" i="27"/>
  <c r="J104" i="27" s="1"/>
  <c r="I105" i="27"/>
  <c r="J105" i="27" s="1"/>
  <c r="I106" i="27"/>
  <c r="J106" i="27" s="1"/>
  <c r="I107" i="27"/>
  <c r="J107" i="27" s="1"/>
  <c r="H103" i="27"/>
  <c r="I103" i="27" s="1"/>
  <c r="J103" i="27" s="1"/>
  <c r="H110" i="27"/>
  <c r="H95" i="27"/>
  <c r="I95" i="27" s="1"/>
  <c r="J95" i="27" s="1"/>
  <c r="H96" i="27"/>
  <c r="I96" i="27" s="1"/>
  <c r="J96" i="27" s="1"/>
  <c r="H97" i="27"/>
  <c r="I97" i="27" s="1"/>
  <c r="J97" i="27" s="1"/>
  <c r="H98" i="27"/>
  <c r="I98" i="27" s="1"/>
  <c r="J98" i="27" s="1"/>
  <c r="I99" i="27"/>
  <c r="J99" i="27" s="1"/>
  <c r="H100" i="27"/>
  <c r="I100" i="27" s="1"/>
  <c r="J100" i="27" s="1"/>
  <c r="H101" i="27"/>
  <c r="I101" i="27" s="1"/>
  <c r="J101" i="27" s="1"/>
  <c r="H102" i="27"/>
  <c r="I102" i="27" s="1"/>
  <c r="J102" i="27" s="1"/>
  <c r="I118" i="27"/>
  <c r="J118" i="27" s="1"/>
  <c r="M118" i="27" s="1"/>
  <c r="Q118" i="27" s="1"/>
  <c r="I117" i="27"/>
  <c r="J117" i="27" s="1"/>
  <c r="I116" i="27"/>
  <c r="J116" i="27" s="1"/>
  <c r="I115" i="27"/>
  <c r="J115" i="27" s="1"/>
  <c r="I114" i="27"/>
  <c r="J114" i="27" s="1"/>
  <c r="H94" i="27"/>
  <c r="I94" i="27" s="1"/>
  <c r="J94" i="27" s="1"/>
  <c r="I93" i="27"/>
  <c r="J93" i="27" s="1"/>
  <c r="I92" i="27"/>
  <c r="J92" i="27" s="1"/>
  <c r="I91" i="27"/>
  <c r="J91" i="27" s="1"/>
  <c r="I90" i="27"/>
  <c r="J90" i="27" s="1"/>
  <c r="I89" i="27"/>
  <c r="J89" i="27" s="1"/>
  <c r="I88" i="27"/>
  <c r="J88" i="27" s="1"/>
  <c r="I87" i="27"/>
  <c r="J87" i="27" s="1"/>
  <c r="I86" i="27"/>
  <c r="J86" i="27" s="1"/>
  <c r="I85" i="27"/>
  <c r="J85" i="27" s="1"/>
  <c r="I84" i="27"/>
  <c r="J84" i="27" s="1"/>
  <c r="I83" i="27"/>
  <c r="J83" i="27" s="1"/>
  <c r="I82" i="27"/>
  <c r="J82" i="27" s="1"/>
  <c r="I81" i="27"/>
  <c r="J81" i="27" s="1"/>
  <c r="I80" i="27"/>
  <c r="J80" i="27" s="1"/>
  <c r="H76" i="27"/>
  <c r="I76" i="27" s="1"/>
  <c r="J76" i="27" s="1"/>
  <c r="H77" i="27"/>
  <c r="I77" i="27" s="1"/>
  <c r="J77" i="27" s="1"/>
  <c r="H78" i="27"/>
  <c r="I78" i="27" s="1"/>
  <c r="J78" i="27" s="1"/>
  <c r="H79" i="27"/>
  <c r="I79" i="27" s="1"/>
  <c r="J79" i="27" s="1"/>
  <c r="H66" i="27"/>
  <c r="I66" i="27" s="1"/>
  <c r="J66" i="27" s="1"/>
  <c r="H67" i="27"/>
  <c r="I67" i="27" s="1"/>
  <c r="J67" i="27" s="1"/>
  <c r="H63" i="27"/>
  <c r="I63" i="27" s="1"/>
  <c r="J63" i="27" s="1"/>
  <c r="H64" i="27"/>
  <c r="I64" i="27" s="1"/>
  <c r="J64" i="27" s="1"/>
  <c r="I70" i="27"/>
  <c r="J70" i="27" s="1"/>
  <c r="J71" i="27"/>
  <c r="I65" i="27"/>
  <c r="J65" i="27" s="1"/>
  <c r="H54" i="27"/>
  <c r="I54" i="27" s="1"/>
  <c r="J54" i="27" s="1"/>
  <c r="H55" i="27"/>
  <c r="I55" i="27" s="1"/>
  <c r="J55" i="27" s="1"/>
  <c r="H56" i="27"/>
  <c r="I56" i="27" s="1"/>
  <c r="J56" i="27" s="1"/>
  <c r="H57" i="27"/>
  <c r="I57" i="27" s="1"/>
  <c r="J57" i="27" s="1"/>
  <c r="H58" i="27"/>
  <c r="I58" i="27" s="1"/>
  <c r="J58" i="27" s="1"/>
  <c r="H59" i="27"/>
  <c r="I59" i="27" s="1"/>
  <c r="J59" i="27" s="1"/>
  <c r="I60" i="27"/>
  <c r="J60" i="27" s="1"/>
  <c r="I61" i="27"/>
  <c r="J61" i="27" s="1"/>
  <c r="I62" i="27"/>
  <c r="J62" i="27" s="1"/>
  <c r="I49" i="27"/>
  <c r="J49" i="27" s="1"/>
  <c r="H75" i="27"/>
  <c r="I75" i="27" s="1"/>
  <c r="J75" i="27" s="1"/>
  <c r="I74" i="27"/>
  <c r="J74" i="27" s="1"/>
  <c r="I73" i="27"/>
  <c r="J73" i="27" s="1"/>
  <c r="I72" i="27"/>
  <c r="J72" i="27" s="1"/>
  <c r="I69" i="27"/>
  <c r="J69" i="27" s="1"/>
  <c r="H68" i="27"/>
  <c r="I68" i="27" s="1"/>
  <c r="J68" i="27" s="1"/>
  <c r="H53" i="27"/>
  <c r="I53" i="27" s="1"/>
  <c r="J53" i="27" s="1"/>
  <c r="I52" i="27"/>
  <c r="J52" i="27" s="1"/>
  <c r="I51" i="27"/>
  <c r="J51" i="27" s="1"/>
  <c r="I50" i="27"/>
  <c r="J50" i="27" s="1"/>
  <c r="I48" i="27"/>
  <c r="J48" i="27" s="1"/>
  <c r="I47" i="27"/>
  <c r="J47" i="27" s="1"/>
  <c r="I46" i="27"/>
  <c r="J46" i="27" s="1"/>
  <c r="I45" i="27"/>
  <c r="J45" i="27" s="1"/>
  <c r="I44" i="27"/>
  <c r="J44" i="27" s="1"/>
  <c r="I43" i="27"/>
  <c r="J43" i="27" s="1"/>
  <c r="I42" i="27"/>
  <c r="J42" i="27" s="1"/>
  <c r="I41" i="27"/>
  <c r="J41" i="27" s="1"/>
  <c r="H36" i="27"/>
  <c r="I36" i="27" s="1"/>
  <c r="J36" i="27" s="1"/>
  <c r="H37" i="27"/>
  <c r="I37" i="27" s="1"/>
  <c r="J37" i="27" s="1"/>
  <c r="H38" i="27"/>
  <c r="I38" i="27" s="1"/>
  <c r="J38" i="27" s="1"/>
  <c r="H39" i="27"/>
  <c r="I39" i="27" s="1"/>
  <c r="J39" i="27" s="1"/>
  <c r="H40" i="27"/>
  <c r="I40" i="27" s="1"/>
  <c r="J40" i="27" s="1"/>
  <c r="H35" i="27"/>
  <c r="I35" i="27" s="1"/>
  <c r="J35" i="27" s="1"/>
  <c r="H27" i="27"/>
  <c r="I27" i="27" s="1"/>
  <c r="J27" i="27" s="1"/>
  <c r="H28" i="27"/>
  <c r="I28" i="27" s="1"/>
  <c r="J28" i="27" s="1"/>
  <c r="H29" i="27"/>
  <c r="I29" i="27" s="1"/>
  <c r="J29" i="27" s="1"/>
  <c r="H26" i="27"/>
  <c r="I26" i="27" s="1"/>
  <c r="J26" i="27" s="1"/>
  <c r="H24" i="27"/>
  <c r="I24" i="27" s="1"/>
  <c r="J24" i="27" s="1"/>
  <c r="H25" i="27"/>
  <c r="I25" i="27" s="1"/>
  <c r="J25" i="27" s="1"/>
  <c r="I30" i="27"/>
  <c r="J30" i="27" s="1"/>
  <c r="H23" i="27"/>
  <c r="I23" i="27" s="1"/>
  <c r="J23" i="27" s="1"/>
  <c r="I22" i="27"/>
  <c r="J22" i="27" s="1"/>
  <c r="I21" i="27"/>
  <c r="J21" i="27" s="1"/>
  <c r="H12" i="27"/>
  <c r="I12" i="27" s="1"/>
  <c r="J12" i="27" s="1"/>
  <c r="H13" i="27"/>
  <c r="I13" i="27" s="1"/>
  <c r="J13" i="27" s="1"/>
  <c r="H14" i="27"/>
  <c r="I14" i="27" s="1"/>
  <c r="J14" i="27" s="1"/>
  <c r="H15" i="27"/>
  <c r="I15" i="27" s="1"/>
  <c r="J15" i="27" s="1"/>
  <c r="H16" i="27"/>
  <c r="I16" i="27" s="1"/>
  <c r="J16" i="27" s="1"/>
  <c r="H17" i="27"/>
  <c r="I17" i="27" s="1"/>
  <c r="J17" i="27" s="1"/>
  <c r="H18" i="27"/>
  <c r="I18" i="27" s="1"/>
  <c r="J18" i="27" s="1"/>
  <c r="H19" i="27"/>
  <c r="I19" i="27" s="1"/>
  <c r="J19" i="27" s="1"/>
  <c r="H20" i="27"/>
  <c r="I20" i="27" s="1"/>
  <c r="J20" i="27" s="1"/>
  <c r="H11" i="27"/>
  <c r="I11" i="27" s="1"/>
  <c r="J11" i="27" s="1"/>
  <c r="I34" i="27"/>
  <c r="J34" i="27" s="1"/>
  <c r="I33" i="27"/>
  <c r="J33" i="27" s="1"/>
  <c r="J32" i="27"/>
  <c r="I31" i="27"/>
  <c r="J31" i="27" s="1"/>
  <c r="I10" i="27"/>
  <c r="J10" i="27" s="1"/>
  <c r="I9" i="27"/>
  <c r="J9" i="27" s="1"/>
  <c r="I8" i="27"/>
  <c r="J8" i="27" s="1"/>
  <c r="I7" i="27"/>
  <c r="J7" i="27" s="1"/>
  <c r="I6" i="27"/>
  <c r="J6" i="27" s="1"/>
  <c r="I5" i="27"/>
  <c r="J5" i="27" s="1"/>
  <c r="M5" i="27" s="1"/>
  <c r="Q5" i="27" s="1"/>
  <c r="I4" i="27"/>
  <c r="J4" i="27" s="1"/>
  <c r="I3" i="27"/>
  <c r="J3" i="27" s="1"/>
  <c r="I2" i="27"/>
  <c r="J2" i="27" s="1"/>
  <c r="J81" i="26"/>
  <c r="H79" i="26"/>
  <c r="J79" i="26" s="1"/>
  <c r="J76" i="26"/>
  <c r="J77" i="26"/>
  <c r="J78" i="26"/>
  <c r="J75" i="26"/>
  <c r="J72" i="26"/>
  <c r="J73" i="26"/>
  <c r="J74" i="26"/>
  <c r="J71" i="26"/>
  <c r="J67" i="26"/>
  <c r="J70" i="26"/>
  <c r="J80" i="26"/>
  <c r="J69" i="26"/>
  <c r="J68" i="26"/>
  <c r="J60" i="26"/>
  <c r="J62" i="26"/>
  <c r="J63" i="26"/>
  <c r="J64" i="26"/>
  <c r="J65" i="26"/>
  <c r="J66" i="26"/>
  <c r="J61" i="26"/>
  <c r="J59" i="26"/>
  <c r="J58" i="26"/>
  <c r="J57" i="26"/>
  <c r="J56" i="26"/>
  <c r="J55" i="26"/>
  <c r="J54" i="26"/>
  <c r="J53" i="26"/>
  <c r="J52" i="26"/>
  <c r="J51" i="26"/>
  <c r="J50" i="26"/>
  <c r="J49" i="26"/>
  <c r="J48" i="26"/>
  <c r="J47" i="26"/>
  <c r="J46" i="26"/>
  <c r="J45" i="26"/>
  <c r="J44" i="26"/>
  <c r="J43" i="26"/>
  <c r="J42" i="26"/>
  <c r="J41" i="26"/>
  <c r="J162" i="26"/>
  <c r="J161" i="26"/>
  <c r="H159" i="26"/>
  <c r="J159" i="26" s="1"/>
  <c r="J156" i="26"/>
  <c r="J157" i="26"/>
  <c r="J158" i="26"/>
  <c r="J155" i="26"/>
  <c r="J154" i="26"/>
  <c r="J150" i="26"/>
  <c r="J151" i="26"/>
  <c r="J152" i="26"/>
  <c r="J153" i="26"/>
  <c r="J149" i="26"/>
  <c r="J148" i="26"/>
  <c r="J143" i="26"/>
  <c r="J144" i="26"/>
  <c r="J146" i="26"/>
  <c r="J147" i="26"/>
  <c r="J141" i="26"/>
  <c r="H137" i="26"/>
  <c r="J137" i="26" s="1"/>
  <c r="H138" i="26"/>
  <c r="J138" i="26" s="1"/>
  <c r="H139" i="26"/>
  <c r="J139" i="26" s="1"/>
  <c r="H140" i="26"/>
  <c r="J140" i="26" s="1"/>
  <c r="H160" i="26"/>
  <c r="J160" i="26" s="1"/>
  <c r="J145" i="26"/>
  <c r="J142" i="26"/>
  <c r="H136" i="26"/>
  <c r="J136" i="26" s="1"/>
  <c r="J135" i="26"/>
  <c r="J134" i="26"/>
  <c r="J133" i="26"/>
  <c r="J132" i="26"/>
  <c r="J131" i="26"/>
  <c r="J130" i="26"/>
  <c r="J129" i="26"/>
  <c r="J128" i="26"/>
  <c r="J127" i="26"/>
  <c r="J126" i="26"/>
  <c r="J125" i="26"/>
  <c r="J124" i="26"/>
  <c r="J123" i="26"/>
  <c r="J122" i="26"/>
  <c r="J281" i="26"/>
  <c r="J282" i="26"/>
  <c r="H280" i="26"/>
  <c r="J280" i="26" s="1"/>
  <c r="J277" i="26"/>
  <c r="J278" i="26"/>
  <c r="J279" i="26"/>
  <c r="J276" i="26"/>
  <c r="J275" i="26"/>
  <c r="J271" i="26"/>
  <c r="J272" i="26"/>
  <c r="J273" i="26"/>
  <c r="J274" i="26"/>
  <c r="J270" i="26"/>
  <c r="J269" i="26"/>
  <c r="J268" i="26"/>
  <c r="J267" i="26"/>
  <c r="J266" i="26"/>
  <c r="J263" i="26"/>
  <c r="J264" i="26"/>
  <c r="H265" i="26"/>
  <c r="J265" i="26" s="1"/>
  <c r="H256" i="26"/>
  <c r="J256" i="26" s="1"/>
  <c r="H257" i="26"/>
  <c r="J257" i="26" s="1"/>
  <c r="H258" i="26"/>
  <c r="J258" i="26" s="1"/>
  <c r="H259" i="26"/>
  <c r="J259" i="26" s="1"/>
  <c r="H260" i="26"/>
  <c r="J260" i="26" s="1"/>
  <c r="J261" i="26"/>
  <c r="J262" i="26"/>
  <c r="H255" i="26"/>
  <c r="J255" i="26" s="1"/>
  <c r="J254" i="26"/>
  <c r="J253" i="26"/>
  <c r="J252" i="26"/>
  <c r="J251" i="26"/>
  <c r="J250" i="26"/>
  <c r="J249" i="26"/>
  <c r="J248" i="26"/>
  <c r="J247" i="26"/>
  <c r="J246" i="26"/>
  <c r="J245" i="26"/>
  <c r="J244" i="26"/>
  <c r="J243" i="26"/>
  <c r="J242" i="26"/>
  <c r="H322" i="26"/>
  <c r="J322" i="26" s="1"/>
  <c r="H321" i="26"/>
  <c r="J321" i="26" s="1"/>
  <c r="H320" i="26"/>
  <c r="J320" i="26" s="1"/>
  <c r="H319" i="26"/>
  <c r="J319" i="26" s="1"/>
  <c r="H318" i="26"/>
  <c r="J318" i="26" s="1"/>
  <c r="H317" i="26"/>
  <c r="J317" i="26" s="1"/>
  <c r="J316" i="26"/>
  <c r="J315" i="26"/>
  <c r="J314" i="26"/>
  <c r="J313" i="26"/>
  <c r="J312" i="26"/>
  <c r="J311" i="26"/>
  <c r="J310" i="26"/>
  <c r="J309" i="26"/>
  <c r="J308" i="26"/>
  <c r="H307" i="26"/>
  <c r="J307" i="26" s="1"/>
  <c r="H306" i="26"/>
  <c r="J306" i="26" s="1"/>
  <c r="J305" i="26"/>
  <c r="J304" i="26"/>
  <c r="J303" i="26"/>
  <c r="J302" i="26"/>
  <c r="J301" i="26"/>
  <c r="H300" i="26"/>
  <c r="J300" i="26" s="1"/>
  <c r="H299" i="26"/>
  <c r="J299" i="26" s="1"/>
  <c r="H298" i="26"/>
  <c r="J298" i="26" s="1"/>
  <c r="H297" i="26"/>
  <c r="J297" i="26" s="1"/>
  <c r="H296" i="26"/>
  <c r="J296" i="26" s="1"/>
  <c r="H295" i="26"/>
  <c r="J295" i="26" s="1"/>
  <c r="H294" i="26"/>
  <c r="J294" i="26" s="1"/>
  <c r="H293" i="26"/>
  <c r="J293" i="26" s="1"/>
  <c r="H292" i="26"/>
  <c r="J292" i="26" s="1"/>
  <c r="J291" i="26"/>
  <c r="J290" i="26"/>
  <c r="J289" i="26"/>
  <c r="J288" i="26"/>
  <c r="J287" i="26"/>
  <c r="J286" i="26"/>
  <c r="J285" i="26"/>
  <c r="J284" i="26"/>
  <c r="H241" i="26"/>
  <c r="J241" i="26" s="1"/>
  <c r="H240" i="26"/>
  <c r="J240" i="26" s="1"/>
  <c r="J239" i="26"/>
  <c r="J238" i="26"/>
  <c r="H237" i="26"/>
  <c r="J237" i="26" s="1"/>
  <c r="J236" i="26"/>
  <c r="H235" i="26"/>
  <c r="J235" i="26" s="1"/>
  <c r="J234" i="26"/>
  <c r="J233" i="26"/>
  <c r="J232" i="26"/>
  <c r="J231" i="26"/>
  <c r="J230" i="26"/>
  <c r="J229" i="26"/>
  <c r="J228" i="26"/>
  <c r="J227" i="26"/>
  <c r="H226" i="26"/>
  <c r="J226" i="26" s="1"/>
  <c r="H225" i="26"/>
  <c r="J225" i="26" s="1"/>
  <c r="J224" i="26"/>
  <c r="J223" i="26"/>
  <c r="J222" i="26"/>
  <c r="J221" i="26"/>
  <c r="J220" i="26"/>
  <c r="H219" i="26"/>
  <c r="J219" i="26" s="1"/>
  <c r="H218" i="26"/>
  <c r="J218" i="26" s="1"/>
  <c r="H217" i="26"/>
  <c r="J217" i="26" s="1"/>
  <c r="H216" i="26"/>
  <c r="J216" i="26" s="1"/>
  <c r="H215" i="26"/>
  <c r="J215" i="26" s="1"/>
  <c r="H214" i="26"/>
  <c r="J214" i="26" s="1"/>
  <c r="H213" i="26"/>
  <c r="J213" i="26" s="1"/>
  <c r="H212" i="26"/>
  <c r="J212" i="26" s="1"/>
  <c r="J211" i="26"/>
  <c r="J210" i="26"/>
  <c r="J209" i="26"/>
  <c r="J208" i="26"/>
  <c r="J207" i="26"/>
  <c r="J206" i="26"/>
  <c r="J205" i="26"/>
  <c r="J204" i="26"/>
  <c r="J203" i="26"/>
  <c r="H202" i="26"/>
  <c r="J202" i="26" s="1"/>
  <c r="H201" i="26"/>
  <c r="J201" i="26" s="1"/>
  <c r="J200" i="26"/>
  <c r="H199" i="26"/>
  <c r="J199" i="26" s="1"/>
  <c r="H198" i="26"/>
  <c r="J198" i="26" s="1"/>
  <c r="H197" i="26"/>
  <c r="J197" i="26" s="1"/>
  <c r="H196" i="26"/>
  <c r="J196" i="26" s="1"/>
  <c r="J195" i="26"/>
  <c r="J194" i="26"/>
  <c r="J193" i="26"/>
  <c r="J192" i="26"/>
  <c r="J191" i="26"/>
  <c r="J190" i="26"/>
  <c r="J189" i="26"/>
  <c r="J188" i="26"/>
  <c r="H187" i="26"/>
  <c r="J187" i="26" s="1"/>
  <c r="H186" i="26"/>
  <c r="J186" i="26" s="1"/>
  <c r="J185" i="26"/>
  <c r="J184" i="26"/>
  <c r="H183" i="26"/>
  <c r="J183" i="26" s="1"/>
  <c r="J182" i="26"/>
  <c r="J181" i="26"/>
  <c r="H180" i="26"/>
  <c r="J180" i="26" s="1"/>
  <c r="H179" i="26"/>
  <c r="J179" i="26" s="1"/>
  <c r="H178" i="26"/>
  <c r="J178" i="26" s="1"/>
  <c r="J177" i="26"/>
  <c r="H176" i="26"/>
  <c r="J176" i="26" s="1"/>
  <c r="H175" i="26"/>
  <c r="J175" i="26" s="1"/>
  <c r="H174" i="26"/>
  <c r="J174" i="26" s="1"/>
  <c r="H173" i="26"/>
  <c r="J173" i="26" s="1"/>
  <c r="H172" i="26"/>
  <c r="J172" i="26" s="1"/>
  <c r="J171" i="26"/>
  <c r="J170" i="26"/>
  <c r="J169" i="26"/>
  <c r="J168" i="26"/>
  <c r="J167" i="26"/>
  <c r="J166" i="26"/>
  <c r="J165" i="26"/>
  <c r="J164" i="26"/>
  <c r="H121" i="26"/>
  <c r="J121" i="26" s="1"/>
  <c r="H120" i="26"/>
  <c r="J120" i="26" s="1"/>
  <c r="H119" i="26"/>
  <c r="J119" i="26" s="1"/>
  <c r="H118" i="26"/>
  <c r="J118" i="26" s="1"/>
  <c r="J117" i="26"/>
  <c r="H116" i="26"/>
  <c r="J116" i="26" s="1"/>
  <c r="H115" i="26"/>
  <c r="J115" i="26" s="1"/>
  <c r="J114" i="26"/>
  <c r="J113" i="26"/>
  <c r="J112" i="26"/>
  <c r="J111" i="26"/>
  <c r="J110" i="26"/>
  <c r="J109" i="26"/>
  <c r="J108" i="26"/>
  <c r="J107" i="26"/>
  <c r="H106" i="26"/>
  <c r="J106" i="26" s="1"/>
  <c r="H105" i="26"/>
  <c r="J105" i="26" s="1"/>
  <c r="J104" i="26"/>
  <c r="J103" i="26"/>
  <c r="J102" i="26"/>
  <c r="J101" i="26"/>
  <c r="J100" i="26"/>
  <c r="H99" i="26"/>
  <c r="J99" i="26" s="1"/>
  <c r="H98" i="26"/>
  <c r="J98" i="26" s="1"/>
  <c r="H97" i="26"/>
  <c r="J97" i="26" s="1"/>
  <c r="J96" i="26"/>
  <c r="H95" i="26"/>
  <c r="J95" i="26" s="1"/>
  <c r="H94" i="26"/>
  <c r="J94" i="26" s="1"/>
  <c r="H93" i="26"/>
  <c r="J93" i="26" s="1"/>
  <c r="H92" i="26"/>
  <c r="J92" i="26" s="1"/>
  <c r="H91" i="26"/>
  <c r="J91" i="26" s="1"/>
  <c r="J90" i="26"/>
  <c r="J89" i="26"/>
  <c r="J88" i="26"/>
  <c r="J87" i="26"/>
  <c r="J86" i="26"/>
  <c r="J85" i="26"/>
  <c r="J84" i="26"/>
  <c r="J83" i="26"/>
  <c r="H40" i="26"/>
  <c r="J40" i="26" s="1"/>
  <c r="H39" i="26"/>
  <c r="J39" i="26" s="1"/>
  <c r="H35" i="26"/>
  <c r="J35" i="26" s="1"/>
  <c r="H36" i="26"/>
  <c r="J36" i="26" s="1"/>
  <c r="H37" i="26"/>
  <c r="J37" i="26" s="1"/>
  <c r="H38" i="26"/>
  <c r="J38" i="26" s="1"/>
  <c r="H34" i="26"/>
  <c r="J34" i="26" s="1"/>
  <c r="J31" i="26"/>
  <c r="J32" i="26"/>
  <c r="J33" i="26"/>
  <c r="J30" i="26"/>
  <c r="J29" i="26"/>
  <c r="H25" i="26"/>
  <c r="J25" i="26" s="1"/>
  <c r="J26" i="26"/>
  <c r="J27" i="26"/>
  <c r="J28" i="26"/>
  <c r="H24" i="26"/>
  <c r="J24" i="26" s="1"/>
  <c r="J23" i="26"/>
  <c r="J22" i="26"/>
  <c r="H18" i="26"/>
  <c r="J18" i="26" s="1"/>
  <c r="J19" i="26"/>
  <c r="J20" i="26"/>
  <c r="J21" i="26"/>
  <c r="H17" i="26"/>
  <c r="J17" i="26" s="1"/>
  <c r="H16" i="26"/>
  <c r="J16" i="26" s="1"/>
  <c r="H11" i="26"/>
  <c r="J11" i="26" s="1"/>
  <c r="H12" i="26"/>
  <c r="J12" i="26" s="1"/>
  <c r="H13" i="26"/>
  <c r="J13" i="26" s="1"/>
  <c r="H14" i="26"/>
  <c r="J14" i="26" s="1"/>
  <c r="H15" i="26"/>
  <c r="J15" i="26" s="1"/>
  <c r="H10" i="26"/>
  <c r="J10" i="26" s="1"/>
  <c r="J9" i="26"/>
  <c r="J3" i="26"/>
  <c r="J4" i="26"/>
  <c r="J5" i="26"/>
  <c r="J6" i="26"/>
  <c r="J7" i="26"/>
  <c r="J8" i="26"/>
  <c r="J2" i="26"/>
  <c r="I281" i="25"/>
  <c r="J281" i="25" s="1"/>
  <c r="M281" i="25" s="1"/>
  <c r="Q281" i="25" s="1"/>
  <c r="H282" i="25"/>
  <c r="H243" i="25"/>
  <c r="H229" i="25"/>
  <c r="H230" i="25"/>
  <c r="H231" i="25"/>
  <c r="H232" i="25"/>
  <c r="H233" i="25"/>
  <c r="H234" i="25"/>
  <c r="H235" i="25"/>
  <c r="H228" i="25"/>
  <c r="H225" i="25"/>
  <c r="H226" i="25"/>
  <c r="H227" i="25"/>
  <c r="I219" i="25"/>
  <c r="J219" i="25" s="1"/>
  <c r="H220" i="25"/>
  <c r="H221" i="25"/>
  <c r="H222" i="25"/>
  <c r="H217" i="25"/>
  <c r="I211" i="25"/>
  <c r="J211" i="25" s="1"/>
  <c r="I212" i="25"/>
  <c r="J212" i="25" s="1"/>
  <c r="I213" i="25"/>
  <c r="J213" i="25" s="1"/>
  <c r="I214" i="25"/>
  <c r="J214" i="25" s="1"/>
  <c r="H215" i="25"/>
  <c r="H216" i="25"/>
  <c r="H210" i="25"/>
  <c r="H204" i="25"/>
  <c r="H197" i="25"/>
  <c r="H198" i="25"/>
  <c r="H196" i="25"/>
  <c r="H195" i="25"/>
  <c r="H192" i="25"/>
  <c r="H193" i="25"/>
  <c r="I194" i="25"/>
  <c r="J194" i="25" s="1"/>
  <c r="H191" i="25"/>
  <c r="H188" i="25"/>
  <c r="H189" i="25"/>
  <c r="H190" i="25"/>
  <c r="H187" i="25"/>
  <c r="I186" i="25"/>
  <c r="J186" i="25" s="1"/>
  <c r="H185" i="25"/>
  <c r="H183" i="25"/>
  <c r="H184" i="25"/>
  <c r="I182" i="25"/>
  <c r="J182" i="25" s="1"/>
  <c r="I179" i="25"/>
  <c r="J179" i="25" s="1"/>
  <c r="I180" i="25"/>
  <c r="J180" i="25" s="1"/>
  <c r="H181" i="25"/>
  <c r="H178" i="25"/>
  <c r="H175" i="25"/>
  <c r="I176" i="25"/>
  <c r="J176" i="25" s="1"/>
  <c r="I177" i="25"/>
  <c r="J177" i="25" s="1"/>
  <c r="H174" i="25"/>
  <c r="H173" i="25"/>
  <c r="I133" i="25"/>
  <c r="J133" i="25" s="1"/>
  <c r="I132" i="25"/>
  <c r="J132" i="25" s="1"/>
  <c r="I131" i="25"/>
  <c r="J131" i="25" s="1"/>
  <c r="I130" i="25"/>
  <c r="J130" i="25" s="1"/>
  <c r="H97" i="25"/>
  <c r="H84" i="25"/>
  <c r="I69" i="25"/>
  <c r="J69" i="25" s="1"/>
  <c r="H58" i="25"/>
  <c r="I53" i="25"/>
  <c r="J53" i="25" s="1"/>
  <c r="I52" i="25"/>
  <c r="J52" i="25" s="1"/>
  <c r="I6" i="25"/>
  <c r="J6" i="25" s="1"/>
  <c r="H315" i="25"/>
  <c r="I314" i="25"/>
  <c r="J314" i="25" s="1"/>
  <c r="H313" i="25"/>
  <c r="H312" i="25"/>
  <c r="H311" i="25"/>
  <c r="H310" i="25"/>
  <c r="H309" i="25"/>
  <c r="H308" i="25"/>
  <c r="H307" i="25"/>
  <c r="H306" i="25"/>
  <c r="H305" i="25"/>
  <c r="H304" i="25"/>
  <c r="H303" i="25"/>
  <c r="H302" i="25"/>
  <c r="H301" i="25"/>
  <c r="H300" i="25"/>
  <c r="H299" i="25"/>
  <c r="H298" i="25"/>
  <c r="I297" i="25"/>
  <c r="J297" i="25" s="1"/>
  <c r="M297" i="25" s="1"/>
  <c r="Q297" i="25" s="1"/>
  <c r="I296" i="25"/>
  <c r="J296" i="25" s="1"/>
  <c r="M296" i="25" s="1"/>
  <c r="Q296" i="25" s="1"/>
  <c r="H294" i="25"/>
  <c r="H293" i="25"/>
  <c r="I292" i="25"/>
  <c r="J292" i="25" s="1"/>
  <c r="M292" i="25" s="1"/>
  <c r="Q292" i="25" s="1"/>
  <c r="I291" i="25"/>
  <c r="J291" i="25" s="1"/>
  <c r="M291" i="25" s="1"/>
  <c r="Q291" i="25" s="1"/>
  <c r="I290" i="25"/>
  <c r="J290" i="25" s="1"/>
  <c r="I289" i="25"/>
  <c r="J289" i="25" s="1"/>
  <c r="M289" i="25" s="1"/>
  <c r="Q289" i="25" s="1"/>
  <c r="H288" i="25"/>
  <c r="H287" i="25"/>
  <c r="H286" i="25"/>
  <c r="H285" i="25"/>
  <c r="H284" i="25"/>
  <c r="H283" i="25"/>
  <c r="H276" i="25"/>
  <c r="I275" i="25"/>
  <c r="J275" i="25" s="1"/>
  <c r="H274" i="25"/>
  <c r="H273" i="25"/>
  <c r="H272" i="25"/>
  <c r="H271" i="25"/>
  <c r="H270" i="25"/>
  <c r="H269" i="25"/>
  <c r="H268" i="25"/>
  <c r="H267" i="25"/>
  <c r="H266" i="25"/>
  <c r="H265" i="25"/>
  <c r="H264" i="25"/>
  <c r="H263" i="25"/>
  <c r="H262" i="25"/>
  <c r="H261" i="25"/>
  <c r="H260" i="25"/>
  <c r="H259" i="25"/>
  <c r="I258" i="25"/>
  <c r="J258" i="25" s="1"/>
  <c r="M258" i="25" s="1"/>
  <c r="Q258" i="25" s="1"/>
  <c r="I257" i="25"/>
  <c r="J257" i="25" s="1"/>
  <c r="H255" i="25"/>
  <c r="H254" i="25"/>
  <c r="I253" i="25"/>
  <c r="J253" i="25" s="1"/>
  <c r="I252" i="25"/>
  <c r="J252" i="25" s="1"/>
  <c r="I251" i="25"/>
  <c r="J251" i="25" s="1"/>
  <c r="I250" i="25"/>
  <c r="J250" i="25" s="1"/>
  <c r="M250" i="25" s="1"/>
  <c r="Q250" i="25" s="1"/>
  <c r="H249" i="25"/>
  <c r="H248" i="25"/>
  <c r="H247" i="25"/>
  <c r="H246" i="25"/>
  <c r="H245" i="25"/>
  <c r="H244" i="25"/>
  <c r="H237" i="25"/>
  <c r="I236" i="25"/>
  <c r="J236" i="25" s="1"/>
  <c r="H224" i="25"/>
  <c r="H223" i="25"/>
  <c r="I218" i="25"/>
  <c r="J218" i="25" s="1"/>
  <c r="H209" i="25"/>
  <c r="H208" i="25"/>
  <c r="H207" i="25"/>
  <c r="H206" i="25"/>
  <c r="H205" i="25"/>
  <c r="I168" i="25"/>
  <c r="J168" i="25" s="1"/>
  <c r="I165" i="25"/>
  <c r="J165" i="25" s="1"/>
  <c r="H156" i="25"/>
  <c r="I155" i="25"/>
  <c r="J155" i="25" s="1"/>
  <c r="H154" i="25"/>
  <c r="H153" i="25"/>
  <c r="H152" i="25"/>
  <c r="H151" i="25"/>
  <c r="H150" i="25"/>
  <c r="H149" i="25"/>
  <c r="H148" i="25"/>
  <c r="H147" i="25"/>
  <c r="H146" i="25"/>
  <c r="H145" i="25"/>
  <c r="H144" i="25"/>
  <c r="H143" i="25"/>
  <c r="H142" i="25"/>
  <c r="H141" i="25"/>
  <c r="H140" i="25"/>
  <c r="H139" i="25"/>
  <c r="I138" i="25"/>
  <c r="J138" i="25" s="1"/>
  <c r="I137" i="25"/>
  <c r="J137" i="25" s="1"/>
  <c r="H135" i="25"/>
  <c r="H134" i="25"/>
  <c r="H129" i="25"/>
  <c r="H128" i="25"/>
  <c r="H127" i="25"/>
  <c r="H117" i="25"/>
  <c r="I116" i="25"/>
  <c r="J116" i="25" s="1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H100" i="25"/>
  <c r="I99" i="25"/>
  <c r="J99" i="25" s="1"/>
  <c r="I98" i="25"/>
  <c r="J98" i="25" s="1"/>
  <c r="H96" i="25"/>
  <c r="H95" i="25"/>
  <c r="I94" i="25"/>
  <c r="J94" i="25" s="1"/>
  <c r="I93" i="25"/>
  <c r="J93" i="25" s="1"/>
  <c r="I92" i="25"/>
  <c r="J92" i="25" s="1"/>
  <c r="I91" i="25"/>
  <c r="J91" i="25" s="1"/>
  <c r="H90" i="25"/>
  <c r="H89" i="25"/>
  <c r="H88" i="25"/>
  <c r="H87" i="25"/>
  <c r="H86" i="25"/>
  <c r="H85" i="25"/>
  <c r="H78" i="25"/>
  <c r="I77" i="25"/>
  <c r="J77" i="25" s="1"/>
  <c r="H76" i="25"/>
  <c r="H75" i="25"/>
  <c r="H74" i="25"/>
  <c r="H73" i="25"/>
  <c r="H72" i="25"/>
  <c r="H71" i="25"/>
  <c r="H70" i="25"/>
  <c r="H68" i="25"/>
  <c r="H67" i="25"/>
  <c r="H66" i="25"/>
  <c r="H65" i="25"/>
  <c r="H64" i="25"/>
  <c r="H63" i="25"/>
  <c r="H62" i="25"/>
  <c r="H61" i="25"/>
  <c r="I60" i="25"/>
  <c r="J60" i="25" s="1"/>
  <c r="I59" i="25"/>
  <c r="J59" i="25" s="1"/>
  <c r="H57" i="25"/>
  <c r="H56" i="25"/>
  <c r="I55" i="25"/>
  <c r="J55" i="25" s="1"/>
  <c r="I54" i="25"/>
  <c r="J54" i="25" s="1"/>
  <c r="H51" i="25"/>
  <c r="H50" i="25"/>
  <c r="H49" i="25"/>
  <c r="H48" i="25"/>
  <c r="H8" i="25"/>
  <c r="H9" i="25"/>
  <c r="H10" i="25"/>
  <c r="H11" i="25"/>
  <c r="H12" i="25"/>
  <c r="I13" i="25"/>
  <c r="J13" i="25" s="1"/>
  <c r="I14" i="25"/>
  <c r="J14" i="25" s="1"/>
  <c r="I15" i="25"/>
  <c r="J15" i="25" s="1"/>
  <c r="I16" i="25"/>
  <c r="J16" i="25" s="1"/>
  <c r="H17" i="25"/>
  <c r="H18" i="25"/>
  <c r="I20" i="25"/>
  <c r="J20" i="25" s="1"/>
  <c r="I21" i="25"/>
  <c r="J21" i="25" s="1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I38" i="25"/>
  <c r="J38" i="25" s="1"/>
  <c r="H39" i="25"/>
  <c r="I19" i="25"/>
  <c r="J19" i="25" s="1"/>
  <c r="I170" i="25"/>
  <c r="J170" i="25" s="1"/>
  <c r="I167" i="25"/>
  <c r="J167" i="25" s="1"/>
  <c r="I164" i="25"/>
  <c r="J164" i="25" s="1"/>
  <c r="I163" i="25"/>
  <c r="J163" i="25" s="1"/>
  <c r="I136" i="25"/>
  <c r="J136" i="25" s="1"/>
  <c r="I124" i="25"/>
  <c r="J124" i="25" s="1"/>
  <c r="I123" i="25"/>
  <c r="J123" i="25" s="1"/>
  <c r="H3" i="23"/>
  <c r="I3" i="23" s="1"/>
  <c r="J3" i="23" s="1"/>
  <c r="H4" i="23"/>
  <c r="I4" i="23" s="1"/>
  <c r="J4" i="23" s="1"/>
  <c r="H5" i="23"/>
  <c r="I5" i="23" s="1"/>
  <c r="J5" i="23" s="1"/>
  <c r="H6" i="23"/>
  <c r="I6" i="23" s="1"/>
  <c r="J6" i="23" s="1"/>
  <c r="H7" i="23"/>
  <c r="I7" i="23" s="1"/>
  <c r="J7" i="23" s="1"/>
  <c r="H8" i="23"/>
  <c r="I8" i="23" s="1"/>
  <c r="J8" i="23" s="1"/>
  <c r="H9" i="23"/>
  <c r="I9" i="23" s="1"/>
  <c r="J9" i="23" s="1"/>
  <c r="H10" i="23"/>
  <c r="I10" i="23" s="1"/>
  <c r="J10" i="23" s="1"/>
  <c r="H11" i="23"/>
  <c r="I11" i="23" s="1"/>
  <c r="J11" i="23" s="1"/>
  <c r="H12" i="23"/>
  <c r="I12" i="23" s="1"/>
  <c r="J12" i="23" s="1"/>
  <c r="H13" i="23"/>
  <c r="I13" i="23" s="1"/>
  <c r="J13" i="23" s="1"/>
  <c r="H14" i="23"/>
  <c r="I14" i="23" s="1"/>
  <c r="J14" i="23" s="1"/>
  <c r="H15" i="23"/>
  <c r="I15" i="23" s="1"/>
  <c r="J15" i="23" s="1"/>
  <c r="H16" i="23"/>
  <c r="I16" i="23" s="1"/>
  <c r="J16" i="23" s="1"/>
  <c r="H17" i="23"/>
  <c r="I17" i="23" s="1"/>
  <c r="J17" i="23" s="1"/>
  <c r="H18" i="23"/>
  <c r="I18" i="23" s="1"/>
  <c r="J18" i="23" s="1"/>
  <c r="H19" i="23"/>
  <c r="I19" i="23" s="1"/>
  <c r="J19" i="23" s="1"/>
  <c r="H20" i="23"/>
  <c r="I20" i="23" s="1"/>
  <c r="J20" i="23" s="1"/>
  <c r="H21" i="23"/>
  <c r="I21" i="23" s="1"/>
  <c r="J21" i="23" s="1"/>
  <c r="H22" i="23"/>
  <c r="I22" i="23" s="1"/>
  <c r="J22" i="23" s="1"/>
  <c r="H23" i="23"/>
  <c r="I23" i="23" s="1"/>
  <c r="J23" i="23" s="1"/>
  <c r="H24" i="23"/>
  <c r="I24" i="23" s="1"/>
  <c r="J24" i="23" s="1"/>
  <c r="H25" i="23"/>
  <c r="I25" i="23" s="1"/>
  <c r="J25" i="23" s="1"/>
  <c r="H26" i="23"/>
  <c r="I26" i="23" s="1"/>
  <c r="J26" i="23" s="1"/>
  <c r="H27" i="23"/>
  <c r="I27" i="23" s="1"/>
  <c r="J27" i="23" s="1"/>
  <c r="H28" i="23"/>
  <c r="I28" i="23" s="1"/>
  <c r="J28" i="23" s="1"/>
  <c r="H29" i="23"/>
  <c r="I29" i="23" s="1"/>
  <c r="J29" i="23" s="1"/>
  <c r="H30" i="23"/>
  <c r="I30" i="23" s="1"/>
  <c r="J30" i="23" s="1"/>
  <c r="H31" i="23"/>
  <c r="I31" i="23" s="1"/>
  <c r="J31" i="23" s="1"/>
  <c r="H32" i="23"/>
  <c r="I32" i="23" s="1"/>
  <c r="J32" i="23" s="1"/>
  <c r="H33" i="23"/>
  <c r="I33" i="23" s="1"/>
  <c r="J33" i="23" s="1"/>
  <c r="H34" i="23"/>
  <c r="I34" i="23" s="1"/>
  <c r="J34" i="23" s="1"/>
  <c r="H35" i="23"/>
  <c r="I35" i="23" s="1"/>
  <c r="J35" i="23" s="1"/>
  <c r="H36" i="23"/>
  <c r="I36" i="23" s="1"/>
  <c r="J36" i="23" s="1"/>
  <c r="H37" i="23"/>
  <c r="I37" i="23" s="1"/>
  <c r="J37" i="23" s="1"/>
  <c r="H38" i="23"/>
  <c r="I38" i="23" s="1"/>
  <c r="J38" i="23" s="1"/>
  <c r="H39" i="23"/>
  <c r="I39" i="23" s="1"/>
  <c r="J39" i="23" s="1"/>
  <c r="H40" i="23"/>
  <c r="I40" i="23" s="1"/>
  <c r="J40" i="23" s="1"/>
  <c r="H41" i="23"/>
  <c r="I41" i="23" s="1"/>
  <c r="J41" i="23" s="1"/>
  <c r="H42" i="23"/>
  <c r="I42" i="23" s="1"/>
  <c r="J42" i="23" s="1"/>
  <c r="H43" i="23"/>
  <c r="I43" i="23" s="1"/>
  <c r="J43" i="23" s="1"/>
  <c r="H44" i="23"/>
  <c r="I44" i="23" s="1"/>
  <c r="J44" i="23" s="1"/>
  <c r="H45" i="23"/>
  <c r="I45" i="23" s="1"/>
  <c r="J45" i="23" s="1"/>
  <c r="H46" i="23"/>
  <c r="I46" i="23" s="1"/>
  <c r="J46" i="23" s="1"/>
  <c r="H47" i="23"/>
  <c r="I47" i="23" s="1"/>
  <c r="J47" i="23" s="1"/>
  <c r="H48" i="23"/>
  <c r="I48" i="23" s="1"/>
  <c r="J48" i="23" s="1"/>
  <c r="H49" i="23"/>
  <c r="I49" i="23" s="1"/>
  <c r="J49" i="23" s="1"/>
  <c r="H50" i="23"/>
  <c r="I50" i="23" s="1"/>
  <c r="J50" i="23" s="1"/>
  <c r="H51" i="23"/>
  <c r="I51" i="23" s="1"/>
  <c r="J51" i="23" s="1"/>
  <c r="H52" i="23"/>
  <c r="I52" i="23" s="1"/>
  <c r="J52" i="23" s="1"/>
  <c r="H53" i="23"/>
  <c r="I53" i="23" s="1"/>
  <c r="J53" i="23" s="1"/>
  <c r="H54" i="23"/>
  <c r="I54" i="23" s="1"/>
  <c r="J54" i="23" s="1"/>
  <c r="H55" i="23"/>
  <c r="I55" i="23" s="1"/>
  <c r="J55" i="23" s="1"/>
  <c r="H56" i="23"/>
  <c r="I56" i="23" s="1"/>
  <c r="J56" i="23" s="1"/>
  <c r="H57" i="23"/>
  <c r="I57" i="23" s="1"/>
  <c r="J57" i="23" s="1"/>
  <c r="H58" i="23"/>
  <c r="I58" i="23" s="1"/>
  <c r="J58" i="23" s="1"/>
  <c r="H59" i="23"/>
  <c r="I59" i="23" s="1"/>
  <c r="J59" i="23" s="1"/>
  <c r="H60" i="23"/>
  <c r="I60" i="23" s="1"/>
  <c r="J60" i="23" s="1"/>
  <c r="H61" i="23"/>
  <c r="I61" i="23" s="1"/>
  <c r="J61" i="23" s="1"/>
  <c r="H62" i="23"/>
  <c r="I62" i="23" s="1"/>
  <c r="J62" i="23" s="1"/>
  <c r="H63" i="23"/>
  <c r="I63" i="23" s="1"/>
  <c r="J63" i="23" s="1"/>
  <c r="H64" i="23"/>
  <c r="I64" i="23" s="1"/>
  <c r="J64" i="23" s="1"/>
  <c r="H65" i="23"/>
  <c r="I65" i="23" s="1"/>
  <c r="J65" i="23" s="1"/>
  <c r="H66" i="23"/>
  <c r="I66" i="23" s="1"/>
  <c r="J66" i="23" s="1"/>
  <c r="H67" i="23"/>
  <c r="I67" i="23" s="1"/>
  <c r="J67" i="23" s="1"/>
  <c r="H68" i="23"/>
  <c r="I68" i="23" s="1"/>
  <c r="J68" i="23" s="1"/>
  <c r="H69" i="23"/>
  <c r="I69" i="23" s="1"/>
  <c r="J69" i="23" s="1"/>
  <c r="H70" i="23"/>
  <c r="I70" i="23" s="1"/>
  <c r="J70" i="23" s="1"/>
  <c r="H71" i="23"/>
  <c r="I71" i="23" s="1"/>
  <c r="J71" i="23" s="1"/>
  <c r="H72" i="23"/>
  <c r="I72" i="23" s="1"/>
  <c r="J72" i="23" s="1"/>
  <c r="H73" i="23"/>
  <c r="I73" i="23" s="1"/>
  <c r="J73" i="23" s="1"/>
  <c r="H74" i="23"/>
  <c r="I74" i="23" s="1"/>
  <c r="J74" i="23" s="1"/>
  <c r="H75" i="23"/>
  <c r="I75" i="23" s="1"/>
  <c r="J75" i="23" s="1"/>
  <c r="H76" i="23"/>
  <c r="I76" i="23" s="1"/>
  <c r="J76" i="23" s="1"/>
  <c r="H77" i="23"/>
  <c r="I77" i="23" s="1"/>
  <c r="J77" i="23" s="1"/>
  <c r="H78" i="23"/>
  <c r="I78" i="23" s="1"/>
  <c r="J78" i="23" s="1"/>
  <c r="H79" i="23"/>
  <c r="I79" i="23" s="1"/>
  <c r="J79" i="23" s="1"/>
  <c r="H80" i="23"/>
  <c r="I80" i="23" s="1"/>
  <c r="J80" i="23" s="1"/>
  <c r="H81" i="23"/>
  <c r="I81" i="23" s="1"/>
  <c r="J81" i="23" s="1"/>
  <c r="H82" i="23"/>
  <c r="I82" i="23" s="1"/>
  <c r="J82" i="23" s="1"/>
  <c r="H83" i="23"/>
  <c r="I83" i="23" s="1"/>
  <c r="J83" i="23" s="1"/>
  <c r="H84" i="23"/>
  <c r="I84" i="23" s="1"/>
  <c r="J84" i="23" s="1"/>
  <c r="H85" i="23"/>
  <c r="I85" i="23" s="1"/>
  <c r="J85" i="23" s="1"/>
  <c r="H86" i="23"/>
  <c r="I86" i="23" s="1"/>
  <c r="J86" i="23" s="1"/>
  <c r="H87" i="23"/>
  <c r="I87" i="23" s="1"/>
  <c r="J87" i="23" s="1"/>
  <c r="H88" i="23"/>
  <c r="I88" i="23" s="1"/>
  <c r="J88" i="23" s="1"/>
  <c r="H89" i="23"/>
  <c r="I89" i="23" s="1"/>
  <c r="J89" i="23" s="1"/>
  <c r="H90" i="23"/>
  <c r="I90" i="23" s="1"/>
  <c r="J90" i="23" s="1"/>
  <c r="H91" i="23"/>
  <c r="I91" i="23" s="1"/>
  <c r="J91" i="23" s="1"/>
  <c r="H92" i="23"/>
  <c r="I92" i="23" s="1"/>
  <c r="J92" i="23" s="1"/>
  <c r="H93" i="23"/>
  <c r="I93" i="23" s="1"/>
  <c r="J93" i="23" s="1"/>
  <c r="H94" i="23"/>
  <c r="I94" i="23" s="1"/>
  <c r="J94" i="23" s="1"/>
  <c r="H95" i="23"/>
  <c r="I95" i="23" s="1"/>
  <c r="J95" i="23" s="1"/>
  <c r="H96" i="23"/>
  <c r="I96" i="23" s="1"/>
  <c r="J96" i="23" s="1"/>
  <c r="H97" i="23"/>
  <c r="I97" i="23" s="1"/>
  <c r="J97" i="23" s="1"/>
  <c r="H98" i="23"/>
  <c r="I98" i="23" s="1"/>
  <c r="J98" i="23" s="1"/>
  <c r="H99" i="23"/>
  <c r="I99" i="23" s="1"/>
  <c r="J99" i="23" s="1"/>
  <c r="H100" i="23"/>
  <c r="I100" i="23" s="1"/>
  <c r="J100" i="23" s="1"/>
  <c r="H101" i="23"/>
  <c r="I101" i="23" s="1"/>
  <c r="J101" i="23" s="1"/>
  <c r="H102" i="23"/>
  <c r="I102" i="23" s="1"/>
  <c r="J102" i="23" s="1"/>
  <c r="H103" i="23"/>
  <c r="I103" i="23" s="1"/>
  <c r="J103" i="23" s="1"/>
  <c r="H104" i="23"/>
  <c r="I104" i="23" s="1"/>
  <c r="J104" i="23" s="1"/>
  <c r="H105" i="23"/>
  <c r="I105" i="23" s="1"/>
  <c r="J105" i="23" s="1"/>
  <c r="H106" i="23"/>
  <c r="I106" i="23" s="1"/>
  <c r="J106" i="23" s="1"/>
  <c r="H107" i="23"/>
  <c r="I107" i="23" s="1"/>
  <c r="J107" i="23" s="1"/>
  <c r="H108" i="23"/>
  <c r="I108" i="23" s="1"/>
  <c r="J108" i="23" s="1"/>
  <c r="H109" i="23"/>
  <c r="I109" i="23" s="1"/>
  <c r="J109" i="23" s="1"/>
  <c r="H110" i="23"/>
  <c r="I110" i="23" s="1"/>
  <c r="J110" i="23" s="1"/>
  <c r="H111" i="23"/>
  <c r="I111" i="23" s="1"/>
  <c r="J111" i="23" s="1"/>
  <c r="H112" i="23"/>
  <c r="I112" i="23" s="1"/>
  <c r="J112" i="23" s="1"/>
  <c r="H113" i="23"/>
  <c r="I113" i="23" s="1"/>
  <c r="J113" i="23" s="1"/>
  <c r="H114" i="23"/>
  <c r="I114" i="23" s="1"/>
  <c r="J114" i="23" s="1"/>
  <c r="H115" i="23"/>
  <c r="I115" i="23" s="1"/>
  <c r="J115" i="23" s="1"/>
  <c r="H116" i="23"/>
  <c r="I116" i="23" s="1"/>
  <c r="J116" i="23" s="1"/>
  <c r="H117" i="23"/>
  <c r="I117" i="23" s="1"/>
  <c r="J117" i="23" s="1"/>
  <c r="H118" i="23"/>
  <c r="I118" i="23" s="1"/>
  <c r="J118" i="23" s="1"/>
  <c r="H119" i="23"/>
  <c r="I119" i="23" s="1"/>
  <c r="J119" i="23" s="1"/>
  <c r="H120" i="23"/>
  <c r="I120" i="23" s="1"/>
  <c r="J120" i="23" s="1"/>
  <c r="H121" i="23"/>
  <c r="I121" i="23" s="1"/>
  <c r="J121" i="23" s="1"/>
  <c r="H122" i="23"/>
  <c r="I122" i="23" s="1"/>
  <c r="J122" i="23" s="1"/>
  <c r="H123" i="23"/>
  <c r="I123" i="23" s="1"/>
  <c r="J123" i="23" s="1"/>
  <c r="H124" i="23"/>
  <c r="I124" i="23" s="1"/>
  <c r="J124" i="23" s="1"/>
  <c r="H125" i="23"/>
  <c r="I125" i="23" s="1"/>
  <c r="J125" i="23" s="1"/>
  <c r="H126" i="23"/>
  <c r="I126" i="23" s="1"/>
  <c r="J126" i="23" s="1"/>
  <c r="H127" i="23"/>
  <c r="I127" i="23" s="1"/>
  <c r="J127" i="23" s="1"/>
  <c r="H128" i="23"/>
  <c r="I128" i="23" s="1"/>
  <c r="J128" i="23" s="1"/>
  <c r="H129" i="23"/>
  <c r="I129" i="23" s="1"/>
  <c r="J129" i="23" s="1"/>
  <c r="H130" i="23"/>
  <c r="I130" i="23" s="1"/>
  <c r="J130" i="23" s="1"/>
  <c r="H131" i="23"/>
  <c r="I131" i="23" s="1"/>
  <c r="J131" i="23" s="1"/>
  <c r="H132" i="23"/>
  <c r="I132" i="23" s="1"/>
  <c r="J132" i="23" s="1"/>
  <c r="H133" i="23"/>
  <c r="I133" i="23" s="1"/>
  <c r="J133" i="23" s="1"/>
  <c r="H134" i="23"/>
  <c r="I134" i="23" s="1"/>
  <c r="J134" i="23" s="1"/>
  <c r="H135" i="23"/>
  <c r="I135" i="23" s="1"/>
  <c r="J135" i="23" s="1"/>
  <c r="H136" i="23"/>
  <c r="I136" i="23" s="1"/>
  <c r="J136" i="23" s="1"/>
  <c r="H137" i="23"/>
  <c r="I137" i="23" s="1"/>
  <c r="J137" i="23" s="1"/>
  <c r="H138" i="23"/>
  <c r="I138" i="23" s="1"/>
  <c r="J138" i="23" s="1"/>
  <c r="H139" i="23"/>
  <c r="I139" i="23" s="1"/>
  <c r="J139" i="23" s="1"/>
  <c r="H140" i="23"/>
  <c r="I140" i="23" s="1"/>
  <c r="J140" i="23" s="1"/>
  <c r="H141" i="23"/>
  <c r="I141" i="23" s="1"/>
  <c r="J141" i="23" s="1"/>
  <c r="H142" i="23"/>
  <c r="I142" i="23" s="1"/>
  <c r="J142" i="23" s="1"/>
  <c r="H143" i="23"/>
  <c r="I143" i="23" s="1"/>
  <c r="J143" i="23" s="1"/>
  <c r="H144" i="23"/>
  <c r="I144" i="23" s="1"/>
  <c r="J144" i="23" s="1"/>
  <c r="H145" i="23"/>
  <c r="I145" i="23" s="1"/>
  <c r="J145" i="23" s="1"/>
  <c r="H146" i="23"/>
  <c r="I146" i="23" s="1"/>
  <c r="J146" i="23" s="1"/>
  <c r="H147" i="23"/>
  <c r="I147" i="23" s="1"/>
  <c r="J147" i="23" s="1"/>
  <c r="H148" i="23"/>
  <c r="I148" i="23" s="1"/>
  <c r="J148" i="23" s="1"/>
  <c r="H149" i="23"/>
  <c r="I149" i="23" s="1"/>
  <c r="J149" i="23" s="1"/>
  <c r="H150" i="23"/>
  <c r="I150" i="23" s="1"/>
  <c r="J150" i="23" s="1"/>
  <c r="H151" i="23"/>
  <c r="I151" i="23" s="1"/>
  <c r="J151" i="23" s="1"/>
  <c r="H152" i="23"/>
  <c r="I152" i="23" s="1"/>
  <c r="J152" i="23" s="1"/>
  <c r="H153" i="23"/>
  <c r="I153" i="23" s="1"/>
  <c r="J153" i="23" s="1"/>
  <c r="H154" i="23"/>
  <c r="I154" i="23" s="1"/>
  <c r="J154" i="23" s="1"/>
  <c r="H155" i="23"/>
  <c r="I155" i="23" s="1"/>
  <c r="J155" i="23" s="1"/>
  <c r="H156" i="23"/>
  <c r="I156" i="23" s="1"/>
  <c r="J156" i="23" s="1"/>
  <c r="H157" i="23"/>
  <c r="I157" i="23" s="1"/>
  <c r="J157" i="23" s="1"/>
  <c r="H158" i="23"/>
  <c r="I158" i="23" s="1"/>
  <c r="J158" i="23" s="1"/>
  <c r="H159" i="23"/>
  <c r="I159" i="23" s="1"/>
  <c r="J159" i="23" s="1"/>
  <c r="H160" i="23"/>
  <c r="I160" i="23" s="1"/>
  <c r="J160" i="23" s="1"/>
  <c r="H161" i="23"/>
  <c r="I161" i="23" s="1"/>
  <c r="J161" i="23" s="1"/>
  <c r="H162" i="23"/>
  <c r="I162" i="23" s="1"/>
  <c r="J162" i="23" s="1"/>
  <c r="H163" i="23"/>
  <c r="I163" i="23" s="1"/>
  <c r="J163" i="23" s="1"/>
  <c r="H164" i="23"/>
  <c r="I164" i="23" s="1"/>
  <c r="J164" i="23" s="1"/>
  <c r="H165" i="23"/>
  <c r="I165" i="23" s="1"/>
  <c r="J165" i="23" s="1"/>
  <c r="H166" i="23"/>
  <c r="I166" i="23" s="1"/>
  <c r="J166" i="23" s="1"/>
  <c r="H167" i="23"/>
  <c r="I167" i="23" s="1"/>
  <c r="J167" i="23" s="1"/>
  <c r="H168" i="23"/>
  <c r="I168" i="23" s="1"/>
  <c r="J168" i="23" s="1"/>
  <c r="H169" i="23"/>
  <c r="I169" i="23" s="1"/>
  <c r="J169" i="23" s="1"/>
  <c r="H170" i="23"/>
  <c r="I170" i="23" s="1"/>
  <c r="J170" i="23" s="1"/>
  <c r="H171" i="23"/>
  <c r="I171" i="23" s="1"/>
  <c r="J171" i="23" s="1"/>
  <c r="H172" i="23"/>
  <c r="I172" i="23" s="1"/>
  <c r="J172" i="23" s="1"/>
  <c r="H173" i="23"/>
  <c r="I173" i="23" s="1"/>
  <c r="J173" i="23" s="1"/>
  <c r="H174" i="23"/>
  <c r="I174" i="23" s="1"/>
  <c r="J174" i="23" s="1"/>
  <c r="H175" i="23"/>
  <c r="I175" i="23" s="1"/>
  <c r="J175" i="23" s="1"/>
  <c r="H176" i="23"/>
  <c r="I176" i="23" s="1"/>
  <c r="J176" i="23" s="1"/>
  <c r="H177" i="23"/>
  <c r="I177" i="23" s="1"/>
  <c r="J177" i="23" s="1"/>
  <c r="I178" i="23"/>
  <c r="J178" i="23" s="1"/>
  <c r="H179" i="23"/>
  <c r="I179" i="23" s="1"/>
  <c r="J179" i="23" s="1"/>
  <c r="H180" i="23"/>
  <c r="I180" i="23" s="1"/>
  <c r="J180" i="23" s="1"/>
  <c r="H181" i="23"/>
  <c r="I181" i="23" s="1"/>
  <c r="J181" i="23" s="1"/>
  <c r="H182" i="23"/>
  <c r="I182" i="23" s="1"/>
  <c r="J182" i="23" s="1"/>
  <c r="H183" i="23"/>
  <c r="I183" i="23" s="1"/>
  <c r="J183" i="23" s="1"/>
  <c r="H184" i="23"/>
  <c r="I184" i="23" s="1"/>
  <c r="J184" i="23" s="1"/>
  <c r="H185" i="23"/>
  <c r="I185" i="23" s="1"/>
  <c r="J185" i="23" s="1"/>
  <c r="H186" i="23"/>
  <c r="I186" i="23" s="1"/>
  <c r="J186" i="23" s="1"/>
  <c r="H187" i="23"/>
  <c r="I187" i="23" s="1"/>
  <c r="J187" i="23" s="1"/>
  <c r="H188" i="23"/>
  <c r="I188" i="23" s="1"/>
  <c r="J188" i="23" s="1"/>
  <c r="H189" i="23"/>
  <c r="I189" i="23" s="1"/>
  <c r="J189" i="23" s="1"/>
  <c r="H190" i="23"/>
  <c r="I190" i="23" s="1"/>
  <c r="J190" i="23" s="1"/>
  <c r="H191" i="23"/>
  <c r="I191" i="23" s="1"/>
  <c r="J191" i="23" s="1"/>
  <c r="H192" i="23"/>
  <c r="I192" i="23" s="1"/>
  <c r="J192" i="23" s="1"/>
  <c r="H193" i="23"/>
  <c r="I193" i="23" s="1"/>
  <c r="J193" i="23" s="1"/>
  <c r="H194" i="23"/>
  <c r="I194" i="23" s="1"/>
  <c r="J194" i="23" s="1"/>
  <c r="H195" i="23"/>
  <c r="I195" i="23" s="1"/>
  <c r="J195" i="23" s="1"/>
  <c r="H196" i="23"/>
  <c r="I196" i="23" s="1"/>
  <c r="J196" i="23" s="1"/>
  <c r="H197" i="23"/>
  <c r="I197" i="23" s="1"/>
  <c r="J197" i="23" s="1"/>
  <c r="H198" i="23"/>
  <c r="I198" i="23" s="1"/>
  <c r="J198" i="23" s="1"/>
  <c r="H199" i="23"/>
  <c r="I199" i="23" s="1"/>
  <c r="J199" i="23" s="1"/>
  <c r="H200" i="23"/>
  <c r="I200" i="23" s="1"/>
  <c r="J200" i="23" s="1"/>
  <c r="H201" i="23"/>
  <c r="I201" i="23" s="1"/>
  <c r="J201" i="23" s="1"/>
  <c r="H202" i="23"/>
  <c r="I202" i="23" s="1"/>
  <c r="J202" i="23" s="1"/>
  <c r="H203" i="23"/>
  <c r="I203" i="23" s="1"/>
  <c r="J203" i="23" s="1"/>
  <c r="H204" i="23"/>
  <c r="I204" i="23" s="1"/>
  <c r="J204" i="23" s="1"/>
  <c r="H205" i="23"/>
  <c r="I205" i="23" s="1"/>
  <c r="J205" i="23" s="1"/>
  <c r="H206" i="23"/>
  <c r="I206" i="23" s="1"/>
  <c r="J206" i="23" s="1"/>
  <c r="H207" i="23"/>
  <c r="I207" i="23" s="1"/>
  <c r="J207" i="23" s="1"/>
  <c r="H208" i="23"/>
  <c r="I208" i="23" s="1"/>
  <c r="J208" i="23" s="1"/>
  <c r="H209" i="23"/>
  <c r="I209" i="23" s="1"/>
  <c r="J209" i="23" s="1"/>
  <c r="H210" i="23"/>
  <c r="I210" i="23" s="1"/>
  <c r="J210" i="23" s="1"/>
  <c r="H211" i="23"/>
  <c r="I211" i="23" s="1"/>
  <c r="J211" i="23" s="1"/>
  <c r="H212" i="23"/>
  <c r="I212" i="23" s="1"/>
  <c r="J212" i="23" s="1"/>
  <c r="H213" i="23"/>
  <c r="I213" i="23" s="1"/>
  <c r="J213" i="23" s="1"/>
  <c r="H214" i="23"/>
  <c r="I214" i="23" s="1"/>
  <c r="J214" i="23" s="1"/>
  <c r="H215" i="23"/>
  <c r="I215" i="23" s="1"/>
  <c r="J215" i="23" s="1"/>
  <c r="H216" i="23"/>
  <c r="I216" i="23" s="1"/>
  <c r="J216" i="23" s="1"/>
  <c r="H217" i="23"/>
  <c r="I217" i="23" s="1"/>
  <c r="J217" i="23" s="1"/>
  <c r="H218" i="23"/>
  <c r="I218" i="23" s="1"/>
  <c r="J218" i="23" s="1"/>
  <c r="H219" i="23"/>
  <c r="I219" i="23" s="1"/>
  <c r="J219" i="23" s="1"/>
  <c r="H220" i="23"/>
  <c r="I220" i="23" s="1"/>
  <c r="J220" i="23" s="1"/>
  <c r="H221" i="23"/>
  <c r="I221" i="23" s="1"/>
  <c r="J221" i="23" s="1"/>
  <c r="H222" i="23"/>
  <c r="I222" i="23" s="1"/>
  <c r="J222" i="23" s="1"/>
  <c r="H223" i="23"/>
  <c r="I223" i="23" s="1"/>
  <c r="J223" i="23" s="1"/>
  <c r="H224" i="23"/>
  <c r="I224" i="23" s="1"/>
  <c r="J224" i="23" s="1"/>
  <c r="H225" i="23"/>
  <c r="I225" i="23" s="1"/>
  <c r="J225" i="23" s="1"/>
  <c r="H226" i="23"/>
  <c r="I226" i="23" s="1"/>
  <c r="J226" i="23" s="1"/>
  <c r="H227" i="23"/>
  <c r="I227" i="23" s="1"/>
  <c r="J227" i="23" s="1"/>
  <c r="H228" i="23"/>
  <c r="I228" i="23" s="1"/>
  <c r="J228" i="23" s="1"/>
  <c r="H229" i="23"/>
  <c r="I229" i="23" s="1"/>
  <c r="J229" i="23" s="1"/>
  <c r="H230" i="23"/>
  <c r="I230" i="23" s="1"/>
  <c r="J230" i="23" s="1"/>
  <c r="H231" i="23"/>
  <c r="I231" i="23" s="1"/>
  <c r="J231" i="23" s="1"/>
  <c r="H232" i="23"/>
  <c r="I232" i="23" s="1"/>
  <c r="J232" i="23" s="1"/>
  <c r="H233" i="23"/>
  <c r="I233" i="23" s="1"/>
  <c r="J233" i="23" s="1"/>
  <c r="H234" i="23"/>
  <c r="I234" i="23" s="1"/>
  <c r="J234" i="23" s="1"/>
  <c r="H235" i="23"/>
  <c r="I235" i="23" s="1"/>
  <c r="J235" i="23" s="1"/>
  <c r="H236" i="23"/>
  <c r="I236" i="23" s="1"/>
  <c r="J236" i="23" s="1"/>
  <c r="H237" i="23"/>
  <c r="I237" i="23" s="1"/>
  <c r="J237" i="23" s="1"/>
  <c r="H238" i="23"/>
  <c r="I238" i="23" s="1"/>
  <c r="J238" i="23" s="1"/>
  <c r="H239" i="23"/>
  <c r="I239" i="23" s="1"/>
  <c r="J239" i="23" s="1"/>
  <c r="H240" i="23"/>
  <c r="I240" i="23" s="1"/>
  <c r="J240" i="23" s="1"/>
  <c r="H241" i="23"/>
  <c r="I241" i="23" s="1"/>
  <c r="J241" i="23" s="1"/>
  <c r="H242" i="23"/>
  <c r="I242" i="23" s="1"/>
  <c r="J242" i="23" s="1"/>
  <c r="H243" i="23"/>
  <c r="I243" i="23" s="1"/>
  <c r="J243" i="23" s="1"/>
  <c r="H244" i="23"/>
  <c r="I244" i="23" s="1"/>
  <c r="J244" i="23" s="1"/>
  <c r="H246" i="23"/>
  <c r="I246" i="23" s="1"/>
  <c r="J246" i="23" s="1"/>
  <c r="H247" i="23"/>
  <c r="I247" i="23" s="1"/>
  <c r="J247" i="23" s="1"/>
  <c r="H248" i="23"/>
  <c r="I248" i="23" s="1"/>
  <c r="J248" i="23" s="1"/>
  <c r="H249" i="23"/>
  <c r="I249" i="23" s="1"/>
  <c r="J249" i="23" s="1"/>
  <c r="H250" i="23"/>
  <c r="I250" i="23" s="1"/>
  <c r="J250" i="23" s="1"/>
  <c r="H251" i="23"/>
  <c r="I251" i="23" s="1"/>
  <c r="J251" i="23" s="1"/>
  <c r="H252" i="23"/>
  <c r="I252" i="23" s="1"/>
  <c r="J252" i="23" s="1"/>
  <c r="H253" i="23"/>
  <c r="I253" i="23" s="1"/>
  <c r="J253" i="23" s="1"/>
  <c r="H254" i="23"/>
  <c r="I254" i="23" s="1"/>
  <c r="J254" i="23" s="1"/>
  <c r="H255" i="23"/>
  <c r="I255" i="23" s="1"/>
  <c r="J255" i="23" s="1"/>
  <c r="H256" i="23"/>
  <c r="I256" i="23" s="1"/>
  <c r="J256" i="23" s="1"/>
  <c r="H257" i="23"/>
  <c r="I257" i="23" s="1"/>
  <c r="J257" i="23" s="1"/>
  <c r="H258" i="23"/>
  <c r="I258" i="23" s="1"/>
  <c r="J258" i="23" s="1"/>
  <c r="H259" i="23"/>
  <c r="I259" i="23" s="1"/>
  <c r="J259" i="23" s="1"/>
  <c r="H260" i="23"/>
  <c r="I260" i="23" s="1"/>
  <c r="J260" i="23" s="1"/>
  <c r="H261" i="23"/>
  <c r="I261" i="23" s="1"/>
  <c r="J261" i="23" s="1"/>
  <c r="H262" i="23"/>
  <c r="I262" i="23" s="1"/>
  <c r="J262" i="23" s="1"/>
  <c r="H263" i="23"/>
  <c r="I263" i="23" s="1"/>
  <c r="J263" i="23" s="1"/>
  <c r="H264" i="23"/>
  <c r="I264" i="23" s="1"/>
  <c r="J264" i="23" s="1"/>
  <c r="H265" i="23"/>
  <c r="I265" i="23" s="1"/>
  <c r="J265" i="23" s="1"/>
  <c r="H266" i="23"/>
  <c r="I266" i="23" s="1"/>
  <c r="J266" i="23" s="1"/>
  <c r="H267" i="23"/>
  <c r="I267" i="23" s="1"/>
  <c r="J267" i="23" s="1"/>
  <c r="H268" i="23"/>
  <c r="I268" i="23" s="1"/>
  <c r="J268" i="23" s="1"/>
  <c r="H269" i="23"/>
  <c r="I269" i="23" s="1"/>
  <c r="J269" i="23" s="1"/>
  <c r="H270" i="23"/>
  <c r="I270" i="23" s="1"/>
  <c r="J270" i="23" s="1"/>
  <c r="H271" i="23"/>
  <c r="I271" i="23" s="1"/>
  <c r="J271" i="23" s="1"/>
  <c r="H272" i="23"/>
  <c r="I272" i="23" s="1"/>
  <c r="J272" i="23" s="1"/>
  <c r="H273" i="23"/>
  <c r="I273" i="23" s="1"/>
  <c r="J273" i="23" s="1"/>
  <c r="H274" i="23"/>
  <c r="I274" i="23" s="1"/>
  <c r="J274" i="23" s="1"/>
  <c r="H275" i="23"/>
  <c r="I275" i="23" s="1"/>
  <c r="J275" i="23" s="1"/>
  <c r="H276" i="23"/>
  <c r="I276" i="23" s="1"/>
  <c r="J276" i="23" s="1"/>
  <c r="H277" i="23"/>
  <c r="I277" i="23" s="1"/>
  <c r="J277" i="23" s="1"/>
  <c r="H278" i="23"/>
  <c r="I278" i="23" s="1"/>
  <c r="J278" i="23" s="1"/>
  <c r="H279" i="23"/>
  <c r="I279" i="23" s="1"/>
  <c r="J279" i="23" s="1"/>
  <c r="H280" i="23"/>
  <c r="I280" i="23" s="1"/>
  <c r="J280" i="23" s="1"/>
  <c r="H281" i="23"/>
  <c r="I281" i="23" s="1"/>
  <c r="J281" i="23" s="1"/>
  <c r="H282" i="23"/>
  <c r="I282" i="23" s="1"/>
  <c r="J282" i="23" s="1"/>
  <c r="H283" i="23"/>
  <c r="I283" i="23" s="1"/>
  <c r="J283" i="23" s="1"/>
  <c r="H284" i="23"/>
  <c r="I284" i="23" s="1"/>
  <c r="J284" i="23" s="1"/>
  <c r="H285" i="23"/>
  <c r="I285" i="23" s="1"/>
  <c r="J285" i="23" s="1"/>
  <c r="H286" i="23"/>
  <c r="I286" i="23" s="1"/>
  <c r="J286" i="23" s="1"/>
  <c r="H287" i="23"/>
  <c r="I287" i="23" s="1"/>
  <c r="J287" i="23" s="1"/>
  <c r="H288" i="23"/>
  <c r="I288" i="23" s="1"/>
  <c r="J288" i="23" s="1"/>
  <c r="H289" i="23"/>
  <c r="I289" i="23" s="1"/>
  <c r="J289" i="23" s="1"/>
  <c r="H290" i="23"/>
  <c r="I290" i="23" s="1"/>
  <c r="J290" i="23" s="1"/>
  <c r="H291" i="23"/>
  <c r="I291" i="23" s="1"/>
  <c r="J291" i="23" s="1"/>
  <c r="H292" i="23"/>
  <c r="I292" i="23" s="1"/>
  <c r="J292" i="23" s="1"/>
  <c r="H293" i="23"/>
  <c r="I293" i="23" s="1"/>
  <c r="J293" i="23" s="1"/>
  <c r="H294" i="23"/>
  <c r="I294" i="23" s="1"/>
  <c r="J294" i="23" s="1"/>
  <c r="H295" i="23"/>
  <c r="I295" i="23" s="1"/>
  <c r="J295" i="23" s="1"/>
  <c r="H296" i="23"/>
  <c r="I296" i="23" s="1"/>
  <c r="J296" i="23" s="1"/>
  <c r="H297" i="23"/>
  <c r="I297" i="23" s="1"/>
  <c r="J297" i="23" s="1"/>
  <c r="H298" i="23"/>
  <c r="I298" i="23" s="1"/>
  <c r="J298" i="23" s="1"/>
  <c r="H299" i="23"/>
  <c r="I299" i="23" s="1"/>
  <c r="J299" i="23" s="1"/>
  <c r="H300" i="23"/>
  <c r="I300" i="23" s="1"/>
  <c r="J300" i="23" s="1"/>
  <c r="H301" i="23"/>
  <c r="I301" i="23" s="1"/>
  <c r="J301" i="23" s="1"/>
  <c r="H302" i="23"/>
  <c r="I302" i="23" s="1"/>
  <c r="J302" i="23" s="1"/>
  <c r="H303" i="23"/>
  <c r="I303" i="23" s="1"/>
  <c r="J303" i="23" s="1"/>
  <c r="H304" i="23"/>
  <c r="I304" i="23" s="1"/>
  <c r="J304" i="23" s="1"/>
  <c r="H305" i="23"/>
  <c r="I305" i="23" s="1"/>
  <c r="J305" i="23" s="1"/>
  <c r="H306" i="23"/>
  <c r="I306" i="23" s="1"/>
  <c r="J306" i="23" s="1"/>
  <c r="H307" i="23"/>
  <c r="I307" i="23" s="1"/>
  <c r="J307" i="23" s="1"/>
  <c r="H308" i="23"/>
  <c r="I308" i="23" s="1"/>
  <c r="J308" i="23" s="1"/>
  <c r="H309" i="23"/>
  <c r="I309" i="23" s="1"/>
  <c r="J309" i="23" s="1"/>
  <c r="H310" i="23"/>
  <c r="I310" i="23" s="1"/>
  <c r="J310" i="23" s="1"/>
  <c r="H311" i="23"/>
  <c r="I311" i="23" s="1"/>
  <c r="J311" i="23" s="1"/>
  <c r="H2" i="23"/>
  <c r="I2" i="23" s="1"/>
  <c r="J2" i="23" s="1"/>
  <c r="I295" i="25"/>
  <c r="J295" i="25" s="1"/>
  <c r="M295" i="25" s="1"/>
  <c r="Q295" i="25" s="1"/>
  <c r="I280" i="25"/>
  <c r="J280" i="25" s="1"/>
  <c r="I279" i="25"/>
  <c r="J279" i="25" s="1"/>
  <c r="M279" i="25" s="1"/>
  <c r="Q279" i="25" s="1"/>
  <c r="I278" i="25"/>
  <c r="J278" i="25" s="1"/>
  <c r="M278" i="25" s="1"/>
  <c r="I256" i="25"/>
  <c r="J256" i="25" s="1"/>
  <c r="I242" i="25"/>
  <c r="J242" i="25" s="1"/>
  <c r="I241" i="25"/>
  <c r="J241" i="25" s="1"/>
  <c r="I240" i="25"/>
  <c r="J240" i="25" s="1"/>
  <c r="I239" i="25"/>
  <c r="J239" i="25" s="1"/>
  <c r="I203" i="25"/>
  <c r="J203" i="25" s="1"/>
  <c r="I202" i="25"/>
  <c r="J202" i="25" s="1"/>
  <c r="M202" i="25" s="1"/>
  <c r="Q202" i="25" s="1"/>
  <c r="I201" i="25"/>
  <c r="J201" i="25" s="1"/>
  <c r="I200" i="25"/>
  <c r="J200" i="25" s="1"/>
  <c r="I172" i="25"/>
  <c r="J172" i="25" s="1"/>
  <c r="I171" i="25"/>
  <c r="J171" i="25" s="1"/>
  <c r="I169" i="25"/>
  <c r="J169" i="25" s="1"/>
  <c r="I166" i="25"/>
  <c r="J166" i="25" s="1"/>
  <c r="I162" i="25"/>
  <c r="J162" i="25" s="1"/>
  <c r="I161" i="25"/>
  <c r="J161" i="25" s="1"/>
  <c r="I160" i="25"/>
  <c r="J160" i="25" s="1"/>
  <c r="I159" i="25"/>
  <c r="J159" i="25" s="1"/>
  <c r="I158" i="25"/>
  <c r="J158" i="25" s="1"/>
  <c r="I126" i="25"/>
  <c r="J126" i="25" s="1"/>
  <c r="I125" i="25"/>
  <c r="J125" i="25" s="1"/>
  <c r="I122" i="25"/>
  <c r="J122" i="25" s="1"/>
  <c r="I121" i="25"/>
  <c r="J121" i="25" s="1"/>
  <c r="I120" i="25"/>
  <c r="J120" i="25" s="1"/>
  <c r="I119" i="25"/>
  <c r="J119" i="25" s="1"/>
  <c r="I83" i="25"/>
  <c r="J83" i="25" s="1"/>
  <c r="I82" i="25"/>
  <c r="J82" i="25" s="1"/>
  <c r="I81" i="25"/>
  <c r="J81" i="25" s="1"/>
  <c r="I80" i="25"/>
  <c r="J80" i="25" s="1"/>
  <c r="I47" i="25"/>
  <c r="J47" i="25" s="1"/>
  <c r="I46" i="25"/>
  <c r="J46" i="25" s="1"/>
  <c r="I45" i="25"/>
  <c r="J45" i="25" s="1"/>
  <c r="I44" i="25"/>
  <c r="J44" i="25" s="1"/>
  <c r="I43" i="25"/>
  <c r="J43" i="25" s="1"/>
  <c r="I42" i="25"/>
  <c r="J42" i="25" s="1"/>
  <c r="I41" i="25"/>
  <c r="J41" i="25" s="1"/>
  <c r="I3" i="25"/>
  <c r="J3" i="25" s="1"/>
  <c r="M3" i="25" s="1"/>
  <c r="Q3" i="25" s="1"/>
  <c r="I4" i="25"/>
  <c r="J4" i="25" s="1"/>
  <c r="I5" i="25"/>
  <c r="J5" i="25" s="1"/>
  <c r="I7" i="25"/>
  <c r="J7" i="25" s="1"/>
  <c r="I2" i="25"/>
  <c r="J2" i="25" s="1"/>
  <c r="I49" i="24"/>
  <c r="J49" i="24" s="1"/>
  <c r="M49" i="24" s="1"/>
  <c r="I50" i="24"/>
  <c r="J50" i="24" s="1"/>
  <c r="M50" i="24" s="1"/>
  <c r="I51" i="24"/>
  <c r="J51" i="24" s="1"/>
  <c r="M51" i="24" s="1"/>
  <c r="I52" i="24"/>
  <c r="J52" i="24" s="1"/>
  <c r="M52" i="24" s="1"/>
  <c r="I53" i="24"/>
  <c r="J53" i="24" s="1"/>
  <c r="M53" i="24" s="1"/>
  <c r="I54" i="24"/>
  <c r="J54" i="24" s="1"/>
  <c r="M54" i="24" s="1"/>
  <c r="I55" i="24"/>
  <c r="J55" i="24" s="1"/>
  <c r="M55" i="24" s="1"/>
  <c r="I56" i="24"/>
  <c r="J56" i="24" s="1"/>
  <c r="M56" i="24" s="1"/>
  <c r="I57" i="24"/>
  <c r="J57" i="24" s="1"/>
  <c r="M57" i="24" s="1"/>
  <c r="I58" i="24"/>
  <c r="J58" i="24" s="1"/>
  <c r="M58" i="24" s="1"/>
  <c r="I59" i="24"/>
  <c r="J59" i="24" s="1"/>
  <c r="M59" i="24" s="1"/>
  <c r="I60" i="24"/>
  <c r="J60" i="24" s="1"/>
  <c r="M60" i="24" s="1"/>
  <c r="I61" i="24"/>
  <c r="J61" i="24" s="1"/>
  <c r="M61" i="24" s="1"/>
  <c r="I62" i="24"/>
  <c r="J62" i="24" s="1"/>
  <c r="M62" i="24" s="1"/>
  <c r="I63" i="24"/>
  <c r="J63" i="24" s="1"/>
  <c r="M63" i="24" s="1"/>
  <c r="I64" i="24"/>
  <c r="J64" i="24" s="1"/>
  <c r="M64" i="24" s="1"/>
  <c r="I65" i="24"/>
  <c r="J65" i="24" s="1"/>
  <c r="M65" i="24" s="1"/>
  <c r="I66" i="24"/>
  <c r="J66" i="24" s="1"/>
  <c r="M66" i="24" s="1"/>
  <c r="I67" i="24"/>
  <c r="J67" i="24" s="1"/>
  <c r="M67" i="24" s="1"/>
  <c r="I68" i="24"/>
  <c r="J68" i="24" s="1"/>
  <c r="M68" i="24" s="1"/>
  <c r="I69" i="24"/>
  <c r="J69" i="24" s="1"/>
  <c r="M69" i="24" s="1"/>
  <c r="I70" i="24"/>
  <c r="J70" i="24" s="1"/>
  <c r="M70" i="24" s="1"/>
  <c r="I71" i="24"/>
  <c r="J71" i="24" s="1"/>
  <c r="M71" i="24" s="1"/>
  <c r="I72" i="24"/>
  <c r="J72" i="24" s="1"/>
  <c r="M72" i="24" s="1"/>
  <c r="I73" i="24"/>
  <c r="J73" i="24" s="1"/>
  <c r="M73" i="24" s="1"/>
  <c r="I74" i="24"/>
  <c r="J74" i="24" s="1"/>
  <c r="M74" i="24" s="1"/>
  <c r="I75" i="24"/>
  <c r="J75" i="24" s="1"/>
  <c r="M75" i="24" s="1"/>
  <c r="I76" i="24"/>
  <c r="J76" i="24" s="1"/>
  <c r="M76" i="24" s="1"/>
  <c r="I77" i="24"/>
  <c r="J77" i="24" s="1"/>
  <c r="M77" i="24" s="1"/>
  <c r="I78" i="24"/>
  <c r="J78" i="24" s="1"/>
  <c r="M78" i="24" s="1"/>
  <c r="I80" i="24"/>
  <c r="J80" i="24" s="1"/>
  <c r="I81" i="24"/>
  <c r="J81" i="24" s="1"/>
  <c r="M81" i="24" s="1"/>
  <c r="I82" i="24"/>
  <c r="J82" i="24" s="1"/>
  <c r="M82" i="24" s="1"/>
  <c r="I83" i="24"/>
  <c r="J83" i="24" s="1"/>
  <c r="M83" i="24" s="1"/>
  <c r="I84" i="24"/>
  <c r="J84" i="24" s="1"/>
  <c r="M84" i="24" s="1"/>
  <c r="I85" i="24"/>
  <c r="J85" i="24" s="1"/>
  <c r="M85" i="24" s="1"/>
  <c r="I86" i="24"/>
  <c r="J86" i="24" s="1"/>
  <c r="M86" i="24" s="1"/>
  <c r="I87" i="24"/>
  <c r="J87" i="24" s="1"/>
  <c r="M87" i="24" s="1"/>
  <c r="I88" i="24"/>
  <c r="J88" i="24" s="1"/>
  <c r="M88" i="24" s="1"/>
  <c r="I89" i="24"/>
  <c r="J89" i="24" s="1"/>
  <c r="M89" i="24" s="1"/>
  <c r="I90" i="24"/>
  <c r="J90" i="24" s="1"/>
  <c r="M90" i="24" s="1"/>
  <c r="I91" i="24"/>
  <c r="J91" i="24" s="1"/>
  <c r="M91" i="24" s="1"/>
  <c r="I92" i="24"/>
  <c r="J92" i="24" s="1"/>
  <c r="M92" i="24" s="1"/>
  <c r="I93" i="24"/>
  <c r="J93" i="24" s="1"/>
  <c r="M93" i="24" s="1"/>
  <c r="I94" i="24"/>
  <c r="J94" i="24" s="1"/>
  <c r="M94" i="24" s="1"/>
  <c r="I95" i="24"/>
  <c r="J95" i="24" s="1"/>
  <c r="M95" i="24" s="1"/>
  <c r="I96" i="24"/>
  <c r="J96" i="24" s="1"/>
  <c r="M96" i="24" s="1"/>
  <c r="I97" i="24"/>
  <c r="J97" i="24" s="1"/>
  <c r="M97" i="24" s="1"/>
  <c r="I98" i="24"/>
  <c r="J98" i="24" s="1"/>
  <c r="M98" i="24" s="1"/>
  <c r="I99" i="24"/>
  <c r="J99" i="24" s="1"/>
  <c r="M99" i="24" s="1"/>
  <c r="I100" i="24"/>
  <c r="J100" i="24" s="1"/>
  <c r="M100" i="24" s="1"/>
  <c r="I101" i="24"/>
  <c r="J101" i="24" s="1"/>
  <c r="M101" i="24" s="1"/>
  <c r="I102" i="24"/>
  <c r="J102" i="24" s="1"/>
  <c r="M102" i="24" s="1"/>
  <c r="I103" i="24"/>
  <c r="J103" i="24" s="1"/>
  <c r="M103" i="24" s="1"/>
  <c r="I104" i="24"/>
  <c r="J104" i="24" s="1"/>
  <c r="M104" i="24" s="1"/>
  <c r="I105" i="24"/>
  <c r="J105" i="24" s="1"/>
  <c r="M105" i="24" s="1"/>
  <c r="I106" i="24"/>
  <c r="J106" i="24" s="1"/>
  <c r="M106" i="24" s="1"/>
  <c r="I107" i="24"/>
  <c r="J107" i="24" s="1"/>
  <c r="M107" i="24" s="1"/>
  <c r="I108" i="24"/>
  <c r="J108" i="24" s="1"/>
  <c r="M108" i="24" s="1"/>
  <c r="I109" i="24"/>
  <c r="J109" i="24" s="1"/>
  <c r="M109" i="24" s="1"/>
  <c r="I110" i="24"/>
  <c r="J110" i="24" s="1"/>
  <c r="M110" i="24" s="1"/>
  <c r="I111" i="24"/>
  <c r="J111" i="24" s="1"/>
  <c r="M111" i="24" s="1"/>
  <c r="I112" i="24"/>
  <c r="J112" i="24" s="1"/>
  <c r="M112" i="24" s="1"/>
  <c r="I113" i="24"/>
  <c r="J113" i="24" s="1"/>
  <c r="M113" i="24" s="1"/>
  <c r="I114" i="24"/>
  <c r="J114" i="24" s="1"/>
  <c r="M114" i="24" s="1"/>
  <c r="I115" i="24"/>
  <c r="J115" i="24" s="1"/>
  <c r="M115" i="24" s="1"/>
  <c r="I116" i="24"/>
  <c r="J116" i="24" s="1"/>
  <c r="M116" i="24" s="1"/>
  <c r="I117" i="24"/>
  <c r="J117" i="24" s="1"/>
  <c r="M117" i="24" s="1"/>
  <c r="I119" i="24"/>
  <c r="J119" i="24" s="1"/>
  <c r="M119" i="24" s="1"/>
  <c r="I120" i="24"/>
  <c r="J120" i="24" s="1"/>
  <c r="M120" i="24" s="1"/>
  <c r="I121" i="24"/>
  <c r="J121" i="24" s="1"/>
  <c r="M121" i="24" s="1"/>
  <c r="I122" i="24"/>
  <c r="J122" i="24" s="1"/>
  <c r="M122" i="24" s="1"/>
  <c r="I123" i="24"/>
  <c r="J123" i="24" s="1"/>
  <c r="M123" i="24" s="1"/>
  <c r="I124" i="24"/>
  <c r="J124" i="24" s="1"/>
  <c r="M124" i="24" s="1"/>
  <c r="I125" i="24"/>
  <c r="J125" i="24" s="1"/>
  <c r="M125" i="24" s="1"/>
  <c r="I126" i="24"/>
  <c r="J126" i="24" s="1"/>
  <c r="M126" i="24" s="1"/>
  <c r="I127" i="24"/>
  <c r="J127" i="24" s="1"/>
  <c r="M127" i="24" s="1"/>
  <c r="I128" i="24"/>
  <c r="J128" i="24" s="1"/>
  <c r="M128" i="24" s="1"/>
  <c r="I129" i="24"/>
  <c r="J129" i="24" s="1"/>
  <c r="M129" i="24" s="1"/>
  <c r="I130" i="24"/>
  <c r="J130" i="24" s="1"/>
  <c r="M130" i="24" s="1"/>
  <c r="I131" i="24"/>
  <c r="J131" i="24" s="1"/>
  <c r="M131" i="24" s="1"/>
  <c r="I132" i="24"/>
  <c r="J132" i="24" s="1"/>
  <c r="M132" i="24" s="1"/>
  <c r="I133" i="24"/>
  <c r="J133" i="24" s="1"/>
  <c r="M133" i="24" s="1"/>
  <c r="I134" i="24"/>
  <c r="J134" i="24" s="1"/>
  <c r="M134" i="24" s="1"/>
  <c r="I135" i="24"/>
  <c r="J135" i="24" s="1"/>
  <c r="M135" i="24" s="1"/>
  <c r="I136" i="24"/>
  <c r="J136" i="24" s="1"/>
  <c r="M136" i="24" s="1"/>
  <c r="I137" i="24"/>
  <c r="J137" i="24" s="1"/>
  <c r="M137" i="24" s="1"/>
  <c r="I138" i="24"/>
  <c r="J138" i="24" s="1"/>
  <c r="M138" i="24" s="1"/>
  <c r="I139" i="24"/>
  <c r="J139" i="24" s="1"/>
  <c r="M139" i="24" s="1"/>
  <c r="I140" i="24"/>
  <c r="J140" i="24" s="1"/>
  <c r="M140" i="24" s="1"/>
  <c r="I141" i="24"/>
  <c r="J141" i="24" s="1"/>
  <c r="M141" i="24" s="1"/>
  <c r="I142" i="24"/>
  <c r="J142" i="24" s="1"/>
  <c r="M142" i="24" s="1"/>
  <c r="I143" i="24"/>
  <c r="J143" i="24" s="1"/>
  <c r="M143" i="24" s="1"/>
  <c r="I144" i="24"/>
  <c r="J144" i="24" s="1"/>
  <c r="M144" i="24" s="1"/>
  <c r="I145" i="24"/>
  <c r="J145" i="24" s="1"/>
  <c r="M145" i="24" s="1"/>
  <c r="I146" i="24"/>
  <c r="J146" i="24" s="1"/>
  <c r="M146" i="24" s="1"/>
  <c r="I147" i="24"/>
  <c r="J147" i="24" s="1"/>
  <c r="M147" i="24" s="1"/>
  <c r="I148" i="24"/>
  <c r="J148" i="24" s="1"/>
  <c r="M148" i="24" s="1"/>
  <c r="I149" i="24"/>
  <c r="J149" i="24" s="1"/>
  <c r="M149" i="24" s="1"/>
  <c r="I150" i="24"/>
  <c r="J150" i="24" s="1"/>
  <c r="M150" i="24" s="1"/>
  <c r="I151" i="24"/>
  <c r="J151" i="24" s="1"/>
  <c r="M151" i="24" s="1"/>
  <c r="I152" i="24"/>
  <c r="J152" i="24" s="1"/>
  <c r="M152" i="24" s="1"/>
  <c r="I153" i="24"/>
  <c r="J153" i="24" s="1"/>
  <c r="M153" i="24" s="1"/>
  <c r="I154" i="24"/>
  <c r="J154" i="24" s="1"/>
  <c r="M154" i="24" s="1"/>
  <c r="I155" i="24"/>
  <c r="J155" i="24" s="1"/>
  <c r="M155" i="24" s="1"/>
  <c r="I156" i="24"/>
  <c r="J156" i="24" s="1"/>
  <c r="M156" i="24" s="1"/>
  <c r="I158" i="24"/>
  <c r="J158" i="24" s="1"/>
  <c r="I159" i="24"/>
  <c r="J159" i="24" s="1"/>
  <c r="M159" i="24" s="1"/>
  <c r="I160" i="24"/>
  <c r="J160" i="24" s="1"/>
  <c r="M160" i="24" s="1"/>
  <c r="I161" i="24"/>
  <c r="J161" i="24" s="1"/>
  <c r="M161" i="24" s="1"/>
  <c r="I162" i="24"/>
  <c r="J162" i="24" s="1"/>
  <c r="M162" i="24" s="1"/>
  <c r="I163" i="24"/>
  <c r="J163" i="24" s="1"/>
  <c r="M163" i="24" s="1"/>
  <c r="I164" i="24"/>
  <c r="J164" i="24" s="1"/>
  <c r="M164" i="24" s="1"/>
  <c r="I165" i="24"/>
  <c r="J165" i="24" s="1"/>
  <c r="M165" i="24" s="1"/>
  <c r="I166" i="24"/>
  <c r="J166" i="24" s="1"/>
  <c r="M166" i="24" s="1"/>
  <c r="I167" i="24"/>
  <c r="J167" i="24" s="1"/>
  <c r="M167" i="24" s="1"/>
  <c r="I168" i="24"/>
  <c r="J168" i="24" s="1"/>
  <c r="M168" i="24" s="1"/>
  <c r="I169" i="24"/>
  <c r="J169" i="24" s="1"/>
  <c r="M169" i="24" s="1"/>
  <c r="I170" i="24"/>
  <c r="J170" i="24" s="1"/>
  <c r="M170" i="24" s="1"/>
  <c r="I171" i="24"/>
  <c r="J171" i="24" s="1"/>
  <c r="M171" i="24" s="1"/>
  <c r="I172" i="24"/>
  <c r="J172" i="24" s="1"/>
  <c r="M172" i="24" s="1"/>
  <c r="I173" i="24"/>
  <c r="J173" i="24" s="1"/>
  <c r="M173" i="24" s="1"/>
  <c r="I174" i="24"/>
  <c r="J174" i="24" s="1"/>
  <c r="M174" i="24" s="1"/>
  <c r="I175" i="24"/>
  <c r="J175" i="24" s="1"/>
  <c r="M175" i="24" s="1"/>
  <c r="I176" i="24"/>
  <c r="J176" i="24" s="1"/>
  <c r="M176" i="24" s="1"/>
  <c r="I177" i="24"/>
  <c r="J177" i="24" s="1"/>
  <c r="M177" i="24" s="1"/>
  <c r="I178" i="24"/>
  <c r="J178" i="24" s="1"/>
  <c r="M178" i="24" s="1"/>
  <c r="I179" i="24"/>
  <c r="J179" i="24" s="1"/>
  <c r="M179" i="24" s="1"/>
  <c r="I180" i="24"/>
  <c r="J180" i="24" s="1"/>
  <c r="M180" i="24" s="1"/>
  <c r="I181" i="24"/>
  <c r="J181" i="24" s="1"/>
  <c r="M181" i="24" s="1"/>
  <c r="I182" i="24"/>
  <c r="J182" i="24" s="1"/>
  <c r="M182" i="24" s="1"/>
  <c r="I183" i="24"/>
  <c r="J183" i="24" s="1"/>
  <c r="M183" i="24" s="1"/>
  <c r="I184" i="24"/>
  <c r="J184" i="24" s="1"/>
  <c r="M184" i="24" s="1"/>
  <c r="I185" i="24"/>
  <c r="J185" i="24" s="1"/>
  <c r="M185" i="24" s="1"/>
  <c r="I186" i="24"/>
  <c r="J186" i="24" s="1"/>
  <c r="M186" i="24" s="1"/>
  <c r="I187" i="24"/>
  <c r="J187" i="24" s="1"/>
  <c r="M187" i="24" s="1"/>
  <c r="I188" i="24"/>
  <c r="J188" i="24" s="1"/>
  <c r="M188" i="24" s="1"/>
  <c r="I189" i="24"/>
  <c r="J189" i="24" s="1"/>
  <c r="M189" i="24" s="1"/>
  <c r="I190" i="24"/>
  <c r="J190" i="24" s="1"/>
  <c r="M190" i="24" s="1"/>
  <c r="I191" i="24"/>
  <c r="J191" i="24" s="1"/>
  <c r="M191" i="24" s="1"/>
  <c r="I192" i="24"/>
  <c r="J192" i="24" s="1"/>
  <c r="M192" i="24" s="1"/>
  <c r="I193" i="24"/>
  <c r="J193" i="24" s="1"/>
  <c r="M193" i="24" s="1"/>
  <c r="I194" i="24"/>
  <c r="J194" i="24" s="1"/>
  <c r="M194" i="24" s="1"/>
  <c r="I195" i="24"/>
  <c r="J195" i="24" s="1"/>
  <c r="M195" i="24" s="1"/>
  <c r="I197" i="24"/>
  <c r="J197" i="24" s="1"/>
  <c r="I198" i="24"/>
  <c r="J198" i="24" s="1"/>
  <c r="M198" i="24" s="1"/>
  <c r="I199" i="24"/>
  <c r="J199" i="24" s="1"/>
  <c r="M199" i="24" s="1"/>
  <c r="I200" i="24"/>
  <c r="J200" i="24" s="1"/>
  <c r="M200" i="24" s="1"/>
  <c r="I201" i="24"/>
  <c r="J201" i="24" s="1"/>
  <c r="M201" i="24" s="1"/>
  <c r="I202" i="24"/>
  <c r="J202" i="24" s="1"/>
  <c r="M202" i="24" s="1"/>
  <c r="I203" i="24"/>
  <c r="J203" i="24" s="1"/>
  <c r="M203" i="24" s="1"/>
  <c r="I204" i="24"/>
  <c r="J204" i="24" s="1"/>
  <c r="M204" i="24" s="1"/>
  <c r="I205" i="24"/>
  <c r="J205" i="24" s="1"/>
  <c r="M205" i="24" s="1"/>
  <c r="I206" i="24"/>
  <c r="J206" i="24" s="1"/>
  <c r="M206" i="24" s="1"/>
  <c r="I207" i="24"/>
  <c r="J207" i="24" s="1"/>
  <c r="M207" i="24" s="1"/>
  <c r="I208" i="24"/>
  <c r="J208" i="24" s="1"/>
  <c r="M208" i="24" s="1"/>
  <c r="I209" i="24"/>
  <c r="J209" i="24" s="1"/>
  <c r="M209" i="24" s="1"/>
  <c r="I210" i="24"/>
  <c r="J210" i="24" s="1"/>
  <c r="M210" i="24" s="1"/>
  <c r="I211" i="24"/>
  <c r="J211" i="24" s="1"/>
  <c r="M211" i="24" s="1"/>
  <c r="I212" i="24"/>
  <c r="J212" i="24" s="1"/>
  <c r="M212" i="24" s="1"/>
  <c r="I213" i="24"/>
  <c r="J213" i="24" s="1"/>
  <c r="M213" i="24" s="1"/>
  <c r="I214" i="24"/>
  <c r="J214" i="24" s="1"/>
  <c r="M214" i="24" s="1"/>
  <c r="I215" i="24"/>
  <c r="J215" i="24" s="1"/>
  <c r="M215" i="24" s="1"/>
  <c r="I216" i="24"/>
  <c r="J216" i="24" s="1"/>
  <c r="M216" i="24" s="1"/>
  <c r="I217" i="24"/>
  <c r="J217" i="24" s="1"/>
  <c r="M217" i="24" s="1"/>
  <c r="I218" i="24"/>
  <c r="J218" i="24" s="1"/>
  <c r="M218" i="24" s="1"/>
  <c r="I219" i="24"/>
  <c r="J219" i="24" s="1"/>
  <c r="M219" i="24" s="1"/>
  <c r="I220" i="24"/>
  <c r="J220" i="24" s="1"/>
  <c r="M220" i="24" s="1"/>
  <c r="I221" i="24"/>
  <c r="J221" i="24" s="1"/>
  <c r="M221" i="24" s="1"/>
  <c r="I222" i="24"/>
  <c r="J222" i="24" s="1"/>
  <c r="M222" i="24" s="1"/>
  <c r="I223" i="24"/>
  <c r="J223" i="24" s="1"/>
  <c r="M223" i="24" s="1"/>
  <c r="I224" i="24"/>
  <c r="J224" i="24" s="1"/>
  <c r="M224" i="24" s="1"/>
  <c r="I225" i="24"/>
  <c r="J225" i="24" s="1"/>
  <c r="M225" i="24" s="1"/>
  <c r="I226" i="24"/>
  <c r="J226" i="24" s="1"/>
  <c r="M226" i="24" s="1"/>
  <c r="I227" i="24"/>
  <c r="J227" i="24" s="1"/>
  <c r="M227" i="24" s="1"/>
  <c r="I228" i="24"/>
  <c r="J228" i="24" s="1"/>
  <c r="M228" i="24" s="1"/>
  <c r="I229" i="24"/>
  <c r="J229" i="24" s="1"/>
  <c r="M229" i="24" s="1"/>
  <c r="I230" i="24"/>
  <c r="J230" i="24" s="1"/>
  <c r="M230" i="24" s="1"/>
  <c r="I231" i="24"/>
  <c r="J231" i="24" s="1"/>
  <c r="M231" i="24" s="1"/>
  <c r="I232" i="24"/>
  <c r="J232" i="24" s="1"/>
  <c r="M232" i="24" s="1"/>
  <c r="I233" i="24"/>
  <c r="J233" i="24" s="1"/>
  <c r="M233" i="24" s="1"/>
  <c r="I234" i="24"/>
  <c r="J234" i="24" s="1"/>
  <c r="M234" i="24" s="1"/>
  <c r="I236" i="24"/>
  <c r="J236" i="24" s="1"/>
  <c r="I237" i="24"/>
  <c r="J237" i="24" s="1"/>
  <c r="M237" i="24" s="1"/>
  <c r="I238" i="24"/>
  <c r="J238" i="24" s="1"/>
  <c r="M238" i="24" s="1"/>
  <c r="I239" i="24"/>
  <c r="J239" i="24" s="1"/>
  <c r="M239" i="24" s="1"/>
  <c r="I240" i="24"/>
  <c r="J240" i="24" s="1"/>
  <c r="M240" i="24" s="1"/>
  <c r="I241" i="24"/>
  <c r="J241" i="24" s="1"/>
  <c r="M241" i="24" s="1"/>
  <c r="I242" i="24"/>
  <c r="J242" i="24" s="1"/>
  <c r="M242" i="24" s="1"/>
  <c r="I243" i="24"/>
  <c r="J243" i="24" s="1"/>
  <c r="M243" i="24" s="1"/>
  <c r="I244" i="24"/>
  <c r="J244" i="24" s="1"/>
  <c r="M244" i="24" s="1"/>
  <c r="I245" i="24"/>
  <c r="J245" i="24" s="1"/>
  <c r="M245" i="24" s="1"/>
  <c r="I246" i="24"/>
  <c r="J246" i="24" s="1"/>
  <c r="M246" i="24" s="1"/>
  <c r="I247" i="24"/>
  <c r="J247" i="24" s="1"/>
  <c r="M247" i="24" s="1"/>
  <c r="I248" i="24"/>
  <c r="J248" i="24" s="1"/>
  <c r="M248" i="24" s="1"/>
  <c r="I249" i="24"/>
  <c r="J249" i="24" s="1"/>
  <c r="M249" i="24" s="1"/>
  <c r="I250" i="24"/>
  <c r="J250" i="24" s="1"/>
  <c r="M250" i="24" s="1"/>
  <c r="I251" i="24"/>
  <c r="J251" i="24" s="1"/>
  <c r="M251" i="24" s="1"/>
  <c r="I252" i="24"/>
  <c r="J252" i="24" s="1"/>
  <c r="M252" i="24" s="1"/>
  <c r="I253" i="24"/>
  <c r="J253" i="24" s="1"/>
  <c r="M253" i="24" s="1"/>
  <c r="I254" i="24"/>
  <c r="J254" i="24" s="1"/>
  <c r="M254" i="24" s="1"/>
  <c r="I255" i="24"/>
  <c r="J255" i="24" s="1"/>
  <c r="M255" i="24" s="1"/>
  <c r="I256" i="24"/>
  <c r="J256" i="24" s="1"/>
  <c r="M256" i="24" s="1"/>
  <c r="I257" i="24"/>
  <c r="J257" i="24" s="1"/>
  <c r="M257" i="24" s="1"/>
  <c r="I258" i="24"/>
  <c r="J258" i="24" s="1"/>
  <c r="M258" i="24" s="1"/>
  <c r="I259" i="24"/>
  <c r="J259" i="24" s="1"/>
  <c r="M259" i="24" s="1"/>
  <c r="I260" i="24"/>
  <c r="J260" i="24" s="1"/>
  <c r="M260" i="24" s="1"/>
  <c r="I261" i="24"/>
  <c r="J261" i="24" s="1"/>
  <c r="M261" i="24" s="1"/>
  <c r="I262" i="24"/>
  <c r="J262" i="24" s="1"/>
  <c r="M262" i="24" s="1"/>
  <c r="I263" i="24"/>
  <c r="J263" i="24" s="1"/>
  <c r="M263" i="24" s="1"/>
  <c r="I264" i="24"/>
  <c r="J264" i="24" s="1"/>
  <c r="M264" i="24" s="1"/>
  <c r="I265" i="24"/>
  <c r="J265" i="24" s="1"/>
  <c r="M265" i="24" s="1"/>
  <c r="I266" i="24"/>
  <c r="J266" i="24" s="1"/>
  <c r="M266" i="24" s="1"/>
  <c r="I267" i="24"/>
  <c r="J267" i="24" s="1"/>
  <c r="M267" i="24" s="1"/>
  <c r="I268" i="24"/>
  <c r="J268" i="24" s="1"/>
  <c r="M268" i="24" s="1"/>
  <c r="I269" i="24"/>
  <c r="J269" i="24" s="1"/>
  <c r="M269" i="24" s="1"/>
  <c r="I270" i="24"/>
  <c r="J270" i="24" s="1"/>
  <c r="M270" i="24" s="1"/>
  <c r="I271" i="24"/>
  <c r="J271" i="24" s="1"/>
  <c r="M271" i="24" s="1"/>
  <c r="I272" i="24"/>
  <c r="J272" i="24" s="1"/>
  <c r="M272" i="24" s="1"/>
  <c r="I273" i="24"/>
  <c r="J273" i="24" s="1"/>
  <c r="M273" i="24" s="1"/>
  <c r="I275" i="24"/>
  <c r="J275" i="24" s="1"/>
  <c r="I276" i="24"/>
  <c r="J276" i="24" s="1"/>
  <c r="M276" i="24" s="1"/>
  <c r="I277" i="24"/>
  <c r="J277" i="24" s="1"/>
  <c r="M277" i="24" s="1"/>
  <c r="I278" i="24"/>
  <c r="J278" i="24" s="1"/>
  <c r="M278" i="24" s="1"/>
  <c r="I279" i="24"/>
  <c r="J279" i="24" s="1"/>
  <c r="M279" i="24" s="1"/>
  <c r="I280" i="24"/>
  <c r="J280" i="24" s="1"/>
  <c r="M280" i="24" s="1"/>
  <c r="I281" i="24"/>
  <c r="J281" i="24" s="1"/>
  <c r="M281" i="24" s="1"/>
  <c r="I282" i="24"/>
  <c r="J282" i="24" s="1"/>
  <c r="M282" i="24" s="1"/>
  <c r="I283" i="24"/>
  <c r="J283" i="24" s="1"/>
  <c r="M283" i="24" s="1"/>
  <c r="I284" i="24"/>
  <c r="J284" i="24" s="1"/>
  <c r="M284" i="24" s="1"/>
  <c r="I285" i="24"/>
  <c r="J285" i="24" s="1"/>
  <c r="M285" i="24" s="1"/>
  <c r="I286" i="24"/>
  <c r="J286" i="24" s="1"/>
  <c r="M286" i="24" s="1"/>
  <c r="I287" i="24"/>
  <c r="J287" i="24" s="1"/>
  <c r="M287" i="24" s="1"/>
  <c r="I288" i="24"/>
  <c r="J288" i="24" s="1"/>
  <c r="M288" i="24" s="1"/>
  <c r="I289" i="24"/>
  <c r="J289" i="24" s="1"/>
  <c r="M289" i="24" s="1"/>
  <c r="I290" i="24"/>
  <c r="J290" i="24" s="1"/>
  <c r="M290" i="24" s="1"/>
  <c r="I291" i="24"/>
  <c r="J291" i="24" s="1"/>
  <c r="M291" i="24" s="1"/>
  <c r="I292" i="24"/>
  <c r="J292" i="24" s="1"/>
  <c r="M292" i="24" s="1"/>
  <c r="I293" i="24"/>
  <c r="J293" i="24" s="1"/>
  <c r="M293" i="24" s="1"/>
  <c r="I294" i="24"/>
  <c r="J294" i="24" s="1"/>
  <c r="M294" i="24" s="1"/>
  <c r="I295" i="24"/>
  <c r="J295" i="24" s="1"/>
  <c r="M295" i="24" s="1"/>
  <c r="I296" i="24"/>
  <c r="J296" i="24" s="1"/>
  <c r="M296" i="24" s="1"/>
  <c r="I297" i="24"/>
  <c r="J297" i="24" s="1"/>
  <c r="M297" i="24" s="1"/>
  <c r="I298" i="24"/>
  <c r="J298" i="24" s="1"/>
  <c r="M298" i="24" s="1"/>
  <c r="I299" i="24"/>
  <c r="J299" i="24" s="1"/>
  <c r="M299" i="24" s="1"/>
  <c r="I300" i="24"/>
  <c r="J300" i="24" s="1"/>
  <c r="M300" i="24" s="1"/>
  <c r="I301" i="24"/>
  <c r="J301" i="24" s="1"/>
  <c r="M301" i="24" s="1"/>
  <c r="I302" i="24"/>
  <c r="J302" i="24" s="1"/>
  <c r="M302" i="24" s="1"/>
  <c r="I303" i="24"/>
  <c r="J303" i="24" s="1"/>
  <c r="M303" i="24" s="1"/>
  <c r="I304" i="24"/>
  <c r="J304" i="24" s="1"/>
  <c r="M304" i="24" s="1"/>
  <c r="I305" i="24"/>
  <c r="J305" i="24" s="1"/>
  <c r="M305" i="24" s="1"/>
  <c r="I306" i="24"/>
  <c r="J306" i="24" s="1"/>
  <c r="M306" i="24" s="1"/>
  <c r="I307" i="24"/>
  <c r="J307" i="24" s="1"/>
  <c r="M307" i="24" s="1"/>
  <c r="I308" i="24"/>
  <c r="J308" i="24" s="1"/>
  <c r="M308" i="24" s="1"/>
  <c r="I309" i="24"/>
  <c r="J309" i="24" s="1"/>
  <c r="M309" i="24" s="1"/>
  <c r="I310" i="24"/>
  <c r="J310" i="24" s="1"/>
  <c r="M310" i="24" s="1"/>
  <c r="I311" i="24"/>
  <c r="J311" i="24" s="1"/>
  <c r="M311" i="24" s="1"/>
  <c r="I312" i="24"/>
  <c r="J312" i="24" s="1"/>
  <c r="M312" i="24" s="1"/>
  <c r="I41" i="24"/>
  <c r="J41" i="24" s="1"/>
  <c r="M41" i="24" s="1"/>
  <c r="I42" i="24"/>
  <c r="J42" i="24" s="1"/>
  <c r="M42" i="24" s="1"/>
  <c r="I43" i="24"/>
  <c r="J43" i="24" s="1"/>
  <c r="M43" i="24" s="1"/>
  <c r="I44" i="24"/>
  <c r="J44" i="24" s="1"/>
  <c r="M44" i="24" s="1"/>
  <c r="I45" i="24"/>
  <c r="J45" i="24" s="1"/>
  <c r="M45" i="24" s="1"/>
  <c r="I46" i="24"/>
  <c r="J46" i="24" s="1"/>
  <c r="M46" i="24" s="1"/>
  <c r="I47" i="24"/>
  <c r="J47" i="24" s="1"/>
  <c r="M47" i="24" s="1"/>
  <c r="I48" i="24"/>
  <c r="J48" i="24" s="1"/>
  <c r="M48" i="24" s="1"/>
  <c r="I39" i="24"/>
  <c r="J39" i="24" s="1"/>
  <c r="M39" i="24" s="1"/>
  <c r="I38" i="24"/>
  <c r="J38" i="24" s="1"/>
  <c r="M38" i="24" s="1"/>
  <c r="I37" i="24"/>
  <c r="J37" i="24" s="1"/>
  <c r="M37" i="24" s="1"/>
  <c r="I36" i="24"/>
  <c r="J36" i="24" s="1"/>
  <c r="M36" i="24" s="1"/>
  <c r="I35" i="24"/>
  <c r="J35" i="24" s="1"/>
  <c r="M35" i="24" s="1"/>
  <c r="I34" i="24"/>
  <c r="J34" i="24" s="1"/>
  <c r="M34" i="24" s="1"/>
  <c r="I33" i="24"/>
  <c r="J33" i="24" s="1"/>
  <c r="M33" i="24" s="1"/>
  <c r="I32" i="24"/>
  <c r="J32" i="24" s="1"/>
  <c r="M32" i="24" s="1"/>
  <c r="I31" i="24"/>
  <c r="J31" i="24" s="1"/>
  <c r="M31" i="24" s="1"/>
  <c r="I30" i="24"/>
  <c r="J30" i="24" s="1"/>
  <c r="M30" i="24" s="1"/>
  <c r="I29" i="24"/>
  <c r="J29" i="24" s="1"/>
  <c r="M29" i="24" s="1"/>
  <c r="I28" i="24"/>
  <c r="J28" i="24" s="1"/>
  <c r="M28" i="24" s="1"/>
  <c r="I27" i="24"/>
  <c r="J27" i="24" s="1"/>
  <c r="M27" i="24" s="1"/>
  <c r="I26" i="24"/>
  <c r="J26" i="24" s="1"/>
  <c r="M26" i="24" s="1"/>
  <c r="I25" i="24"/>
  <c r="J25" i="24" s="1"/>
  <c r="M25" i="24" s="1"/>
  <c r="I24" i="24"/>
  <c r="J24" i="24" s="1"/>
  <c r="M24" i="24" s="1"/>
  <c r="I23" i="24"/>
  <c r="J23" i="24" s="1"/>
  <c r="M23" i="24" s="1"/>
  <c r="I22" i="24"/>
  <c r="J22" i="24" s="1"/>
  <c r="M22" i="24" s="1"/>
  <c r="I21" i="24"/>
  <c r="J21" i="24" s="1"/>
  <c r="M21" i="24" s="1"/>
  <c r="I20" i="24"/>
  <c r="J20" i="24" s="1"/>
  <c r="M20" i="24" s="1"/>
  <c r="I19" i="24"/>
  <c r="J19" i="24" s="1"/>
  <c r="M19" i="24" s="1"/>
  <c r="I18" i="24"/>
  <c r="J18" i="24" s="1"/>
  <c r="M18" i="24" s="1"/>
  <c r="I17" i="24"/>
  <c r="J17" i="24" s="1"/>
  <c r="M17" i="24" s="1"/>
  <c r="I16" i="24"/>
  <c r="J16" i="24" s="1"/>
  <c r="M16" i="24" s="1"/>
  <c r="I15" i="24"/>
  <c r="J15" i="24" s="1"/>
  <c r="M15" i="24" s="1"/>
  <c r="I14" i="24"/>
  <c r="J14" i="24" s="1"/>
  <c r="M14" i="24" s="1"/>
  <c r="I13" i="24"/>
  <c r="J13" i="24" s="1"/>
  <c r="M13" i="24" s="1"/>
  <c r="I12" i="24"/>
  <c r="J12" i="24" s="1"/>
  <c r="M12" i="24" s="1"/>
  <c r="I11" i="24"/>
  <c r="J11" i="24" s="1"/>
  <c r="M11" i="24" s="1"/>
  <c r="I10" i="24"/>
  <c r="J10" i="24" s="1"/>
  <c r="M10" i="24" s="1"/>
  <c r="I9" i="24"/>
  <c r="J9" i="24" s="1"/>
  <c r="M9" i="24" s="1"/>
  <c r="I8" i="24"/>
  <c r="J8" i="24" s="1"/>
  <c r="M8" i="24" s="1"/>
  <c r="I7" i="24"/>
  <c r="J7" i="24" s="1"/>
  <c r="M7" i="24" s="1"/>
  <c r="I6" i="24"/>
  <c r="J6" i="24" s="1"/>
  <c r="M6" i="24" s="1"/>
  <c r="I5" i="24"/>
  <c r="J5" i="24" s="1"/>
  <c r="M5" i="24" s="1"/>
  <c r="I4" i="24"/>
  <c r="J4" i="24" s="1"/>
  <c r="M4" i="24" s="1"/>
  <c r="I3" i="24"/>
  <c r="J3" i="24" s="1"/>
  <c r="M3" i="24" s="1"/>
  <c r="I2" i="24"/>
  <c r="J2" i="24" s="1"/>
  <c r="I245" i="23"/>
  <c r="J245" i="23" s="1"/>
  <c r="I173" i="25" l="1"/>
  <c r="J173" i="25" s="1"/>
  <c r="I261" i="25"/>
  <c r="J261" i="25" s="1"/>
  <c r="K261" i="25" s="1"/>
  <c r="I304" i="25"/>
  <c r="J304" i="25" s="1"/>
  <c r="M304" i="25" s="1"/>
  <c r="Q304" i="25" s="1"/>
  <c r="I229" i="25"/>
  <c r="J229" i="25" s="1"/>
  <c r="I39" i="25"/>
  <c r="J39" i="25" s="1"/>
  <c r="I27" i="25"/>
  <c r="J27" i="25" s="1"/>
  <c r="K27" i="25" s="1"/>
  <c r="I68" i="25"/>
  <c r="J68" i="25" s="1"/>
  <c r="I87" i="25"/>
  <c r="J87" i="25" s="1"/>
  <c r="K87" i="25" s="1"/>
  <c r="I100" i="25"/>
  <c r="J100" i="25" s="1"/>
  <c r="I112" i="25"/>
  <c r="J112" i="25" s="1"/>
  <c r="I150" i="25"/>
  <c r="J150" i="25" s="1"/>
  <c r="I208" i="25"/>
  <c r="J208" i="25" s="1"/>
  <c r="M208" i="25" s="1"/>
  <c r="Q208" i="25" s="1"/>
  <c r="I249" i="25"/>
  <c r="J249" i="25" s="1"/>
  <c r="M249" i="25" s="1"/>
  <c r="Q249" i="25" s="1"/>
  <c r="I262" i="25"/>
  <c r="J262" i="25" s="1"/>
  <c r="K262" i="25" s="1"/>
  <c r="I274" i="25"/>
  <c r="J274" i="25" s="1"/>
  <c r="I305" i="25"/>
  <c r="J305" i="25" s="1"/>
  <c r="M305" i="25" s="1"/>
  <c r="Q305" i="25" s="1"/>
  <c r="I187" i="25"/>
  <c r="J187" i="25" s="1"/>
  <c r="I204" i="25"/>
  <c r="J204" i="25" s="1"/>
  <c r="K204" i="25" s="1"/>
  <c r="I243" i="25"/>
  <c r="J243" i="25" s="1"/>
  <c r="I26" i="25"/>
  <c r="J26" i="25" s="1"/>
  <c r="K26" i="25" s="1"/>
  <c r="I56" i="25"/>
  <c r="J56" i="25" s="1"/>
  <c r="I70" i="25"/>
  <c r="J70" i="25" s="1"/>
  <c r="I88" i="25"/>
  <c r="J88" i="25" s="1"/>
  <c r="I101" i="25"/>
  <c r="J101" i="25" s="1"/>
  <c r="M101" i="25" s="1"/>
  <c r="Q101" i="25" s="1"/>
  <c r="I113" i="25"/>
  <c r="J113" i="25" s="1"/>
  <c r="I139" i="25"/>
  <c r="J139" i="25" s="1"/>
  <c r="K139" i="25" s="1"/>
  <c r="I151" i="25"/>
  <c r="J151" i="25" s="1"/>
  <c r="M151" i="25" s="1"/>
  <c r="Q151" i="25" s="1"/>
  <c r="I209" i="25"/>
  <c r="J209" i="25" s="1"/>
  <c r="I263" i="25"/>
  <c r="J263" i="25" s="1"/>
  <c r="I293" i="25"/>
  <c r="J293" i="25" s="1"/>
  <c r="M293" i="25" s="1"/>
  <c r="Q293" i="25" s="1"/>
  <c r="I306" i="25"/>
  <c r="J306" i="25" s="1"/>
  <c r="M306" i="25" s="1"/>
  <c r="Q306" i="25" s="1"/>
  <c r="I190" i="25"/>
  <c r="J190" i="25" s="1"/>
  <c r="K190" i="25" s="1"/>
  <c r="I210" i="25"/>
  <c r="J210" i="25" s="1"/>
  <c r="I227" i="25"/>
  <c r="J227" i="25" s="1"/>
  <c r="I282" i="25"/>
  <c r="J282" i="25" s="1"/>
  <c r="M282" i="25" s="1"/>
  <c r="Q282" i="25" s="1"/>
  <c r="I51" i="25"/>
  <c r="J51" i="25" s="1"/>
  <c r="K51" i="25" s="1"/>
  <c r="I135" i="25"/>
  <c r="J135" i="25" s="1"/>
  <c r="I206" i="25"/>
  <c r="J206" i="25" s="1"/>
  <c r="K206" i="25" s="1"/>
  <c r="I260" i="25"/>
  <c r="J260" i="25" s="1"/>
  <c r="I315" i="25"/>
  <c r="J315" i="25" s="1"/>
  <c r="I198" i="25"/>
  <c r="J198" i="25" s="1"/>
  <c r="I230" i="25"/>
  <c r="J230" i="25" s="1"/>
  <c r="K230" i="25" s="1"/>
  <c r="I28" i="25"/>
  <c r="J28" i="25" s="1"/>
  <c r="I86" i="25"/>
  <c r="J86" i="25" s="1"/>
  <c r="K86" i="25" s="1"/>
  <c r="I111" i="25"/>
  <c r="J111" i="25" s="1"/>
  <c r="I149" i="25"/>
  <c r="J149" i="25" s="1"/>
  <c r="I248" i="25"/>
  <c r="J248" i="25" s="1"/>
  <c r="I273" i="25"/>
  <c r="J273" i="25" s="1"/>
  <c r="K273" i="25" s="1"/>
  <c r="I174" i="25"/>
  <c r="J174" i="25" s="1"/>
  <c r="M174" i="25" s="1"/>
  <c r="Q174" i="25" s="1"/>
  <c r="I220" i="25"/>
  <c r="J220" i="25" s="1"/>
  <c r="I37" i="25"/>
  <c r="J37" i="25" s="1"/>
  <c r="I12" i="25"/>
  <c r="J12" i="25" s="1"/>
  <c r="I57" i="25"/>
  <c r="J57" i="25" s="1"/>
  <c r="I89" i="25"/>
  <c r="J89" i="25" s="1"/>
  <c r="K89" i="25" s="1"/>
  <c r="I114" i="25"/>
  <c r="J114" i="25" s="1"/>
  <c r="I152" i="25"/>
  <c r="J152" i="25" s="1"/>
  <c r="K152" i="25" s="1"/>
  <c r="I264" i="25"/>
  <c r="J264" i="25" s="1"/>
  <c r="I294" i="25"/>
  <c r="J294" i="25" s="1"/>
  <c r="M294" i="25" s="1"/>
  <c r="Q294" i="25" s="1"/>
  <c r="J58" i="25"/>
  <c r="I189" i="25"/>
  <c r="J189" i="25" s="1"/>
  <c r="K189" i="25" s="1"/>
  <c r="I216" i="25"/>
  <c r="J216" i="25" s="1"/>
  <c r="I36" i="25"/>
  <c r="J36" i="25" s="1"/>
  <c r="M36" i="25" s="1"/>
  <c r="Q36" i="25" s="1"/>
  <c r="I11" i="25"/>
  <c r="J11" i="25" s="1"/>
  <c r="I72" i="25"/>
  <c r="J72" i="25" s="1"/>
  <c r="M72" i="25" s="1"/>
  <c r="Q72" i="25" s="1"/>
  <c r="I103" i="25"/>
  <c r="J103" i="25" s="1"/>
  <c r="I141" i="25"/>
  <c r="J141" i="25" s="1"/>
  <c r="I223" i="25"/>
  <c r="J223" i="25" s="1"/>
  <c r="I265" i="25"/>
  <c r="J265" i="25" s="1"/>
  <c r="K265" i="25" s="1"/>
  <c r="I188" i="25"/>
  <c r="J188" i="25" s="1"/>
  <c r="M188" i="25" s="1"/>
  <c r="Q188" i="25" s="1"/>
  <c r="I225" i="25"/>
  <c r="J225" i="25" s="1"/>
  <c r="I35" i="25"/>
  <c r="J35" i="25" s="1"/>
  <c r="I23" i="25"/>
  <c r="J23" i="25" s="1"/>
  <c r="K23" i="25" s="1"/>
  <c r="I10" i="25"/>
  <c r="J10" i="25" s="1"/>
  <c r="I73" i="25"/>
  <c r="J73" i="25" s="1"/>
  <c r="I104" i="25"/>
  <c r="J104" i="25" s="1"/>
  <c r="M104" i="25" s="1"/>
  <c r="Q104" i="25" s="1"/>
  <c r="I142" i="25"/>
  <c r="J142" i="25" s="1"/>
  <c r="M142" i="25" s="1"/>
  <c r="Q142" i="25" s="1"/>
  <c r="I154" i="25"/>
  <c r="J154" i="25" s="1"/>
  <c r="I224" i="25"/>
  <c r="J224" i="25" s="1"/>
  <c r="M224" i="25" s="1"/>
  <c r="Q224" i="25" s="1"/>
  <c r="I266" i="25"/>
  <c r="J266" i="25" s="1"/>
  <c r="I284" i="25"/>
  <c r="J284" i="25" s="1"/>
  <c r="M284" i="25" s="1"/>
  <c r="Q284" i="25" s="1"/>
  <c r="I309" i="25"/>
  <c r="J309" i="25" s="1"/>
  <c r="M309" i="25" s="1"/>
  <c r="Q309" i="25" s="1"/>
  <c r="I84" i="25"/>
  <c r="J84" i="25" s="1"/>
  <c r="I181" i="25"/>
  <c r="J181" i="25" s="1"/>
  <c r="I191" i="25"/>
  <c r="J191" i="25" s="1"/>
  <c r="K191" i="25" s="1"/>
  <c r="I228" i="25"/>
  <c r="J228" i="25" s="1"/>
  <c r="I29" i="25"/>
  <c r="J29" i="25" s="1"/>
  <c r="K29" i="25" s="1"/>
  <c r="I85" i="25"/>
  <c r="J85" i="25" s="1"/>
  <c r="I110" i="25"/>
  <c r="J110" i="25" s="1"/>
  <c r="I148" i="25"/>
  <c r="J148" i="25" s="1"/>
  <c r="I247" i="25"/>
  <c r="J247" i="25" s="1"/>
  <c r="K247" i="25" s="1"/>
  <c r="I272" i="25"/>
  <c r="J272" i="25" s="1"/>
  <c r="I303" i="25"/>
  <c r="J303" i="25" s="1"/>
  <c r="M303" i="25" s="1"/>
  <c r="Q303" i="25" s="1"/>
  <c r="I185" i="25"/>
  <c r="J185" i="25" s="1"/>
  <c r="M185" i="25" s="1"/>
  <c r="Q185" i="25" s="1"/>
  <c r="I221" i="25"/>
  <c r="J221" i="25" s="1"/>
  <c r="I67" i="25"/>
  <c r="J67" i="25" s="1"/>
  <c r="I207" i="25"/>
  <c r="J207" i="25" s="1"/>
  <c r="K207" i="25" s="1"/>
  <c r="I197" i="25"/>
  <c r="J197" i="25" s="1"/>
  <c r="K197" i="25" s="1"/>
  <c r="I25" i="25"/>
  <c r="J25" i="25" s="1"/>
  <c r="I71" i="25"/>
  <c r="J71" i="25" s="1"/>
  <c r="M71" i="25" s="1"/>
  <c r="Q71" i="25" s="1"/>
  <c r="I102" i="25"/>
  <c r="J102" i="25" s="1"/>
  <c r="I140" i="25"/>
  <c r="J140" i="25" s="1"/>
  <c r="I276" i="25"/>
  <c r="J276" i="25" s="1"/>
  <c r="M276" i="25" s="1"/>
  <c r="Q276" i="25" s="1"/>
  <c r="I307" i="25"/>
  <c r="J307" i="25" s="1"/>
  <c r="K307" i="25" s="1"/>
  <c r="J175" i="25"/>
  <c r="K175" i="25" s="1"/>
  <c r="I226" i="25"/>
  <c r="J226" i="25" s="1"/>
  <c r="I24" i="25"/>
  <c r="J24" i="25" s="1"/>
  <c r="I90" i="25"/>
  <c r="J90" i="25" s="1"/>
  <c r="I115" i="25"/>
  <c r="J115" i="25" s="1"/>
  <c r="K115" i="25" s="1"/>
  <c r="I153" i="25"/>
  <c r="J153" i="25" s="1"/>
  <c r="I283" i="25"/>
  <c r="J283" i="25" s="1"/>
  <c r="I308" i="25"/>
  <c r="J308" i="25" s="1"/>
  <c r="M308" i="25" s="1"/>
  <c r="Q308" i="25" s="1"/>
  <c r="I178" i="25"/>
  <c r="J178" i="25" s="1"/>
  <c r="K178" i="25" s="1"/>
  <c r="I215" i="25"/>
  <c r="J215" i="25" s="1"/>
  <c r="I34" i="25"/>
  <c r="J34" i="25" s="1"/>
  <c r="K34" i="25" s="1"/>
  <c r="I22" i="25"/>
  <c r="J22" i="25" s="1"/>
  <c r="M22" i="25" s="1"/>
  <c r="Q22" i="25" s="1"/>
  <c r="I9" i="25"/>
  <c r="J9" i="25" s="1"/>
  <c r="K9" i="25" s="1"/>
  <c r="I61" i="25"/>
  <c r="J61" i="25" s="1"/>
  <c r="M61" i="25" s="1"/>
  <c r="Q61" i="25" s="1"/>
  <c r="I74" i="25"/>
  <c r="J74" i="25" s="1"/>
  <c r="I105" i="25"/>
  <c r="J105" i="25" s="1"/>
  <c r="I117" i="25"/>
  <c r="J117" i="25" s="1"/>
  <c r="K117" i="25" s="1"/>
  <c r="I143" i="25"/>
  <c r="J143" i="25" s="1"/>
  <c r="I254" i="25"/>
  <c r="J254" i="25" s="1"/>
  <c r="M254" i="25" s="1"/>
  <c r="Q254" i="25" s="1"/>
  <c r="I267" i="25"/>
  <c r="J267" i="25" s="1"/>
  <c r="I285" i="25"/>
  <c r="J285" i="25" s="1"/>
  <c r="M285" i="25" s="1"/>
  <c r="Q285" i="25" s="1"/>
  <c r="I298" i="25"/>
  <c r="J298" i="25" s="1"/>
  <c r="M298" i="25" s="1"/>
  <c r="Q298" i="25" s="1"/>
  <c r="I310" i="25"/>
  <c r="J310" i="25" s="1"/>
  <c r="M310" i="25" s="1"/>
  <c r="Q310" i="25" s="1"/>
  <c r="I97" i="25"/>
  <c r="J97" i="25" s="1"/>
  <c r="I235" i="25"/>
  <c r="J235" i="25" s="1"/>
  <c r="K235" i="25" s="1"/>
  <c r="I66" i="25"/>
  <c r="J66" i="25" s="1"/>
  <c r="K66" i="25" s="1"/>
  <c r="I33" i="25"/>
  <c r="J33" i="25" s="1"/>
  <c r="I8" i="25"/>
  <c r="J8" i="25" s="1"/>
  <c r="I62" i="25"/>
  <c r="J62" i="25" s="1"/>
  <c r="K62" i="25" s="1"/>
  <c r="I75" i="25"/>
  <c r="J75" i="25" s="1"/>
  <c r="K75" i="25" s="1"/>
  <c r="I106" i="25"/>
  <c r="J106" i="25" s="1"/>
  <c r="K106" i="25" s="1"/>
  <c r="I127" i="25"/>
  <c r="J127" i="25" s="1"/>
  <c r="M127" i="25" s="1"/>
  <c r="Q127" i="25" s="1"/>
  <c r="I144" i="25"/>
  <c r="J144" i="25" s="1"/>
  <c r="K144" i="25" s="1"/>
  <c r="I156" i="25"/>
  <c r="J156" i="25" s="1"/>
  <c r="I237" i="25"/>
  <c r="J237" i="25" s="1"/>
  <c r="K237" i="25" s="1"/>
  <c r="I255" i="25"/>
  <c r="J255" i="25" s="1"/>
  <c r="K255" i="25" s="1"/>
  <c r="I268" i="25"/>
  <c r="J268" i="25" s="1"/>
  <c r="K268" i="25" s="1"/>
  <c r="I286" i="25"/>
  <c r="J286" i="25" s="1"/>
  <c r="I299" i="25"/>
  <c r="J299" i="25" s="1"/>
  <c r="M299" i="25" s="1"/>
  <c r="Q299" i="25" s="1"/>
  <c r="I311" i="25"/>
  <c r="J311" i="25" s="1"/>
  <c r="M311" i="25" s="1"/>
  <c r="Q311" i="25" s="1"/>
  <c r="I193" i="25"/>
  <c r="J193" i="25" s="1"/>
  <c r="K193" i="25" s="1"/>
  <c r="I234" i="25"/>
  <c r="J234" i="25" s="1"/>
  <c r="I32" i="25"/>
  <c r="J32" i="25" s="1"/>
  <c r="M32" i="25" s="1"/>
  <c r="Q32" i="25" s="1"/>
  <c r="I48" i="25"/>
  <c r="J48" i="25" s="1"/>
  <c r="I63" i="25"/>
  <c r="J63" i="25" s="1"/>
  <c r="K63" i="25" s="1"/>
  <c r="I76" i="25"/>
  <c r="J76" i="25" s="1"/>
  <c r="I107" i="25"/>
  <c r="J107" i="25" s="1"/>
  <c r="K107" i="25" s="1"/>
  <c r="I128" i="25"/>
  <c r="J128" i="25" s="1"/>
  <c r="I145" i="25"/>
  <c r="J145" i="25" s="1"/>
  <c r="K145" i="25" s="1"/>
  <c r="I244" i="25"/>
  <c r="J244" i="25" s="1"/>
  <c r="I269" i="25"/>
  <c r="J269" i="25" s="1"/>
  <c r="I287" i="25"/>
  <c r="J287" i="25" s="1"/>
  <c r="M287" i="25" s="1"/>
  <c r="Q287" i="25" s="1"/>
  <c r="I300" i="25"/>
  <c r="J300" i="25" s="1"/>
  <c r="M300" i="25" s="1"/>
  <c r="Q300" i="25" s="1"/>
  <c r="I312" i="25"/>
  <c r="J312" i="25" s="1"/>
  <c r="M312" i="25" s="1"/>
  <c r="Q312" i="25" s="1"/>
  <c r="I192" i="25"/>
  <c r="J192" i="25" s="1"/>
  <c r="M192" i="25" s="1"/>
  <c r="Q192" i="25" s="1"/>
  <c r="I233" i="25"/>
  <c r="J233" i="25" s="1"/>
  <c r="I31" i="25"/>
  <c r="J31" i="25" s="1"/>
  <c r="M31" i="25" s="1"/>
  <c r="Q31" i="25" s="1"/>
  <c r="I18" i="25"/>
  <c r="J18" i="25" s="1"/>
  <c r="I49" i="25"/>
  <c r="J49" i="25" s="1"/>
  <c r="K49" i="25" s="1"/>
  <c r="I64" i="25"/>
  <c r="J64" i="25" s="1"/>
  <c r="K64" i="25" s="1"/>
  <c r="I95" i="25"/>
  <c r="J95" i="25" s="1"/>
  <c r="K95" i="25" s="1"/>
  <c r="I108" i="25"/>
  <c r="J108" i="25" s="1"/>
  <c r="I129" i="25"/>
  <c r="J129" i="25" s="1"/>
  <c r="I146" i="25"/>
  <c r="J146" i="25" s="1"/>
  <c r="I245" i="25"/>
  <c r="J245" i="25" s="1"/>
  <c r="K245" i="25" s="1"/>
  <c r="I270" i="25"/>
  <c r="J270" i="25" s="1"/>
  <c r="I288" i="25"/>
  <c r="J288" i="25" s="1"/>
  <c r="M288" i="25" s="1"/>
  <c r="Q288" i="25" s="1"/>
  <c r="I301" i="25"/>
  <c r="J301" i="25" s="1"/>
  <c r="M301" i="25" s="1"/>
  <c r="Q301" i="25" s="1"/>
  <c r="I313" i="25"/>
  <c r="J313" i="25" s="1"/>
  <c r="M313" i="25" s="1"/>
  <c r="Q313" i="25" s="1"/>
  <c r="I184" i="25"/>
  <c r="J184" i="25" s="1"/>
  <c r="I195" i="25"/>
  <c r="J195" i="25" s="1"/>
  <c r="K195" i="25" s="1"/>
  <c r="J217" i="25"/>
  <c r="I232" i="25"/>
  <c r="J232" i="25" s="1"/>
  <c r="M232" i="25" s="1"/>
  <c r="Q232" i="25" s="1"/>
  <c r="I30" i="25"/>
  <c r="J30" i="25" s="1"/>
  <c r="K30" i="25" s="1"/>
  <c r="I17" i="25"/>
  <c r="J17" i="25" s="1"/>
  <c r="I50" i="25"/>
  <c r="J50" i="25" s="1"/>
  <c r="I65" i="25"/>
  <c r="J65" i="25" s="1"/>
  <c r="K65" i="25" s="1"/>
  <c r="I78" i="25"/>
  <c r="J78" i="25" s="1"/>
  <c r="M78" i="25" s="1"/>
  <c r="Q78" i="25" s="1"/>
  <c r="I96" i="25"/>
  <c r="J96" i="25" s="1"/>
  <c r="I109" i="25"/>
  <c r="J109" i="25" s="1"/>
  <c r="K109" i="25" s="1"/>
  <c r="I134" i="25"/>
  <c r="J134" i="25" s="1"/>
  <c r="M134" i="25" s="1"/>
  <c r="Q134" i="25" s="1"/>
  <c r="I147" i="25"/>
  <c r="J147" i="25" s="1"/>
  <c r="I205" i="25"/>
  <c r="J205" i="25" s="1"/>
  <c r="K205" i="25" s="1"/>
  <c r="I246" i="25"/>
  <c r="J246" i="25" s="1"/>
  <c r="I259" i="25"/>
  <c r="J259" i="25" s="1"/>
  <c r="K259" i="25" s="1"/>
  <c r="I271" i="25"/>
  <c r="J271" i="25" s="1"/>
  <c r="I302" i="25"/>
  <c r="J302" i="25" s="1"/>
  <c r="I183" i="25"/>
  <c r="J183" i="25" s="1"/>
  <c r="I196" i="25"/>
  <c r="J196" i="25" s="1"/>
  <c r="M196" i="25" s="1"/>
  <c r="Q196" i="25" s="1"/>
  <c r="I222" i="25"/>
  <c r="J222" i="25" s="1"/>
  <c r="K222" i="25" s="1"/>
  <c r="I231" i="25"/>
  <c r="J231" i="25" s="1"/>
  <c r="K231" i="25" s="1"/>
  <c r="O252" i="28"/>
  <c r="O253" i="28" s="1"/>
  <c r="I110" i="27"/>
  <c r="J110" i="27" s="1"/>
  <c r="I308" i="27"/>
  <c r="J308" i="27" s="1"/>
  <c r="O6" i="25"/>
  <c r="P5" i="25"/>
  <c r="O295" i="28"/>
  <c r="P294" i="28"/>
  <c r="O214" i="28"/>
  <c r="P213" i="28"/>
  <c r="O174" i="28"/>
  <c r="P173" i="28"/>
  <c r="O133" i="28"/>
  <c r="P132" i="28"/>
  <c r="P90" i="28"/>
  <c r="O91" i="28"/>
  <c r="P48" i="28"/>
  <c r="O49" i="28"/>
  <c r="O7" i="28"/>
  <c r="P6" i="28"/>
  <c r="O289" i="26"/>
  <c r="P288" i="26"/>
  <c r="O247" i="26"/>
  <c r="P246" i="26"/>
  <c r="O208" i="26"/>
  <c r="P207" i="26"/>
  <c r="O169" i="26"/>
  <c r="P168" i="26"/>
  <c r="O126" i="26"/>
  <c r="P125" i="26"/>
  <c r="O87" i="26"/>
  <c r="P86" i="26"/>
  <c r="O46" i="26"/>
  <c r="P45" i="26"/>
  <c r="O7" i="26"/>
  <c r="P6" i="26"/>
  <c r="O280" i="24"/>
  <c r="P279" i="24"/>
  <c r="O241" i="24"/>
  <c r="P240" i="24"/>
  <c r="O202" i="24"/>
  <c r="P201" i="24"/>
  <c r="O163" i="24"/>
  <c r="P162" i="24"/>
  <c r="O123" i="24"/>
  <c r="P122" i="24"/>
  <c r="P84" i="24"/>
  <c r="O85" i="24"/>
  <c r="O46" i="24"/>
  <c r="P45" i="24"/>
  <c r="O7" i="24"/>
  <c r="P7" i="24" s="1"/>
  <c r="O283" i="27"/>
  <c r="P282" i="27"/>
  <c r="O243" i="27"/>
  <c r="P242" i="27"/>
  <c r="O205" i="27"/>
  <c r="P204" i="27"/>
  <c r="O166" i="27"/>
  <c r="P165" i="27"/>
  <c r="O127" i="27"/>
  <c r="P126" i="27"/>
  <c r="P83" i="27"/>
  <c r="O84" i="27"/>
  <c r="O46" i="27"/>
  <c r="P45" i="27"/>
  <c r="O7" i="27"/>
  <c r="P6" i="27"/>
  <c r="O283" i="25"/>
  <c r="P282" i="25"/>
  <c r="O244" i="25"/>
  <c r="P243" i="25"/>
  <c r="O205" i="25"/>
  <c r="P204" i="25"/>
  <c r="O163" i="25"/>
  <c r="P162" i="25"/>
  <c r="O124" i="25"/>
  <c r="P123" i="25"/>
  <c r="O85" i="25"/>
  <c r="P84" i="25"/>
  <c r="O46" i="25"/>
  <c r="P45" i="25"/>
  <c r="K326" i="28"/>
  <c r="M326" i="28"/>
  <c r="Q326" i="28" s="1"/>
  <c r="K328" i="28"/>
  <c r="M328" i="28"/>
  <c r="Q328" i="28" s="1"/>
  <c r="K329" i="28"/>
  <c r="M329" i="28"/>
  <c r="Q329" i="28" s="1"/>
  <c r="K324" i="28"/>
  <c r="M324" i="28"/>
  <c r="Q324" i="28" s="1"/>
  <c r="K330" i="28"/>
  <c r="M330" i="28"/>
  <c r="Q330" i="28" s="1"/>
  <c r="K327" i="28"/>
  <c r="M327" i="28"/>
  <c r="Q327" i="28" s="1"/>
  <c r="K318" i="28"/>
  <c r="M318" i="28"/>
  <c r="Q318" i="28" s="1"/>
  <c r="K325" i="28"/>
  <c r="M325" i="28"/>
  <c r="Q325" i="28" s="1"/>
  <c r="K319" i="28"/>
  <c r="M319" i="28"/>
  <c r="Q319" i="28" s="1"/>
  <c r="K320" i="28"/>
  <c r="M320" i="28"/>
  <c r="Q320" i="28" s="1"/>
  <c r="K321" i="28"/>
  <c r="M321" i="28"/>
  <c r="Q321" i="28" s="1"/>
  <c r="K322" i="28"/>
  <c r="M322" i="28"/>
  <c r="Q322" i="28" s="1"/>
  <c r="K323" i="28"/>
  <c r="M323" i="28"/>
  <c r="Q323" i="28" s="1"/>
  <c r="K317" i="28"/>
  <c r="M317" i="28"/>
  <c r="Q317" i="28" s="1"/>
  <c r="K317" i="27"/>
  <c r="M317" i="27"/>
  <c r="Q317" i="27" s="1"/>
  <c r="K318" i="27"/>
  <c r="M318" i="27"/>
  <c r="Q318" i="27" s="1"/>
  <c r="K319" i="26"/>
  <c r="M319" i="26"/>
  <c r="Q319" i="26" s="1"/>
  <c r="K320" i="26"/>
  <c r="M320" i="26"/>
  <c r="Q320" i="26" s="1"/>
  <c r="K321" i="26"/>
  <c r="M321" i="26"/>
  <c r="Q321" i="26" s="1"/>
  <c r="K318" i="26"/>
  <c r="M318" i="26"/>
  <c r="Q318" i="26" s="1"/>
  <c r="K317" i="26"/>
  <c r="M317" i="26"/>
  <c r="Q317" i="26" s="1"/>
  <c r="K226" i="24"/>
  <c r="K94" i="24"/>
  <c r="K154" i="24"/>
  <c r="K155" i="24"/>
  <c r="K68" i="24"/>
  <c r="K93" i="24"/>
  <c r="K205" i="24"/>
  <c r="K231" i="24"/>
  <c r="K308" i="24"/>
  <c r="K39" i="24"/>
  <c r="K162" i="24"/>
  <c r="K200" i="24"/>
  <c r="K239" i="24"/>
  <c r="K70" i="24"/>
  <c r="K291" i="24"/>
  <c r="K61" i="24"/>
  <c r="K301" i="24"/>
  <c r="K60" i="24"/>
  <c r="K58" i="24"/>
  <c r="K104" i="24"/>
  <c r="K100" i="24"/>
  <c r="K8" i="24"/>
  <c r="K97" i="24"/>
  <c r="K153" i="24"/>
  <c r="K156" i="24"/>
  <c r="K72" i="28"/>
  <c r="M72" i="28"/>
  <c r="Q72" i="28" s="1"/>
  <c r="K259" i="28"/>
  <c r="M259" i="28"/>
  <c r="Q259" i="28" s="1"/>
  <c r="K6" i="28"/>
  <c r="M6" i="28"/>
  <c r="Q6" i="28" s="1"/>
  <c r="K309" i="28"/>
  <c r="M309" i="28"/>
  <c r="Q309" i="28" s="1"/>
  <c r="K74" i="28"/>
  <c r="M74" i="28"/>
  <c r="Q74" i="28" s="1"/>
  <c r="K124" i="28"/>
  <c r="M124" i="28"/>
  <c r="Q124" i="28" s="1"/>
  <c r="K155" i="28"/>
  <c r="M155" i="28"/>
  <c r="Q155" i="28" s="1"/>
  <c r="K269" i="28"/>
  <c r="M269" i="28"/>
  <c r="Q269" i="28" s="1"/>
  <c r="K9" i="28"/>
  <c r="M9" i="28"/>
  <c r="Q9" i="28" s="1"/>
  <c r="K75" i="28"/>
  <c r="M75" i="28"/>
  <c r="Q75" i="28" s="1"/>
  <c r="K162" i="28"/>
  <c r="M162" i="28"/>
  <c r="Q162" i="28" s="1"/>
  <c r="K279" i="28"/>
  <c r="M279" i="28"/>
  <c r="Q279" i="28" s="1"/>
  <c r="K61" i="28"/>
  <c r="M61" i="28"/>
  <c r="Q61" i="28" s="1"/>
  <c r="K91" i="28"/>
  <c r="M91" i="28"/>
  <c r="Q91" i="28" s="1"/>
  <c r="K62" i="28"/>
  <c r="M62" i="28"/>
  <c r="Q62" i="28" s="1"/>
  <c r="K64" i="28"/>
  <c r="M64" i="28"/>
  <c r="Q64" i="28" s="1"/>
  <c r="K167" i="28"/>
  <c r="M167" i="28"/>
  <c r="Q167" i="28" s="1"/>
  <c r="K149" i="28"/>
  <c r="M149" i="28"/>
  <c r="Q149" i="28" s="1"/>
  <c r="K293" i="28"/>
  <c r="M293" i="28"/>
  <c r="Q293" i="28" s="1"/>
  <c r="K29" i="28"/>
  <c r="M29" i="28"/>
  <c r="Q29" i="28" s="1"/>
  <c r="K90" i="28"/>
  <c r="M90" i="28"/>
  <c r="Q90" i="28" s="1"/>
  <c r="K297" i="28"/>
  <c r="M297" i="28"/>
  <c r="Q297" i="28" s="1"/>
  <c r="K170" i="28"/>
  <c r="M170" i="28"/>
  <c r="K201" i="28"/>
  <c r="M201" i="28"/>
  <c r="Q201" i="28" s="1"/>
  <c r="K229" i="28"/>
  <c r="M229" i="28"/>
  <c r="Q229" i="28" s="1"/>
  <c r="K3" i="28"/>
  <c r="M3" i="28"/>
  <c r="Q3" i="28" s="1"/>
  <c r="R3" i="28" s="1"/>
  <c r="K24" i="28"/>
  <c r="M24" i="28"/>
  <c r="Q24" i="28" s="1"/>
  <c r="K31" i="28"/>
  <c r="M31" i="28"/>
  <c r="Q31" i="28" s="1"/>
  <c r="K59" i="28"/>
  <c r="M59" i="28"/>
  <c r="Q59" i="28" s="1"/>
  <c r="K110" i="28"/>
  <c r="M110" i="28"/>
  <c r="Q110" i="28" s="1"/>
  <c r="K129" i="28"/>
  <c r="M129" i="28"/>
  <c r="Q129" i="28" s="1"/>
  <c r="R129" i="28" s="1"/>
  <c r="K158" i="28"/>
  <c r="M158" i="28"/>
  <c r="Q158" i="28" s="1"/>
  <c r="K261" i="28"/>
  <c r="M261" i="28"/>
  <c r="Q261" i="28" s="1"/>
  <c r="K271" i="28"/>
  <c r="M271" i="28"/>
  <c r="Q271" i="28" s="1"/>
  <c r="K298" i="28"/>
  <c r="M298" i="28"/>
  <c r="Q298" i="28" s="1"/>
  <c r="K171" i="28"/>
  <c r="M171" i="28"/>
  <c r="Q171" i="28" s="1"/>
  <c r="R171" i="28" s="1"/>
  <c r="K202" i="28"/>
  <c r="M202" i="28"/>
  <c r="Q202" i="28" s="1"/>
  <c r="K210" i="28"/>
  <c r="M210" i="28"/>
  <c r="Q210" i="28" s="1"/>
  <c r="R210" i="28" s="1"/>
  <c r="K230" i="28"/>
  <c r="M230" i="28"/>
  <c r="Q230" i="28" s="1"/>
  <c r="K25" i="28"/>
  <c r="M25" i="28"/>
  <c r="Q25" i="28" s="1"/>
  <c r="K30" i="28"/>
  <c r="M30" i="28"/>
  <c r="Q30" i="28" s="1"/>
  <c r="K60" i="28"/>
  <c r="M60" i="28"/>
  <c r="Q60" i="28" s="1"/>
  <c r="K111" i="28"/>
  <c r="M111" i="28"/>
  <c r="Q111" i="28" s="1"/>
  <c r="K130" i="28"/>
  <c r="M130" i="28"/>
  <c r="Q130" i="28" s="1"/>
  <c r="K160" i="28"/>
  <c r="M160" i="28"/>
  <c r="Q160" i="28" s="1"/>
  <c r="K157" i="28"/>
  <c r="M157" i="28"/>
  <c r="Q157" i="28" s="1"/>
  <c r="K262" i="28"/>
  <c r="M262" i="28"/>
  <c r="Q262" i="28" s="1"/>
  <c r="K270" i="28"/>
  <c r="M270" i="28"/>
  <c r="Q270" i="28" s="1"/>
  <c r="K299" i="28"/>
  <c r="M299" i="28"/>
  <c r="Q299" i="28" s="1"/>
  <c r="K172" i="28"/>
  <c r="M172" i="28"/>
  <c r="Q172" i="28" s="1"/>
  <c r="K203" i="28"/>
  <c r="M203" i="28"/>
  <c r="Q203" i="28" s="1"/>
  <c r="K211" i="28"/>
  <c r="M211" i="28"/>
  <c r="Q211" i="28" s="1"/>
  <c r="K231" i="28"/>
  <c r="M231" i="28"/>
  <c r="Q231" i="28" s="1"/>
  <c r="K2" i="28"/>
  <c r="M2" i="28"/>
  <c r="K21" i="28"/>
  <c r="M21" i="28"/>
  <c r="Q21" i="28" s="1"/>
  <c r="K57" i="28"/>
  <c r="M57" i="28"/>
  <c r="Q57" i="28" s="1"/>
  <c r="K109" i="28"/>
  <c r="M109" i="28"/>
  <c r="Q109" i="28" s="1"/>
  <c r="K128" i="28"/>
  <c r="M128" i="28"/>
  <c r="K154" i="28"/>
  <c r="M154" i="28"/>
  <c r="Q154" i="28" s="1"/>
  <c r="K260" i="28"/>
  <c r="M260" i="28"/>
  <c r="Q260" i="28" s="1"/>
  <c r="K273" i="28"/>
  <c r="M273" i="28"/>
  <c r="Q273" i="28" s="1"/>
  <c r="K209" i="28"/>
  <c r="M209" i="28"/>
  <c r="K4" i="28"/>
  <c r="M4" i="28"/>
  <c r="Q4" i="28" s="1"/>
  <c r="K26" i="28"/>
  <c r="M26" i="28"/>
  <c r="Q26" i="28" s="1"/>
  <c r="K35" i="28"/>
  <c r="M35" i="28"/>
  <c r="Q35" i="28" s="1"/>
  <c r="K66" i="28"/>
  <c r="M66" i="28"/>
  <c r="Q66" i="28" s="1"/>
  <c r="K92" i="28"/>
  <c r="M92" i="28"/>
  <c r="Q92" i="28" s="1"/>
  <c r="K112" i="28"/>
  <c r="M112" i="28"/>
  <c r="Q112" i="28" s="1"/>
  <c r="K131" i="28"/>
  <c r="M131" i="28"/>
  <c r="Q131" i="28" s="1"/>
  <c r="K156" i="28"/>
  <c r="M156" i="28"/>
  <c r="Q156" i="28" s="1"/>
  <c r="K263" i="28"/>
  <c r="M263" i="28"/>
  <c r="Q263" i="28" s="1"/>
  <c r="K300" i="28"/>
  <c r="M300" i="28"/>
  <c r="Q300" i="28" s="1"/>
  <c r="K173" i="28"/>
  <c r="M173" i="28"/>
  <c r="Q173" i="28" s="1"/>
  <c r="K204" i="28"/>
  <c r="M204" i="28"/>
  <c r="Q204" i="28" s="1"/>
  <c r="K212" i="28"/>
  <c r="M212" i="28"/>
  <c r="Q212" i="28" s="1"/>
  <c r="K232" i="28"/>
  <c r="M232" i="28"/>
  <c r="Q232" i="28" s="1"/>
  <c r="K5" i="28"/>
  <c r="M5" i="28"/>
  <c r="Q5" i="28" s="1"/>
  <c r="K27" i="28"/>
  <c r="M27" i="28"/>
  <c r="Q27" i="28" s="1"/>
  <c r="K36" i="28"/>
  <c r="M36" i="28"/>
  <c r="Q36" i="28" s="1"/>
  <c r="K65" i="28"/>
  <c r="M65" i="28"/>
  <c r="Q65" i="28" s="1"/>
  <c r="K93" i="28"/>
  <c r="M93" i="28"/>
  <c r="Q93" i="28" s="1"/>
  <c r="K113" i="28"/>
  <c r="M113" i="28"/>
  <c r="Q113" i="28" s="1"/>
  <c r="K132" i="28"/>
  <c r="M132" i="28"/>
  <c r="Q132" i="28" s="1"/>
  <c r="K163" i="28"/>
  <c r="M163" i="28"/>
  <c r="Q163" i="28" s="1"/>
  <c r="K159" i="28"/>
  <c r="M159" i="28"/>
  <c r="Q159" i="28" s="1"/>
  <c r="K264" i="28"/>
  <c r="M264" i="28"/>
  <c r="Q264" i="28" s="1"/>
  <c r="K268" i="28"/>
  <c r="M268" i="28"/>
  <c r="Q268" i="28" s="1"/>
  <c r="K301" i="28"/>
  <c r="M301" i="28"/>
  <c r="Q301" i="28" s="1"/>
  <c r="K174" i="28"/>
  <c r="M174" i="28"/>
  <c r="Q174" i="28" s="1"/>
  <c r="K205" i="28"/>
  <c r="M205" i="28"/>
  <c r="Q205" i="28" s="1"/>
  <c r="K213" i="28"/>
  <c r="M213" i="28"/>
  <c r="Q213" i="28" s="1"/>
  <c r="K233" i="28"/>
  <c r="M233" i="28"/>
  <c r="Q233" i="28" s="1"/>
  <c r="K275" i="28"/>
  <c r="M275" i="28"/>
  <c r="Q275" i="28" s="1"/>
  <c r="K32" i="28"/>
  <c r="M32" i="28"/>
  <c r="Q32" i="28" s="1"/>
  <c r="K33" i="28"/>
  <c r="M33" i="28"/>
  <c r="Q33" i="28" s="1"/>
  <c r="K68" i="28"/>
  <c r="M68" i="28"/>
  <c r="Q68" i="28" s="1"/>
  <c r="K95" i="28"/>
  <c r="M95" i="28"/>
  <c r="Q95" i="28" s="1"/>
  <c r="K115" i="28"/>
  <c r="M115" i="28"/>
  <c r="Q115" i="28" s="1"/>
  <c r="K134" i="28"/>
  <c r="M134" i="28"/>
  <c r="Q134" i="28" s="1"/>
  <c r="K165" i="28"/>
  <c r="M165" i="28"/>
  <c r="Q165" i="28" s="1"/>
  <c r="K161" i="28"/>
  <c r="M161" i="28"/>
  <c r="Q161" i="28" s="1"/>
  <c r="K266" i="28"/>
  <c r="M266" i="28"/>
  <c r="Q266" i="28" s="1"/>
  <c r="K276" i="28"/>
  <c r="M276" i="28"/>
  <c r="Q276" i="28" s="1"/>
  <c r="K307" i="28"/>
  <c r="M307" i="28"/>
  <c r="Q307" i="28" s="1"/>
  <c r="K308" i="28"/>
  <c r="M308" i="28"/>
  <c r="Q308" i="28" s="1"/>
  <c r="K176" i="28"/>
  <c r="M176" i="28"/>
  <c r="Q176" i="28" s="1"/>
  <c r="K207" i="28"/>
  <c r="M207" i="28"/>
  <c r="Q207" i="28" s="1"/>
  <c r="K215" i="28"/>
  <c r="M215" i="28"/>
  <c r="Q215" i="28" s="1"/>
  <c r="K235" i="28"/>
  <c r="M235" i="28"/>
  <c r="Q235" i="28" s="1"/>
  <c r="K7" i="28"/>
  <c r="M7" i="28"/>
  <c r="Q7" i="28" s="1"/>
  <c r="K37" i="28"/>
  <c r="M37" i="28"/>
  <c r="Q37" i="28" s="1"/>
  <c r="K44" i="28"/>
  <c r="M44" i="28"/>
  <c r="K67" i="28"/>
  <c r="M67" i="28"/>
  <c r="Q67" i="28" s="1"/>
  <c r="K96" i="28"/>
  <c r="M96" i="28"/>
  <c r="Q96" i="28" s="1"/>
  <c r="K116" i="28"/>
  <c r="M116" i="28"/>
  <c r="Q116" i="28" s="1"/>
  <c r="K135" i="28"/>
  <c r="M135" i="28"/>
  <c r="Q135" i="28" s="1"/>
  <c r="K166" i="28"/>
  <c r="M166" i="28"/>
  <c r="Q166" i="28" s="1"/>
  <c r="K248" i="28"/>
  <c r="M248" i="28"/>
  <c r="K267" i="28"/>
  <c r="M267" i="28"/>
  <c r="Q267" i="28" s="1"/>
  <c r="K277" i="28"/>
  <c r="M277" i="28"/>
  <c r="Q277" i="28" s="1"/>
  <c r="K177" i="28"/>
  <c r="M177" i="28"/>
  <c r="Q177" i="28" s="1"/>
  <c r="K184" i="28"/>
  <c r="M184" i="28"/>
  <c r="Q184" i="28" s="1"/>
  <c r="K216" i="28"/>
  <c r="M216" i="28"/>
  <c r="Q216" i="28" s="1"/>
  <c r="K236" i="28"/>
  <c r="M236" i="28"/>
  <c r="Q236" i="28" s="1"/>
  <c r="K206" i="28"/>
  <c r="M206" i="28"/>
  <c r="Q206" i="28" s="1"/>
  <c r="K45" i="28"/>
  <c r="M45" i="28"/>
  <c r="Q45" i="28" s="1"/>
  <c r="R45" i="28" s="1"/>
  <c r="K117" i="28"/>
  <c r="M117" i="28"/>
  <c r="Q117" i="28" s="1"/>
  <c r="K310" i="28"/>
  <c r="M310" i="28"/>
  <c r="Q310" i="28" s="1"/>
  <c r="K178" i="28"/>
  <c r="M178" i="28"/>
  <c r="Q178" i="28" s="1"/>
  <c r="K237" i="28"/>
  <c r="M237" i="28"/>
  <c r="Q237" i="28" s="1"/>
  <c r="K265" i="28"/>
  <c r="M265" i="28"/>
  <c r="Q265" i="28" s="1"/>
  <c r="K38" i="28"/>
  <c r="M38" i="28"/>
  <c r="Q38" i="28" s="1"/>
  <c r="K73" i="28"/>
  <c r="M73" i="28"/>
  <c r="Q73" i="28" s="1"/>
  <c r="K97" i="28"/>
  <c r="M97" i="28"/>
  <c r="Q97" i="28" s="1"/>
  <c r="K217" i="28"/>
  <c r="M217" i="28"/>
  <c r="Q217" i="28" s="1"/>
  <c r="K39" i="28"/>
  <c r="M39" i="28"/>
  <c r="Q39" i="28" s="1"/>
  <c r="K46" i="28"/>
  <c r="M46" i="28"/>
  <c r="Q46" i="28" s="1"/>
  <c r="K98" i="28"/>
  <c r="M98" i="28"/>
  <c r="Q98" i="28" s="1"/>
  <c r="K118" i="28"/>
  <c r="M118" i="28"/>
  <c r="Q118" i="28" s="1"/>
  <c r="K137" i="28"/>
  <c r="M137" i="28"/>
  <c r="Q137" i="28" s="1"/>
  <c r="K250" i="28"/>
  <c r="M250" i="28"/>
  <c r="Q250" i="28" s="1"/>
  <c r="K278" i="28"/>
  <c r="M278" i="28"/>
  <c r="Q278" i="28" s="1"/>
  <c r="K281" i="28"/>
  <c r="M281" i="28"/>
  <c r="Q281" i="28" s="1"/>
  <c r="K311" i="28"/>
  <c r="M311" i="28"/>
  <c r="Q311" i="28" s="1"/>
  <c r="K305" i="28"/>
  <c r="M305" i="28"/>
  <c r="Q305" i="28" s="1"/>
  <c r="K179" i="28"/>
  <c r="M179" i="28"/>
  <c r="Q179" i="28" s="1"/>
  <c r="K182" i="28"/>
  <c r="M182" i="28"/>
  <c r="Q182" i="28" s="1"/>
  <c r="K218" i="28"/>
  <c r="M218" i="28"/>
  <c r="Q218" i="28" s="1"/>
  <c r="K238" i="28"/>
  <c r="M238" i="28"/>
  <c r="Q238" i="28" s="1"/>
  <c r="K133" i="28"/>
  <c r="M133" i="28"/>
  <c r="Q133" i="28" s="1"/>
  <c r="K8" i="28"/>
  <c r="M8" i="28"/>
  <c r="Q8" i="28" s="1"/>
  <c r="K71" i="28"/>
  <c r="M71" i="28"/>
  <c r="Q71" i="28" s="1"/>
  <c r="K136" i="28"/>
  <c r="M136" i="28"/>
  <c r="Q136" i="28" s="1"/>
  <c r="K249" i="28"/>
  <c r="M249" i="28"/>
  <c r="Q249" i="28" s="1"/>
  <c r="R249" i="28" s="1"/>
  <c r="K306" i="28"/>
  <c r="M306" i="28"/>
  <c r="Q306" i="28" s="1"/>
  <c r="K40" i="28"/>
  <c r="M40" i="28"/>
  <c r="Q40" i="28" s="1"/>
  <c r="K47" i="28"/>
  <c r="M47" i="28"/>
  <c r="Q47" i="28" s="1"/>
  <c r="K69" i="28"/>
  <c r="M69" i="28"/>
  <c r="Q69" i="28" s="1"/>
  <c r="K99" i="28"/>
  <c r="M99" i="28"/>
  <c r="Q99" i="28" s="1"/>
  <c r="K119" i="28"/>
  <c r="M119" i="28"/>
  <c r="Q119" i="28" s="1"/>
  <c r="K138" i="28"/>
  <c r="M138" i="28"/>
  <c r="Q138" i="28" s="1"/>
  <c r="K168" i="28"/>
  <c r="M168" i="28"/>
  <c r="Q168" i="28" s="1"/>
  <c r="K251" i="28"/>
  <c r="M251" i="28"/>
  <c r="Q251" i="28" s="1"/>
  <c r="K312" i="28"/>
  <c r="M312" i="28"/>
  <c r="Q312" i="28" s="1"/>
  <c r="K304" i="28"/>
  <c r="M304" i="28"/>
  <c r="Q304" i="28" s="1"/>
  <c r="K180" i="28"/>
  <c r="M180" i="28"/>
  <c r="Q180" i="28" s="1"/>
  <c r="K219" i="28"/>
  <c r="M219" i="28"/>
  <c r="Q219" i="28" s="1"/>
  <c r="K239" i="28"/>
  <c r="M239" i="28"/>
  <c r="Q239" i="28" s="1"/>
  <c r="K164" i="28"/>
  <c r="M164" i="28"/>
  <c r="Q164" i="28" s="1"/>
  <c r="K10" i="28"/>
  <c r="M10" i="28"/>
  <c r="Q10" i="28" s="1"/>
  <c r="K48" i="28"/>
  <c r="M48" i="28"/>
  <c r="Q48" i="28" s="1"/>
  <c r="K79" i="28"/>
  <c r="M79" i="28"/>
  <c r="Q79" i="28" s="1"/>
  <c r="K100" i="28"/>
  <c r="M100" i="28"/>
  <c r="Q100" i="28" s="1"/>
  <c r="K120" i="28"/>
  <c r="M120" i="28"/>
  <c r="Q120" i="28" s="1"/>
  <c r="K139" i="28"/>
  <c r="M139" i="28"/>
  <c r="Q139" i="28" s="1"/>
  <c r="K150" i="28"/>
  <c r="M150" i="28"/>
  <c r="Q150" i="28" s="1"/>
  <c r="K252" i="28"/>
  <c r="M252" i="28"/>
  <c r="Q252" i="28" s="1"/>
  <c r="K280" i="28"/>
  <c r="M280" i="28"/>
  <c r="Q280" i="28" s="1"/>
  <c r="K282" i="28"/>
  <c r="M282" i="28"/>
  <c r="Q282" i="28" s="1"/>
  <c r="K314" i="28"/>
  <c r="M314" i="28"/>
  <c r="Q314" i="28" s="1"/>
  <c r="K303" i="28"/>
  <c r="M303" i="28"/>
  <c r="Q303" i="28" s="1"/>
  <c r="K181" i="28"/>
  <c r="M181" i="28"/>
  <c r="Q181" i="28" s="1"/>
  <c r="K190" i="28"/>
  <c r="M190" i="28"/>
  <c r="Q190" i="28" s="1"/>
  <c r="K220" i="28"/>
  <c r="M220" i="28"/>
  <c r="Q220" i="28" s="1"/>
  <c r="K240" i="28"/>
  <c r="M240" i="28"/>
  <c r="Q240" i="28" s="1"/>
  <c r="K302" i="28"/>
  <c r="M302" i="28"/>
  <c r="Q302" i="28" s="1"/>
  <c r="K11" i="28"/>
  <c r="M11" i="28"/>
  <c r="Q11" i="28" s="1"/>
  <c r="K41" i="28"/>
  <c r="M41" i="28"/>
  <c r="Q41" i="28" s="1"/>
  <c r="K49" i="28"/>
  <c r="M49" i="28"/>
  <c r="Q49" i="28" s="1"/>
  <c r="K80" i="28"/>
  <c r="M80" i="28"/>
  <c r="Q80" i="28" s="1"/>
  <c r="K78" i="28"/>
  <c r="M78" i="28"/>
  <c r="Q78" i="28" s="1"/>
  <c r="K101" i="28"/>
  <c r="M101" i="28"/>
  <c r="Q101" i="28" s="1"/>
  <c r="K121" i="28"/>
  <c r="M121" i="28"/>
  <c r="Q121" i="28" s="1"/>
  <c r="K140" i="28"/>
  <c r="M140" i="28"/>
  <c r="Q140" i="28" s="1"/>
  <c r="K253" i="28"/>
  <c r="M253" i="28"/>
  <c r="Q253" i="28" s="1"/>
  <c r="K283" i="28"/>
  <c r="M283" i="28"/>
  <c r="Q283" i="28" s="1"/>
  <c r="K290" i="28"/>
  <c r="M290" i="28"/>
  <c r="K183" i="28"/>
  <c r="M183" i="28"/>
  <c r="Q183" i="28" s="1"/>
  <c r="K189" i="28"/>
  <c r="M189" i="28"/>
  <c r="Q189" i="28" s="1"/>
  <c r="K221" i="28"/>
  <c r="M221" i="28"/>
  <c r="Q221" i="28" s="1"/>
  <c r="K12" i="28"/>
  <c r="M12" i="28"/>
  <c r="Q12" i="28" s="1"/>
  <c r="K42" i="28"/>
  <c r="M42" i="28"/>
  <c r="Q42" i="28" s="1"/>
  <c r="K50" i="28"/>
  <c r="M50" i="28"/>
  <c r="Q50" i="28" s="1"/>
  <c r="K81" i="28"/>
  <c r="M81" i="28"/>
  <c r="Q81" i="28" s="1"/>
  <c r="K77" i="28"/>
  <c r="M77" i="28"/>
  <c r="Q77" i="28" s="1"/>
  <c r="K102" i="28"/>
  <c r="M102" i="28"/>
  <c r="Q102" i="28" s="1"/>
  <c r="K122" i="28"/>
  <c r="M122" i="28"/>
  <c r="Q122" i="28" s="1"/>
  <c r="K141" i="28"/>
  <c r="M141" i="28"/>
  <c r="Q141" i="28" s="1"/>
  <c r="K254" i="28"/>
  <c r="M254" i="28"/>
  <c r="Q254" i="28" s="1"/>
  <c r="K284" i="28"/>
  <c r="M284" i="28"/>
  <c r="Q284" i="28" s="1"/>
  <c r="K291" i="28"/>
  <c r="M291" i="28"/>
  <c r="Q291" i="28" s="1"/>
  <c r="R291" i="28" s="1"/>
  <c r="K315" i="28"/>
  <c r="M315" i="28"/>
  <c r="Q315" i="28" s="1"/>
  <c r="K185" i="28"/>
  <c r="M185" i="28"/>
  <c r="Q185" i="28" s="1"/>
  <c r="K194" i="28"/>
  <c r="M194" i="28"/>
  <c r="Q194" i="28" s="1"/>
  <c r="K222" i="28"/>
  <c r="M222" i="28"/>
  <c r="Q222" i="28" s="1"/>
  <c r="K242" i="28"/>
  <c r="M242" i="28"/>
  <c r="Q242" i="28" s="1"/>
  <c r="K114" i="28"/>
  <c r="M114" i="28"/>
  <c r="Q114" i="28" s="1"/>
  <c r="K241" i="28"/>
  <c r="M241" i="28"/>
  <c r="Q241" i="28" s="1"/>
  <c r="K13" i="28"/>
  <c r="M13" i="28"/>
  <c r="Q13" i="28" s="1"/>
  <c r="K51" i="28"/>
  <c r="M51" i="28"/>
  <c r="Q51" i="28" s="1"/>
  <c r="K82" i="28"/>
  <c r="M82" i="28"/>
  <c r="Q82" i="28" s="1"/>
  <c r="K76" i="28"/>
  <c r="M76" i="28"/>
  <c r="Q76" i="28" s="1"/>
  <c r="K103" i="28"/>
  <c r="M103" i="28"/>
  <c r="Q103" i="28" s="1"/>
  <c r="K123" i="28"/>
  <c r="M123" i="28"/>
  <c r="Q123" i="28" s="1"/>
  <c r="K142" i="28"/>
  <c r="M142" i="28"/>
  <c r="Q142" i="28" s="1"/>
  <c r="K147" i="28"/>
  <c r="M147" i="28"/>
  <c r="Q147" i="28" s="1"/>
  <c r="K255" i="28"/>
  <c r="M255" i="28"/>
  <c r="Q255" i="28" s="1"/>
  <c r="K285" i="28"/>
  <c r="M285" i="28"/>
  <c r="Q285" i="28" s="1"/>
  <c r="K292" i="28"/>
  <c r="M292" i="28"/>
  <c r="Q292" i="28" s="1"/>
  <c r="K186" i="28"/>
  <c r="M186" i="28"/>
  <c r="Q186" i="28" s="1"/>
  <c r="K193" i="28"/>
  <c r="M193" i="28"/>
  <c r="Q193" i="28" s="1"/>
  <c r="K223" i="28"/>
  <c r="M223" i="28"/>
  <c r="Q223" i="28" s="1"/>
  <c r="K243" i="28"/>
  <c r="M243" i="28"/>
  <c r="Q243" i="28" s="1"/>
  <c r="K14" i="28"/>
  <c r="M14" i="28"/>
  <c r="Q14" i="28" s="1"/>
  <c r="K17" i="28"/>
  <c r="M17" i="28"/>
  <c r="Q17" i="28" s="1"/>
  <c r="K52" i="28"/>
  <c r="M52" i="28"/>
  <c r="Q52" i="28" s="1"/>
  <c r="K83" i="28"/>
  <c r="M83" i="28"/>
  <c r="Q83" i="28" s="1"/>
  <c r="K104" i="28"/>
  <c r="M104" i="28"/>
  <c r="Q104" i="28" s="1"/>
  <c r="K143" i="28"/>
  <c r="M143" i="28"/>
  <c r="Q143" i="28" s="1"/>
  <c r="K146" i="28"/>
  <c r="M146" i="28"/>
  <c r="Q146" i="28" s="1"/>
  <c r="K256" i="28"/>
  <c r="M256" i="28"/>
  <c r="Q256" i="28" s="1"/>
  <c r="K286" i="28"/>
  <c r="M286" i="28"/>
  <c r="Q286" i="28" s="1"/>
  <c r="K313" i="28"/>
  <c r="M313" i="28"/>
  <c r="Q313" i="28" s="1"/>
  <c r="K187" i="28"/>
  <c r="M187" i="28"/>
  <c r="Q187" i="28" s="1"/>
  <c r="K192" i="28"/>
  <c r="M192" i="28"/>
  <c r="Q192" i="28" s="1"/>
  <c r="K224" i="28"/>
  <c r="M224" i="28"/>
  <c r="Q224" i="28" s="1"/>
  <c r="K244" i="28"/>
  <c r="M244" i="28"/>
  <c r="Q244" i="28" s="1"/>
  <c r="K234" i="28"/>
  <c r="M234" i="28"/>
  <c r="Q234" i="28" s="1"/>
  <c r="K23" i="28"/>
  <c r="M23" i="28"/>
  <c r="Q23" i="28" s="1"/>
  <c r="K53" i="28"/>
  <c r="M53" i="28"/>
  <c r="Q53" i="28" s="1"/>
  <c r="K84" i="28"/>
  <c r="M84" i="28"/>
  <c r="Q84" i="28" s="1"/>
  <c r="K86" i="28"/>
  <c r="M86" i="28"/>
  <c r="K105" i="28"/>
  <c r="M105" i="28"/>
  <c r="Q105" i="28" s="1"/>
  <c r="K144" i="28"/>
  <c r="M144" i="28"/>
  <c r="Q144" i="28" s="1"/>
  <c r="K151" i="28"/>
  <c r="M151" i="28"/>
  <c r="Q151" i="28" s="1"/>
  <c r="K257" i="28"/>
  <c r="M257" i="28"/>
  <c r="Q257" i="28" s="1"/>
  <c r="K287" i="28"/>
  <c r="M287" i="28"/>
  <c r="Q287" i="28" s="1"/>
  <c r="K195" i="28"/>
  <c r="M195" i="28"/>
  <c r="Q195" i="28" s="1"/>
  <c r="K225" i="28"/>
  <c r="M225" i="28"/>
  <c r="Q225" i="28" s="1"/>
  <c r="K245" i="28"/>
  <c r="M245" i="28"/>
  <c r="Q245" i="28" s="1"/>
  <c r="K28" i="28"/>
  <c r="M28" i="28"/>
  <c r="Q28" i="28" s="1"/>
  <c r="K175" i="28"/>
  <c r="M175" i="28"/>
  <c r="Q175" i="28" s="1"/>
  <c r="K188" i="28"/>
  <c r="M188" i="28"/>
  <c r="Q188" i="28" s="1"/>
  <c r="K16" i="28"/>
  <c r="M16" i="28"/>
  <c r="Q16" i="28" s="1"/>
  <c r="K22" i="28"/>
  <c r="M22" i="28"/>
  <c r="Q22" i="28" s="1"/>
  <c r="K54" i="28"/>
  <c r="M54" i="28"/>
  <c r="Q54" i="28" s="1"/>
  <c r="K87" i="28"/>
  <c r="M87" i="28"/>
  <c r="Q87" i="28" s="1"/>
  <c r="R87" i="28" s="1"/>
  <c r="K106" i="28"/>
  <c r="M106" i="28"/>
  <c r="Q106" i="28" s="1"/>
  <c r="K125" i="28"/>
  <c r="M125" i="28"/>
  <c r="Q125" i="28" s="1"/>
  <c r="K145" i="28"/>
  <c r="M145" i="28"/>
  <c r="Q145" i="28" s="1"/>
  <c r="K152" i="28"/>
  <c r="M152" i="28"/>
  <c r="Q152" i="28" s="1"/>
  <c r="K258" i="28"/>
  <c r="M258" i="28"/>
  <c r="Q258" i="28" s="1"/>
  <c r="K288" i="28"/>
  <c r="M288" i="28"/>
  <c r="Q288" i="28" s="1"/>
  <c r="K294" i="28"/>
  <c r="M294" i="28"/>
  <c r="Q294" i="28" s="1"/>
  <c r="K191" i="28"/>
  <c r="M191" i="28"/>
  <c r="Q191" i="28" s="1"/>
  <c r="K198" i="28"/>
  <c r="M198" i="28"/>
  <c r="Q198" i="28" s="1"/>
  <c r="K226" i="28"/>
  <c r="M226" i="28"/>
  <c r="Q226" i="28" s="1"/>
  <c r="K246" i="28"/>
  <c r="M246" i="28"/>
  <c r="Q246" i="28" s="1"/>
  <c r="K214" i="28"/>
  <c r="M214" i="28"/>
  <c r="Q214" i="28" s="1"/>
  <c r="K15" i="28"/>
  <c r="M15" i="28"/>
  <c r="Q15" i="28" s="1"/>
  <c r="K316" i="28"/>
  <c r="M316" i="28"/>
  <c r="Q316" i="28" s="1"/>
  <c r="K18" i="28"/>
  <c r="M18" i="28"/>
  <c r="Q18" i="28" s="1"/>
  <c r="K20" i="28"/>
  <c r="M20" i="28"/>
  <c r="Q20" i="28" s="1"/>
  <c r="K55" i="28"/>
  <c r="M55" i="28"/>
  <c r="Q55" i="28" s="1"/>
  <c r="K58" i="28"/>
  <c r="M58" i="28"/>
  <c r="Q58" i="28" s="1"/>
  <c r="K88" i="28"/>
  <c r="M88" i="28"/>
  <c r="Q88" i="28" s="1"/>
  <c r="K107" i="28"/>
  <c r="M107" i="28"/>
  <c r="Q107" i="28" s="1"/>
  <c r="K126" i="28"/>
  <c r="M126" i="28"/>
  <c r="Q126" i="28" s="1"/>
  <c r="K148" i="28"/>
  <c r="M148" i="28"/>
  <c r="Q148" i="28" s="1"/>
  <c r="K153" i="28"/>
  <c r="M153" i="28"/>
  <c r="Q153" i="28" s="1"/>
  <c r="K272" i="28"/>
  <c r="M272" i="28"/>
  <c r="Q272" i="28" s="1"/>
  <c r="K295" i="28"/>
  <c r="M295" i="28"/>
  <c r="Q295" i="28" s="1"/>
  <c r="K199" i="28"/>
  <c r="M199" i="28"/>
  <c r="Q199" i="28" s="1"/>
  <c r="K197" i="28"/>
  <c r="M197" i="28"/>
  <c r="Q197" i="28" s="1"/>
  <c r="K227" i="28"/>
  <c r="M227" i="28"/>
  <c r="Q227" i="28" s="1"/>
  <c r="K34" i="28"/>
  <c r="M34" i="28"/>
  <c r="Q34" i="28" s="1"/>
  <c r="K70" i="28"/>
  <c r="M70" i="28"/>
  <c r="Q70" i="28" s="1"/>
  <c r="K94" i="28"/>
  <c r="M94" i="28"/>
  <c r="Q94" i="28" s="1"/>
  <c r="K19" i="28"/>
  <c r="M19" i="28"/>
  <c r="Q19" i="28" s="1"/>
  <c r="K56" i="28"/>
  <c r="M56" i="28"/>
  <c r="Q56" i="28" s="1"/>
  <c r="K63" i="28"/>
  <c r="M63" i="28"/>
  <c r="Q63" i="28" s="1"/>
  <c r="K89" i="28"/>
  <c r="M89" i="28"/>
  <c r="Q89" i="28" s="1"/>
  <c r="K108" i="28"/>
  <c r="M108" i="28"/>
  <c r="Q108" i="28" s="1"/>
  <c r="K274" i="28"/>
  <c r="M274" i="28"/>
  <c r="Q274" i="28" s="1"/>
  <c r="K296" i="28"/>
  <c r="M296" i="28"/>
  <c r="Q296" i="28" s="1"/>
  <c r="K200" i="28"/>
  <c r="M200" i="28"/>
  <c r="Q200" i="28" s="1"/>
  <c r="K196" i="28"/>
  <c r="M196" i="28"/>
  <c r="Q196" i="28" s="1"/>
  <c r="K228" i="28"/>
  <c r="M228" i="28"/>
  <c r="Q228" i="28" s="1"/>
  <c r="M162" i="27"/>
  <c r="Q162" i="27" s="1"/>
  <c r="K162" i="27"/>
  <c r="M243" i="27"/>
  <c r="Q243" i="27" s="1"/>
  <c r="K243" i="27"/>
  <c r="M123" i="27"/>
  <c r="Q123" i="27" s="1"/>
  <c r="K123" i="27"/>
  <c r="K118" i="27"/>
  <c r="K14" i="27"/>
  <c r="M14" i="27"/>
  <c r="Q14" i="27" s="1"/>
  <c r="K3" i="27"/>
  <c r="M3" i="27"/>
  <c r="Q3" i="27" s="1"/>
  <c r="K29" i="27"/>
  <c r="M29" i="27"/>
  <c r="Q29" i="27" s="1"/>
  <c r="K62" i="27"/>
  <c r="M62" i="27"/>
  <c r="Q62" i="27" s="1"/>
  <c r="K141" i="27"/>
  <c r="M141" i="27"/>
  <c r="Q141" i="27" s="1"/>
  <c r="M240" i="27"/>
  <c r="Q240" i="27" s="1"/>
  <c r="K240" i="27"/>
  <c r="K258" i="27"/>
  <c r="M258" i="27"/>
  <c r="Q258" i="27" s="1"/>
  <c r="K287" i="27"/>
  <c r="M287" i="27"/>
  <c r="Q287" i="27" s="1"/>
  <c r="K61" i="27"/>
  <c r="M61" i="27"/>
  <c r="Q61" i="27" s="1"/>
  <c r="K27" i="27"/>
  <c r="M27" i="27"/>
  <c r="Q27" i="27" s="1"/>
  <c r="M289" i="27"/>
  <c r="Q289" i="27" s="1"/>
  <c r="K289" i="27"/>
  <c r="K144" i="27"/>
  <c r="M144" i="27"/>
  <c r="Q144" i="27" s="1"/>
  <c r="K6" i="27"/>
  <c r="M6" i="27"/>
  <c r="Q6" i="27" s="1"/>
  <c r="K108" i="27"/>
  <c r="M108" i="27"/>
  <c r="Q108" i="27" s="1"/>
  <c r="K145" i="27"/>
  <c r="M145" i="27"/>
  <c r="Q145" i="27" s="1"/>
  <c r="K215" i="27"/>
  <c r="M215" i="27"/>
  <c r="Q215" i="27" s="1"/>
  <c r="K261" i="27"/>
  <c r="M261" i="27"/>
  <c r="Q261" i="27" s="1"/>
  <c r="K19" i="27"/>
  <c r="M19" i="27"/>
  <c r="Q19" i="27" s="1"/>
  <c r="K39" i="27"/>
  <c r="M39" i="27"/>
  <c r="Q39" i="27" s="1"/>
  <c r="K109" i="27"/>
  <c r="M109" i="27"/>
  <c r="Q109" i="27" s="1"/>
  <c r="K292" i="27"/>
  <c r="M292" i="27"/>
  <c r="Q292" i="27" s="1"/>
  <c r="M8" i="27"/>
  <c r="Q8" i="27" s="1"/>
  <c r="K8" i="27"/>
  <c r="K38" i="27"/>
  <c r="M38" i="27"/>
  <c r="Q38" i="27" s="1"/>
  <c r="K112" i="27"/>
  <c r="M112" i="27"/>
  <c r="Q112" i="27" s="1"/>
  <c r="K9" i="27"/>
  <c r="M9" i="27"/>
  <c r="Q9" i="27" s="1"/>
  <c r="K111" i="27"/>
  <c r="M111" i="27"/>
  <c r="Q111" i="27" s="1"/>
  <c r="K130" i="27"/>
  <c r="M130" i="27"/>
  <c r="Q130" i="27" s="1"/>
  <c r="K225" i="27"/>
  <c r="M225" i="27"/>
  <c r="Q225" i="27" s="1"/>
  <c r="M165" i="27"/>
  <c r="Q165" i="27" s="1"/>
  <c r="K165" i="27"/>
  <c r="K176" i="27"/>
  <c r="M176" i="27"/>
  <c r="Q176" i="27" s="1"/>
  <c r="M246" i="27"/>
  <c r="Q246" i="27" s="1"/>
  <c r="K246" i="27"/>
  <c r="K132" i="27"/>
  <c r="M132" i="27"/>
  <c r="Q132" i="27" s="1"/>
  <c r="K149" i="27"/>
  <c r="M149" i="27"/>
  <c r="Q149" i="27" s="1"/>
  <c r="M119" i="27"/>
  <c r="Q119" i="27" s="1"/>
  <c r="K119" i="27"/>
  <c r="K254" i="27"/>
  <c r="M254" i="27"/>
  <c r="Q254" i="27" s="1"/>
  <c r="M134" i="27"/>
  <c r="Q134" i="27" s="1"/>
  <c r="K134" i="27"/>
  <c r="K184" i="27"/>
  <c r="M184" i="27"/>
  <c r="Q184" i="27" s="1"/>
  <c r="K221" i="27"/>
  <c r="M221" i="27"/>
  <c r="Q221" i="27" s="1"/>
  <c r="K281" i="27"/>
  <c r="M281" i="27"/>
  <c r="Q281" i="27" s="1"/>
  <c r="K135" i="27"/>
  <c r="M135" i="27"/>
  <c r="Q135" i="27" s="1"/>
  <c r="K195" i="27"/>
  <c r="M195" i="27"/>
  <c r="Q195" i="27" s="1"/>
  <c r="K186" i="27"/>
  <c r="M186" i="27"/>
  <c r="Q186" i="27" s="1"/>
  <c r="K223" i="27"/>
  <c r="M223" i="27"/>
  <c r="Q223" i="27" s="1"/>
  <c r="M168" i="27"/>
  <c r="Q168" i="27" s="1"/>
  <c r="K168" i="27"/>
  <c r="K42" i="27"/>
  <c r="M42" i="27"/>
  <c r="Q42" i="27" s="1"/>
  <c r="K23" i="27"/>
  <c r="M23" i="27"/>
  <c r="Q23" i="27" s="1"/>
  <c r="K95" i="27"/>
  <c r="M95" i="27"/>
  <c r="Q95" i="27" s="1"/>
  <c r="K222" i="27"/>
  <c r="M222" i="27"/>
  <c r="Q222" i="27" s="1"/>
  <c r="M283" i="27"/>
  <c r="Q283" i="27" s="1"/>
  <c r="K283" i="27"/>
  <c r="K137" i="27"/>
  <c r="M137" i="27"/>
  <c r="Q137" i="27" s="1"/>
  <c r="K196" i="27"/>
  <c r="M196" i="27"/>
  <c r="Q196" i="27" s="1"/>
  <c r="K236" i="27"/>
  <c r="M236" i="27"/>
  <c r="Q236" i="27" s="1"/>
  <c r="K250" i="27"/>
  <c r="M250" i="27"/>
  <c r="Q250" i="27" s="1"/>
  <c r="K300" i="27"/>
  <c r="M300" i="27"/>
  <c r="Q300" i="27" s="1"/>
  <c r="K263" i="27"/>
  <c r="M263" i="27"/>
  <c r="Q263" i="27" s="1"/>
  <c r="M280" i="27"/>
  <c r="Q280" i="27" s="1"/>
  <c r="K280" i="27"/>
  <c r="K24" i="27"/>
  <c r="M24" i="27"/>
  <c r="Q24" i="27" s="1"/>
  <c r="M139" i="27"/>
  <c r="Q139" i="27" s="1"/>
  <c r="K139" i="27"/>
  <c r="K220" i="27"/>
  <c r="M220" i="27"/>
  <c r="Q220" i="27" s="1"/>
  <c r="M2" i="27"/>
  <c r="K2" i="27"/>
  <c r="K26" i="27"/>
  <c r="M26" i="27"/>
  <c r="Q26" i="27" s="1"/>
  <c r="K48" i="27"/>
  <c r="M48" i="27"/>
  <c r="Q48" i="27" s="1"/>
  <c r="K76" i="27"/>
  <c r="M76" i="27"/>
  <c r="Q76" i="27" s="1"/>
  <c r="K158" i="27"/>
  <c r="M158" i="27"/>
  <c r="Q158" i="27" s="1"/>
  <c r="K198" i="27"/>
  <c r="M198" i="27"/>
  <c r="Q198" i="27" s="1"/>
  <c r="K239" i="27"/>
  <c r="M239" i="27"/>
  <c r="K268" i="27"/>
  <c r="M268" i="27"/>
  <c r="Q268" i="27" s="1"/>
  <c r="K259" i="27"/>
  <c r="M259" i="27"/>
  <c r="Q259" i="27" s="1"/>
  <c r="M286" i="27"/>
  <c r="Q286" i="27" s="1"/>
  <c r="K286" i="27"/>
  <c r="K34" i="27"/>
  <c r="M34" i="27"/>
  <c r="Q34" i="27" s="1"/>
  <c r="K25" i="27"/>
  <c r="M25" i="27"/>
  <c r="Q25" i="27" s="1"/>
  <c r="K45" i="27"/>
  <c r="M45" i="27"/>
  <c r="Q45" i="27" s="1"/>
  <c r="K73" i="27"/>
  <c r="M73" i="27"/>
  <c r="Q73" i="27" s="1"/>
  <c r="K64" i="27"/>
  <c r="M64" i="27"/>
  <c r="Q64" i="27" s="1"/>
  <c r="K92" i="27"/>
  <c r="M92" i="27"/>
  <c r="Q92" i="27" s="1"/>
  <c r="K102" i="27"/>
  <c r="M102" i="27"/>
  <c r="Q102" i="27" s="1"/>
  <c r="K127" i="27"/>
  <c r="M127" i="27"/>
  <c r="Q127" i="27" s="1"/>
  <c r="K148" i="27"/>
  <c r="M148" i="27"/>
  <c r="Q148" i="27" s="1"/>
  <c r="K178" i="27"/>
  <c r="M178" i="27"/>
  <c r="Q178" i="27" s="1"/>
  <c r="K197" i="27"/>
  <c r="M197" i="27"/>
  <c r="Q197" i="27" s="1"/>
  <c r="K200" i="27"/>
  <c r="M200" i="27"/>
  <c r="K228" i="27"/>
  <c r="M228" i="27"/>
  <c r="Q228" i="27" s="1"/>
  <c r="K212" i="27"/>
  <c r="M212" i="27"/>
  <c r="Q212" i="27" s="1"/>
  <c r="K251" i="27"/>
  <c r="M251" i="27"/>
  <c r="Q251" i="27" s="1"/>
  <c r="K304" i="27"/>
  <c r="M304" i="27"/>
  <c r="Q304" i="27" s="1"/>
  <c r="K154" i="27"/>
  <c r="M154" i="27"/>
  <c r="Q154" i="27" s="1"/>
  <c r="K155" i="27"/>
  <c r="M155" i="27"/>
  <c r="Q155" i="27" s="1"/>
  <c r="K36" i="27"/>
  <c r="M36" i="27"/>
  <c r="Q36" i="27" s="1"/>
  <c r="K74" i="27"/>
  <c r="M74" i="27"/>
  <c r="Q74" i="27" s="1"/>
  <c r="K63" i="27"/>
  <c r="M63" i="27"/>
  <c r="Q63" i="27" s="1"/>
  <c r="K93" i="27"/>
  <c r="M93" i="27"/>
  <c r="Q93" i="27" s="1"/>
  <c r="K101" i="27"/>
  <c r="M101" i="27"/>
  <c r="Q101" i="27" s="1"/>
  <c r="K113" i="27"/>
  <c r="M113" i="27"/>
  <c r="Q113" i="27" s="1"/>
  <c r="K128" i="27"/>
  <c r="M128" i="27"/>
  <c r="Q128" i="27" s="1"/>
  <c r="K163" i="27"/>
  <c r="M163" i="27"/>
  <c r="Q163" i="27" s="1"/>
  <c r="K182" i="27"/>
  <c r="M182" i="27"/>
  <c r="Q182" i="27" s="1"/>
  <c r="K201" i="27"/>
  <c r="M201" i="27"/>
  <c r="Q201" i="27" s="1"/>
  <c r="K229" i="27"/>
  <c r="M229" i="27"/>
  <c r="Q229" i="27" s="1"/>
  <c r="K211" i="27"/>
  <c r="M211" i="27"/>
  <c r="Q211" i="27" s="1"/>
  <c r="K307" i="27"/>
  <c r="M307" i="27"/>
  <c r="Q307" i="27" s="1"/>
  <c r="K131" i="27"/>
  <c r="M131" i="27"/>
  <c r="Q131" i="27" s="1"/>
  <c r="K18" i="27"/>
  <c r="M18" i="27"/>
  <c r="Q18" i="27" s="1"/>
  <c r="K46" i="27"/>
  <c r="M46" i="27"/>
  <c r="Q46" i="27" s="1"/>
  <c r="K10" i="27"/>
  <c r="M10" i="27"/>
  <c r="Q10" i="27" s="1"/>
  <c r="K37" i="27"/>
  <c r="M37" i="27"/>
  <c r="Q37" i="27" s="1"/>
  <c r="K47" i="27"/>
  <c r="M47" i="27"/>
  <c r="Q47" i="27" s="1"/>
  <c r="K75" i="27"/>
  <c r="M75" i="27"/>
  <c r="Q75" i="27" s="1"/>
  <c r="K67" i="27"/>
  <c r="M67" i="27"/>
  <c r="Q67" i="27" s="1"/>
  <c r="K94" i="27"/>
  <c r="M94" i="27"/>
  <c r="Q94" i="27" s="1"/>
  <c r="K138" i="27"/>
  <c r="M138" i="27"/>
  <c r="Q138" i="27" s="1"/>
  <c r="K164" i="27"/>
  <c r="M164" i="27"/>
  <c r="Q164" i="27" s="1"/>
  <c r="K183" i="27"/>
  <c r="M183" i="27"/>
  <c r="Q183" i="27" s="1"/>
  <c r="K202" i="27"/>
  <c r="M202" i="27"/>
  <c r="Q202" i="27" s="1"/>
  <c r="K230" i="27"/>
  <c r="M230" i="27"/>
  <c r="Q230" i="27" s="1"/>
  <c r="K244" i="27"/>
  <c r="K267" i="27"/>
  <c r="M267" i="27"/>
  <c r="Q267" i="27" s="1"/>
  <c r="K282" i="27"/>
  <c r="M282" i="27"/>
  <c r="Q282" i="27" s="1"/>
  <c r="K65" i="27"/>
  <c r="M65" i="27"/>
  <c r="Q65" i="27" s="1"/>
  <c r="K180" i="27"/>
  <c r="M180" i="27"/>
  <c r="Q180" i="27" s="1"/>
  <c r="K11" i="27"/>
  <c r="M11" i="27"/>
  <c r="Q11" i="27" s="1"/>
  <c r="K66" i="27"/>
  <c r="M66" i="27"/>
  <c r="Q66" i="27" s="1"/>
  <c r="K150" i="27"/>
  <c r="M150" i="27"/>
  <c r="Q150" i="27" s="1"/>
  <c r="K185" i="27"/>
  <c r="M185" i="27"/>
  <c r="Q185" i="27" s="1"/>
  <c r="K203" i="27"/>
  <c r="M203" i="27"/>
  <c r="Q203" i="27" s="1"/>
  <c r="K245" i="27"/>
  <c r="M245" i="27"/>
  <c r="Q245" i="27" s="1"/>
  <c r="K293" i="27"/>
  <c r="M293" i="27"/>
  <c r="Q293" i="27" s="1"/>
  <c r="K12" i="27"/>
  <c r="M12" i="27"/>
  <c r="Q12" i="27" s="1"/>
  <c r="K77" i="27"/>
  <c r="M77" i="27"/>
  <c r="Q77" i="27" s="1"/>
  <c r="K96" i="27"/>
  <c r="M96" i="27"/>
  <c r="Q96" i="27" s="1"/>
  <c r="K129" i="27"/>
  <c r="K151" i="27"/>
  <c r="M151" i="27"/>
  <c r="Q151" i="27" s="1"/>
  <c r="K187" i="27"/>
  <c r="M187" i="27"/>
  <c r="Q187" i="27" s="1"/>
  <c r="K204" i="27"/>
  <c r="M204" i="27"/>
  <c r="Q204" i="27" s="1"/>
  <c r="K232" i="27"/>
  <c r="M232" i="27"/>
  <c r="Q232" i="27" s="1"/>
  <c r="K294" i="27"/>
  <c r="M294" i="27"/>
  <c r="Q294" i="27" s="1"/>
  <c r="K312" i="27"/>
  <c r="M312" i="27"/>
  <c r="Q312" i="27" s="1"/>
  <c r="K231" i="27"/>
  <c r="M231" i="27"/>
  <c r="Q231" i="27" s="1"/>
  <c r="K13" i="27"/>
  <c r="M13" i="27"/>
  <c r="Q13" i="27" s="1"/>
  <c r="K49" i="27"/>
  <c r="M49" i="27"/>
  <c r="Q49" i="27" s="1"/>
  <c r="K78" i="27"/>
  <c r="M78" i="27"/>
  <c r="Q78" i="27" s="1"/>
  <c r="K97" i="27"/>
  <c r="M97" i="27"/>
  <c r="Q97" i="27" s="1"/>
  <c r="K152" i="27"/>
  <c r="M152" i="27"/>
  <c r="Q152" i="27" s="1"/>
  <c r="K188" i="27"/>
  <c r="M188" i="27"/>
  <c r="Q188" i="27" s="1"/>
  <c r="K205" i="27"/>
  <c r="M205" i="27"/>
  <c r="Q205" i="27" s="1"/>
  <c r="K233" i="27"/>
  <c r="M233" i="27"/>
  <c r="Q233" i="27" s="1"/>
  <c r="K269" i="27"/>
  <c r="M269" i="27"/>
  <c r="Q269" i="27" s="1"/>
  <c r="K295" i="27"/>
  <c r="M295" i="27"/>
  <c r="Q295" i="27" s="1"/>
  <c r="K313" i="27"/>
  <c r="M313" i="27"/>
  <c r="Q313" i="27" s="1"/>
  <c r="K51" i="27"/>
  <c r="M51" i="27"/>
  <c r="Q51" i="27" s="1"/>
  <c r="K209" i="27"/>
  <c r="M209" i="27"/>
  <c r="Q209" i="27" s="1"/>
  <c r="K309" i="27"/>
  <c r="M309" i="27"/>
  <c r="Q309" i="27" s="1"/>
  <c r="K20" i="27"/>
  <c r="M20" i="27"/>
  <c r="Q20" i="27" s="1"/>
  <c r="K35" i="27"/>
  <c r="M35" i="27"/>
  <c r="Q35" i="27" s="1"/>
  <c r="K50" i="27"/>
  <c r="M50" i="27"/>
  <c r="Q50" i="27" s="1"/>
  <c r="K98" i="27"/>
  <c r="M98" i="27"/>
  <c r="Q98" i="27" s="1"/>
  <c r="K120" i="27"/>
  <c r="K153" i="27"/>
  <c r="M153" i="27"/>
  <c r="Q153" i="27" s="1"/>
  <c r="K166" i="27"/>
  <c r="M166" i="27"/>
  <c r="Q166" i="27" s="1"/>
  <c r="K206" i="27"/>
  <c r="M206" i="27"/>
  <c r="Q206" i="27" s="1"/>
  <c r="K234" i="27"/>
  <c r="M234" i="27"/>
  <c r="Q234" i="27" s="1"/>
  <c r="K270" i="27"/>
  <c r="M270" i="27"/>
  <c r="Q270" i="27" s="1"/>
  <c r="K257" i="27"/>
  <c r="M257" i="27"/>
  <c r="Q257" i="27" s="1"/>
  <c r="K296" i="27"/>
  <c r="M296" i="27"/>
  <c r="Q296" i="27" s="1"/>
  <c r="K314" i="27"/>
  <c r="M314" i="27"/>
  <c r="Q314" i="27" s="1"/>
  <c r="K247" i="27"/>
  <c r="M247" i="27"/>
  <c r="Q247" i="27" s="1"/>
  <c r="K284" i="27"/>
  <c r="M284" i="27"/>
  <c r="Q284" i="27" s="1"/>
  <c r="K315" i="27"/>
  <c r="M315" i="27"/>
  <c r="Q315" i="27" s="1"/>
  <c r="K52" i="27"/>
  <c r="M52" i="27"/>
  <c r="Q52" i="27" s="1"/>
  <c r="K248" i="27"/>
  <c r="M248" i="27"/>
  <c r="Q248" i="27" s="1"/>
  <c r="K271" i="27"/>
  <c r="M271" i="27"/>
  <c r="Q271" i="27" s="1"/>
  <c r="K285" i="27"/>
  <c r="M285" i="27"/>
  <c r="Q285" i="27" s="1"/>
  <c r="K297" i="27"/>
  <c r="M297" i="27"/>
  <c r="Q297" i="27" s="1"/>
  <c r="K316" i="27"/>
  <c r="M316" i="27"/>
  <c r="Q316" i="27" s="1"/>
  <c r="K189" i="27"/>
  <c r="M189" i="27"/>
  <c r="Q189" i="27" s="1"/>
  <c r="K156" i="27"/>
  <c r="M156" i="27"/>
  <c r="Q156" i="27" s="1"/>
  <c r="K190" i="27"/>
  <c r="M190" i="27"/>
  <c r="Q190" i="27" s="1"/>
  <c r="K17" i="27"/>
  <c r="M17" i="27"/>
  <c r="Q17" i="27" s="1"/>
  <c r="K81" i="27"/>
  <c r="M81" i="27"/>
  <c r="Q81" i="27" s="1"/>
  <c r="K107" i="27"/>
  <c r="M107" i="27"/>
  <c r="Q107" i="27" s="1"/>
  <c r="K122" i="27"/>
  <c r="M122" i="27"/>
  <c r="K191" i="27"/>
  <c r="M191" i="27"/>
  <c r="Q191" i="27" s="1"/>
  <c r="K179" i="27"/>
  <c r="M179" i="27"/>
  <c r="Q179" i="27" s="1"/>
  <c r="K214" i="27"/>
  <c r="M214" i="27"/>
  <c r="Q214" i="27" s="1"/>
  <c r="K224" i="27"/>
  <c r="M224" i="27"/>
  <c r="Q224" i="27" s="1"/>
  <c r="K249" i="27"/>
  <c r="M249" i="27"/>
  <c r="Q249" i="27" s="1"/>
  <c r="K273" i="27"/>
  <c r="M273" i="27"/>
  <c r="Q273" i="27" s="1"/>
  <c r="K266" i="27"/>
  <c r="M266" i="27"/>
  <c r="Q266" i="27" s="1"/>
  <c r="K298" i="27"/>
  <c r="M298" i="27"/>
  <c r="Q298" i="27" s="1"/>
  <c r="K4" i="27"/>
  <c r="M4" i="27"/>
  <c r="Q4" i="27" s="1"/>
  <c r="K21" i="27"/>
  <c r="M21" i="27"/>
  <c r="Q21" i="27" s="1"/>
  <c r="K16" i="27"/>
  <c r="M16" i="27"/>
  <c r="Q16" i="27" s="1"/>
  <c r="K54" i="27"/>
  <c r="M54" i="27"/>
  <c r="Q54" i="27" s="1"/>
  <c r="K60" i="27"/>
  <c r="M60" i="27"/>
  <c r="Q60" i="27" s="1"/>
  <c r="K82" i="27"/>
  <c r="M82" i="27"/>
  <c r="Q82" i="27" s="1"/>
  <c r="K104" i="27"/>
  <c r="M104" i="27"/>
  <c r="Q104" i="27" s="1"/>
  <c r="K142" i="27"/>
  <c r="M142" i="27"/>
  <c r="Q142" i="27" s="1"/>
  <c r="K237" i="27"/>
  <c r="M237" i="27"/>
  <c r="Q237" i="27" s="1"/>
  <c r="K227" i="27"/>
  <c r="M227" i="27"/>
  <c r="Q227" i="27" s="1"/>
  <c r="K274" i="27"/>
  <c r="M274" i="27"/>
  <c r="Q274" i="27" s="1"/>
  <c r="K265" i="27"/>
  <c r="M265" i="27"/>
  <c r="Q265" i="27" s="1"/>
  <c r="K207" i="27"/>
  <c r="M207" i="27"/>
  <c r="Q207" i="27" s="1"/>
  <c r="K100" i="27"/>
  <c r="M100" i="27"/>
  <c r="Q100" i="27" s="1"/>
  <c r="K103" i="27"/>
  <c r="M103" i="27"/>
  <c r="Q103" i="27" s="1"/>
  <c r="K22" i="27"/>
  <c r="M22" i="27"/>
  <c r="Q22" i="27" s="1"/>
  <c r="K55" i="27"/>
  <c r="M55" i="27"/>
  <c r="Q55" i="27" s="1"/>
  <c r="K59" i="27"/>
  <c r="M59" i="27"/>
  <c r="Q59" i="27" s="1"/>
  <c r="K83" i="27"/>
  <c r="M83" i="27"/>
  <c r="Q83" i="27" s="1"/>
  <c r="K106" i="27"/>
  <c r="M106" i="27"/>
  <c r="Q106" i="27" s="1"/>
  <c r="K143" i="27"/>
  <c r="M143" i="27"/>
  <c r="Q143" i="27" s="1"/>
  <c r="K157" i="27"/>
  <c r="M157" i="27"/>
  <c r="Q157" i="27" s="1"/>
  <c r="K169" i="27"/>
  <c r="M169" i="27"/>
  <c r="Q169" i="27" s="1"/>
  <c r="K192" i="27"/>
  <c r="M192" i="27"/>
  <c r="Q192" i="27" s="1"/>
  <c r="K218" i="27"/>
  <c r="M218" i="27"/>
  <c r="Q218" i="27" s="1"/>
  <c r="K226" i="27"/>
  <c r="M226" i="27"/>
  <c r="Q226" i="27" s="1"/>
  <c r="K264" i="27"/>
  <c r="M264" i="27"/>
  <c r="Q264" i="27" s="1"/>
  <c r="K291" i="27"/>
  <c r="M291" i="27"/>
  <c r="Q291" i="27" s="1"/>
  <c r="K84" i="27"/>
  <c r="M84" i="27"/>
  <c r="Q84" i="27" s="1"/>
  <c r="K133" i="27"/>
  <c r="M133" i="27"/>
  <c r="Q133" i="27" s="1"/>
  <c r="K170" i="27"/>
  <c r="M170" i="27"/>
  <c r="Q170" i="27" s="1"/>
  <c r="K193" i="27"/>
  <c r="M193" i="27"/>
  <c r="Q193" i="27" s="1"/>
  <c r="K219" i="27"/>
  <c r="M219" i="27"/>
  <c r="Q219" i="27" s="1"/>
  <c r="K210" i="27"/>
  <c r="M210" i="27"/>
  <c r="Q210" i="27" s="1"/>
  <c r="K255" i="27"/>
  <c r="M255" i="27"/>
  <c r="Q255" i="27" s="1"/>
  <c r="K167" i="27"/>
  <c r="M167" i="27"/>
  <c r="Q167" i="27" s="1"/>
  <c r="K5" i="27"/>
  <c r="K57" i="27"/>
  <c r="M57" i="27"/>
  <c r="Q57" i="27" s="1"/>
  <c r="K85" i="27"/>
  <c r="M85" i="27"/>
  <c r="Q85" i="27" s="1"/>
  <c r="K171" i="27"/>
  <c r="M171" i="27"/>
  <c r="Q171" i="27" s="1"/>
  <c r="K194" i="27"/>
  <c r="M194" i="27"/>
  <c r="Q194" i="27" s="1"/>
  <c r="K208" i="27"/>
  <c r="M208" i="27"/>
  <c r="Q208" i="27" s="1"/>
  <c r="K256" i="27"/>
  <c r="M256" i="27"/>
  <c r="Q256" i="27" s="1"/>
  <c r="K276" i="27"/>
  <c r="M276" i="27"/>
  <c r="Q276" i="27" s="1"/>
  <c r="K272" i="27"/>
  <c r="M272" i="27"/>
  <c r="Q272" i="27" s="1"/>
  <c r="K299" i="27"/>
  <c r="K306" i="27"/>
  <c r="M306" i="27"/>
  <c r="Q306" i="27" s="1"/>
  <c r="K41" i="27"/>
  <c r="M41" i="27"/>
  <c r="K86" i="27"/>
  <c r="M86" i="27"/>
  <c r="Q86" i="27" s="1"/>
  <c r="K124" i="27"/>
  <c r="M124" i="27"/>
  <c r="Q124" i="27" s="1"/>
  <c r="K159" i="27"/>
  <c r="M159" i="27"/>
  <c r="Q159" i="27" s="1"/>
  <c r="K172" i="27"/>
  <c r="M172" i="27"/>
  <c r="Q172" i="27" s="1"/>
  <c r="K288" i="27"/>
  <c r="M288" i="27"/>
  <c r="Q288" i="27" s="1"/>
  <c r="K305" i="27"/>
  <c r="M305" i="27"/>
  <c r="Q305" i="27" s="1"/>
  <c r="K15" i="27"/>
  <c r="M15" i="27"/>
  <c r="Q15" i="27" s="1"/>
  <c r="K56" i="27"/>
  <c r="M56" i="27"/>
  <c r="Q56" i="27" s="1"/>
  <c r="K275" i="27"/>
  <c r="M275" i="27"/>
  <c r="Q275" i="27" s="1"/>
  <c r="K87" i="27"/>
  <c r="M87" i="27"/>
  <c r="Q87" i="27" s="1"/>
  <c r="K114" i="27"/>
  <c r="M114" i="27"/>
  <c r="Q114" i="27" s="1"/>
  <c r="K125" i="27"/>
  <c r="M125" i="27"/>
  <c r="Q125" i="27" s="1"/>
  <c r="K173" i="27"/>
  <c r="M173" i="27"/>
  <c r="Q173" i="27" s="1"/>
  <c r="K217" i="27"/>
  <c r="M217" i="27"/>
  <c r="Q217" i="27" s="1"/>
  <c r="K278" i="27"/>
  <c r="M278" i="27"/>
  <c r="K235" i="27"/>
  <c r="M235" i="27"/>
  <c r="Q235" i="27" s="1"/>
  <c r="K53" i="27"/>
  <c r="M53" i="27"/>
  <c r="Q53" i="27" s="1"/>
  <c r="K58" i="27"/>
  <c r="M58" i="27"/>
  <c r="Q58" i="27" s="1"/>
  <c r="K7" i="27"/>
  <c r="M7" i="27"/>
  <c r="Q7" i="27" s="1"/>
  <c r="K28" i="27"/>
  <c r="M28" i="27"/>
  <c r="Q28" i="27" s="1"/>
  <c r="K68" i="27"/>
  <c r="M68" i="27"/>
  <c r="Q68" i="27" s="1"/>
  <c r="K88" i="27"/>
  <c r="M88" i="27"/>
  <c r="Q88" i="27" s="1"/>
  <c r="K115" i="27"/>
  <c r="M115" i="27"/>
  <c r="Q115" i="27" s="1"/>
  <c r="K174" i="27"/>
  <c r="M174" i="27"/>
  <c r="Q174" i="27" s="1"/>
  <c r="K216" i="27"/>
  <c r="M216" i="27"/>
  <c r="Q216" i="27" s="1"/>
  <c r="K279" i="27"/>
  <c r="M279" i="27"/>
  <c r="Q279" i="27" s="1"/>
  <c r="K301" i="27"/>
  <c r="M301" i="27"/>
  <c r="Q301" i="27" s="1"/>
  <c r="K99" i="27"/>
  <c r="M99" i="27"/>
  <c r="Q99" i="27" s="1"/>
  <c r="K31" i="27"/>
  <c r="M31" i="27"/>
  <c r="Q31" i="27" s="1"/>
  <c r="K43" i="27"/>
  <c r="M43" i="27"/>
  <c r="Q43" i="27" s="1"/>
  <c r="K69" i="27"/>
  <c r="M69" i="27"/>
  <c r="Q69" i="27" s="1"/>
  <c r="K89" i="27"/>
  <c r="M89" i="27"/>
  <c r="Q89" i="27" s="1"/>
  <c r="K116" i="27"/>
  <c r="M116" i="27"/>
  <c r="Q116" i="27" s="1"/>
  <c r="K146" i="27"/>
  <c r="M146" i="27"/>
  <c r="Q146" i="27" s="1"/>
  <c r="K161" i="27"/>
  <c r="M161" i="27"/>
  <c r="K175" i="27"/>
  <c r="M175" i="27"/>
  <c r="Q175" i="27" s="1"/>
  <c r="K241" i="27"/>
  <c r="M241" i="27"/>
  <c r="Q241" i="27" s="1"/>
  <c r="K260" i="27"/>
  <c r="M260" i="27"/>
  <c r="Q260" i="27" s="1"/>
  <c r="K302" i="27"/>
  <c r="M302" i="27"/>
  <c r="Q302" i="27" s="1"/>
  <c r="K140" i="27"/>
  <c r="M140" i="27"/>
  <c r="Q140" i="27" s="1"/>
  <c r="K105" i="27"/>
  <c r="M105" i="27"/>
  <c r="Q105" i="27" s="1"/>
  <c r="K32" i="27"/>
  <c r="M32" i="27"/>
  <c r="Q32" i="27" s="1"/>
  <c r="K30" i="27"/>
  <c r="M30" i="27"/>
  <c r="Q30" i="27" s="1"/>
  <c r="K44" i="27"/>
  <c r="M44" i="27"/>
  <c r="Q44" i="27" s="1"/>
  <c r="K71" i="27"/>
  <c r="M71" i="27"/>
  <c r="Q71" i="27" s="1"/>
  <c r="K90" i="27"/>
  <c r="M90" i="27"/>
  <c r="Q90" i="27" s="1"/>
  <c r="K117" i="27"/>
  <c r="M117" i="27"/>
  <c r="Q117" i="27" s="1"/>
  <c r="K126" i="27"/>
  <c r="K242" i="27"/>
  <c r="M242" i="27"/>
  <c r="Q242" i="27" s="1"/>
  <c r="K253" i="27"/>
  <c r="M253" i="27"/>
  <c r="Q253" i="27" s="1"/>
  <c r="K311" i="27"/>
  <c r="M311" i="27"/>
  <c r="Q311" i="27" s="1"/>
  <c r="K181" i="27"/>
  <c r="M181" i="27"/>
  <c r="Q181" i="27" s="1"/>
  <c r="K80" i="27"/>
  <c r="M80" i="27"/>
  <c r="K33" i="27"/>
  <c r="M33" i="27"/>
  <c r="Q33" i="27" s="1"/>
  <c r="K72" i="27"/>
  <c r="M72" i="27"/>
  <c r="Q72" i="27" s="1"/>
  <c r="K70" i="27"/>
  <c r="M70" i="27"/>
  <c r="Q70" i="27" s="1"/>
  <c r="K91" i="27"/>
  <c r="M91" i="27"/>
  <c r="Q91" i="27" s="1"/>
  <c r="K136" i="27"/>
  <c r="M136" i="27"/>
  <c r="Q136" i="27" s="1"/>
  <c r="K147" i="27"/>
  <c r="M147" i="27"/>
  <c r="Q147" i="27" s="1"/>
  <c r="K177" i="27"/>
  <c r="M177" i="27"/>
  <c r="Q177" i="27" s="1"/>
  <c r="K213" i="27"/>
  <c r="M213" i="27"/>
  <c r="Q213" i="27" s="1"/>
  <c r="K262" i="27"/>
  <c r="M262" i="27"/>
  <c r="Q262" i="27" s="1"/>
  <c r="K252" i="27"/>
  <c r="M252" i="27"/>
  <c r="Q252" i="27" s="1"/>
  <c r="K290" i="27"/>
  <c r="M290" i="27"/>
  <c r="Q290" i="27" s="1"/>
  <c r="K303" i="27"/>
  <c r="M303" i="27"/>
  <c r="Q303" i="27" s="1"/>
  <c r="K310" i="27"/>
  <c r="M310" i="27"/>
  <c r="Q310" i="27" s="1"/>
  <c r="K80" i="26"/>
  <c r="M80" i="26"/>
  <c r="Q80" i="26" s="1"/>
  <c r="K147" i="26"/>
  <c r="M147" i="26"/>
  <c r="Q147" i="26" s="1"/>
  <c r="K20" i="26"/>
  <c r="M20" i="26"/>
  <c r="Q20" i="26" s="1"/>
  <c r="K101" i="26"/>
  <c r="M101" i="26"/>
  <c r="Q101" i="26" s="1"/>
  <c r="K183" i="26"/>
  <c r="M183" i="26"/>
  <c r="Q183" i="26" s="1"/>
  <c r="K223" i="26"/>
  <c r="M223" i="26"/>
  <c r="Q223" i="26" s="1"/>
  <c r="K305" i="26"/>
  <c r="M305" i="26"/>
  <c r="Q305" i="26" s="1"/>
  <c r="K244" i="26"/>
  <c r="M244" i="26"/>
  <c r="Q244" i="26" s="1"/>
  <c r="K123" i="26"/>
  <c r="M123" i="26"/>
  <c r="Q123" i="26" s="1"/>
  <c r="R123" i="26" s="1"/>
  <c r="K162" i="26"/>
  <c r="M162" i="26"/>
  <c r="Q162" i="26" s="1"/>
  <c r="K78" i="26"/>
  <c r="M78" i="26"/>
  <c r="Q78" i="26" s="1"/>
  <c r="K19" i="26"/>
  <c r="M19" i="26"/>
  <c r="Q19" i="26" s="1"/>
  <c r="K102" i="26"/>
  <c r="M102" i="26"/>
  <c r="Q102" i="26" s="1"/>
  <c r="K164" i="26"/>
  <c r="M164" i="26"/>
  <c r="K184" i="26"/>
  <c r="M184" i="26"/>
  <c r="Q184" i="26" s="1"/>
  <c r="K204" i="26"/>
  <c r="M204" i="26"/>
  <c r="Q204" i="26" s="1"/>
  <c r="R204" i="26" s="1"/>
  <c r="K224" i="26"/>
  <c r="M224" i="26"/>
  <c r="Q224" i="26" s="1"/>
  <c r="K286" i="26"/>
  <c r="M286" i="26"/>
  <c r="Q286" i="26" s="1"/>
  <c r="K306" i="26"/>
  <c r="M306" i="26"/>
  <c r="Q306" i="26" s="1"/>
  <c r="K245" i="26"/>
  <c r="M245" i="26"/>
  <c r="Q245" i="26" s="1"/>
  <c r="K263" i="26"/>
  <c r="M263" i="26"/>
  <c r="Q263" i="26" s="1"/>
  <c r="K124" i="26"/>
  <c r="M124" i="26"/>
  <c r="Q124" i="26" s="1"/>
  <c r="K137" i="26"/>
  <c r="M137" i="26"/>
  <c r="Q137" i="26" s="1"/>
  <c r="K41" i="26"/>
  <c r="M41" i="26"/>
  <c r="K71" i="26"/>
  <c r="M71" i="26"/>
  <c r="Q71" i="26" s="1"/>
  <c r="K77" i="26"/>
  <c r="M77" i="26"/>
  <c r="Q77" i="26" s="1"/>
  <c r="K39" i="26"/>
  <c r="M39" i="26"/>
  <c r="Q39" i="26" s="1"/>
  <c r="K203" i="26"/>
  <c r="M203" i="26"/>
  <c r="K285" i="26"/>
  <c r="M285" i="26"/>
  <c r="Q285" i="26" s="1"/>
  <c r="R285" i="26" s="1"/>
  <c r="K264" i="26"/>
  <c r="M264" i="26"/>
  <c r="Q264" i="26" s="1"/>
  <c r="K138" i="26"/>
  <c r="M138" i="26"/>
  <c r="Q138" i="26" s="1"/>
  <c r="K59" i="26"/>
  <c r="M59" i="26"/>
  <c r="Q59" i="26" s="1"/>
  <c r="K18" i="26"/>
  <c r="M18" i="26"/>
  <c r="Q18" i="26" s="1"/>
  <c r="K83" i="26"/>
  <c r="M83" i="26"/>
  <c r="K103" i="26"/>
  <c r="M103" i="26"/>
  <c r="Q103" i="26" s="1"/>
  <c r="K165" i="26"/>
  <c r="M165" i="26"/>
  <c r="Q165" i="26" s="1"/>
  <c r="R165" i="26" s="1"/>
  <c r="K185" i="26"/>
  <c r="M185" i="26"/>
  <c r="Q185" i="26" s="1"/>
  <c r="K205" i="26"/>
  <c r="M205" i="26"/>
  <c r="Q205" i="26" s="1"/>
  <c r="K225" i="26"/>
  <c r="M225" i="26"/>
  <c r="Q225" i="26" s="1"/>
  <c r="K287" i="26"/>
  <c r="M287" i="26"/>
  <c r="Q287" i="26" s="1"/>
  <c r="K307" i="26"/>
  <c r="M307" i="26"/>
  <c r="Q307" i="26" s="1"/>
  <c r="K246" i="26"/>
  <c r="M246" i="26"/>
  <c r="Q246" i="26" s="1"/>
  <c r="K266" i="26"/>
  <c r="M266" i="26"/>
  <c r="Q266" i="26" s="1"/>
  <c r="K125" i="26"/>
  <c r="M125" i="26"/>
  <c r="Q125" i="26" s="1"/>
  <c r="K141" i="26"/>
  <c r="M141" i="26"/>
  <c r="Q141" i="26" s="1"/>
  <c r="K42" i="26"/>
  <c r="M42" i="26"/>
  <c r="Q42" i="26" s="1"/>
  <c r="R42" i="26" s="1"/>
  <c r="K61" i="26"/>
  <c r="M61" i="26"/>
  <c r="Q61" i="26" s="1"/>
  <c r="K76" i="26"/>
  <c r="M76" i="26"/>
  <c r="Q76" i="26" s="1"/>
  <c r="K267" i="26"/>
  <c r="M267" i="26"/>
  <c r="Q267" i="26" s="1"/>
  <c r="K146" i="26"/>
  <c r="M146" i="26"/>
  <c r="Q146" i="26" s="1"/>
  <c r="K7" i="26"/>
  <c r="M7" i="26"/>
  <c r="Q7" i="26" s="1"/>
  <c r="K24" i="26"/>
  <c r="M24" i="26"/>
  <c r="Q24" i="26" s="1"/>
  <c r="K86" i="26"/>
  <c r="M86" i="26"/>
  <c r="Q86" i="26" s="1"/>
  <c r="K106" i="26"/>
  <c r="M106" i="26"/>
  <c r="Q106" i="26" s="1"/>
  <c r="K168" i="26"/>
  <c r="M168" i="26"/>
  <c r="Q168" i="26" s="1"/>
  <c r="K188" i="26"/>
  <c r="M188" i="26"/>
  <c r="Q188" i="26" s="1"/>
  <c r="K208" i="26"/>
  <c r="M208" i="26"/>
  <c r="Q208" i="26" s="1"/>
  <c r="K228" i="26"/>
  <c r="M228" i="26"/>
  <c r="Q228" i="26" s="1"/>
  <c r="K290" i="26"/>
  <c r="M290" i="26"/>
  <c r="Q290" i="26" s="1"/>
  <c r="K310" i="26"/>
  <c r="M310" i="26"/>
  <c r="Q310" i="26" s="1"/>
  <c r="K249" i="26"/>
  <c r="M249" i="26"/>
  <c r="Q249" i="26" s="1"/>
  <c r="K269" i="26"/>
  <c r="M269" i="26"/>
  <c r="Q269" i="26" s="1"/>
  <c r="K128" i="26"/>
  <c r="M128" i="26"/>
  <c r="Q128" i="26" s="1"/>
  <c r="K144" i="26"/>
  <c r="M144" i="26"/>
  <c r="Q144" i="26" s="1"/>
  <c r="K64" i="26"/>
  <c r="M64" i="26"/>
  <c r="Q64" i="26" s="1"/>
  <c r="K104" i="26"/>
  <c r="M104" i="26"/>
  <c r="Q104" i="26" s="1"/>
  <c r="K43" i="26"/>
  <c r="M43" i="26"/>
  <c r="Q43" i="26" s="1"/>
  <c r="K6" i="26"/>
  <c r="M6" i="26"/>
  <c r="Q6" i="26" s="1"/>
  <c r="K28" i="26"/>
  <c r="M28" i="26"/>
  <c r="Q28" i="26" s="1"/>
  <c r="K87" i="26"/>
  <c r="M87" i="26"/>
  <c r="Q87" i="26" s="1"/>
  <c r="K107" i="26"/>
  <c r="M107" i="26"/>
  <c r="Q107" i="26" s="1"/>
  <c r="K169" i="26"/>
  <c r="M169" i="26"/>
  <c r="Q169" i="26" s="1"/>
  <c r="K189" i="26"/>
  <c r="M189" i="26"/>
  <c r="Q189" i="26" s="1"/>
  <c r="K209" i="26"/>
  <c r="M209" i="26"/>
  <c r="Q209" i="26" s="1"/>
  <c r="K229" i="26"/>
  <c r="M229" i="26"/>
  <c r="Q229" i="26" s="1"/>
  <c r="K291" i="26"/>
  <c r="M291" i="26"/>
  <c r="Q291" i="26" s="1"/>
  <c r="K311" i="26"/>
  <c r="M311" i="26"/>
  <c r="Q311" i="26" s="1"/>
  <c r="K250" i="26"/>
  <c r="M250" i="26"/>
  <c r="Q250" i="26" s="1"/>
  <c r="K270" i="26"/>
  <c r="M270" i="26"/>
  <c r="Q270" i="26" s="1"/>
  <c r="K129" i="26"/>
  <c r="M129" i="26"/>
  <c r="Q129" i="26" s="1"/>
  <c r="K143" i="26"/>
  <c r="M143" i="26"/>
  <c r="Q143" i="26" s="1"/>
  <c r="K45" i="26"/>
  <c r="M45" i="26"/>
  <c r="Q45" i="26" s="1"/>
  <c r="K63" i="26"/>
  <c r="M63" i="26"/>
  <c r="Q63" i="26" s="1"/>
  <c r="K22" i="26"/>
  <c r="M22" i="26"/>
  <c r="Q22" i="26" s="1"/>
  <c r="K227" i="26"/>
  <c r="M227" i="26"/>
  <c r="Q227" i="26" s="1"/>
  <c r="K5" i="26"/>
  <c r="M5" i="26"/>
  <c r="Q5" i="26" s="1"/>
  <c r="K27" i="26"/>
  <c r="M27" i="26"/>
  <c r="Q27" i="26" s="1"/>
  <c r="K88" i="26"/>
  <c r="M88" i="26"/>
  <c r="Q88" i="26" s="1"/>
  <c r="K108" i="26"/>
  <c r="M108" i="26"/>
  <c r="Q108" i="26" s="1"/>
  <c r="K170" i="26"/>
  <c r="M170" i="26"/>
  <c r="Q170" i="26" s="1"/>
  <c r="K190" i="26"/>
  <c r="M190" i="26"/>
  <c r="Q190" i="26" s="1"/>
  <c r="K210" i="26"/>
  <c r="M210" i="26"/>
  <c r="Q210" i="26" s="1"/>
  <c r="K230" i="26"/>
  <c r="M230" i="26"/>
  <c r="Q230" i="26" s="1"/>
  <c r="K292" i="26"/>
  <c r="M292" i="26"/>
  <c r="Q292" i="26" s="1"/>
  <c r="K312" i="26"/>
  <c r="M312" i="26"/>
  <c r="Q312" i="26" s="1"/>
  <c r="K251" i="26"/>
  <c r="M251" i="26"/>
  <c r="Q251" i="26" s="1"/>
  <c r="K274" i="26"/>
  <c r="M274" i="26"/>
  <c r="Q274" i="26" s="1"/>
  <c r="K130" i="26"/>
  <c r="M130" i="26"/>
  <c r="Q130" i="26" s="1"/>
  <c r="K148" i="26"/>
  <c r="M148" i="26"/>
  <c r="Q148" i="26" s="1"/>
  <c r="K46" i="26"/>
  <c r="M46" i="26"/>
  <c r="Q46" i="26" s="1"/>
  <c r="K62" i="26"/>
  <c r="M62" i="26"/>
  <c r="Q62" i="26" s="1"/>
  <c r="K288" i="26"/>
  <c r="M288" i="26"/>
  <c r="Q288" i="26" s="1"/>
  <c r="K105" i="26"/>
  <c r="M105" i="26"/>
  <c r="Q105" i="26" s="1"/>
  <c r="K207" i="26"/>
  <c r="M207" i="26"/>
  <c r="Q207" i="26" s="1"/>
  <c r="K81" i="26"/>
  <c r="M81" i="26"/>
  <c r="Q81" i="26" s="1"/>
  <c r="K4" i="26"/>
  <c r="M4" i="26"/>
  <c r="Q4" i="26" s="1"/>
  <c r="K26" i="26"/>
  <c r="M26" i="26"/>
  <c r="Q26" i="26" s="1"/>
  <c r="K89" i="26"/>
  <c r="M89" i="26"/>
  <c r="Q89" i="26" s="1"/>
  <c r="K109" i="26"/>
  <c r="M109" i="26"/>
  <c r="Q109" i="26" s="1"/>
  <c r="K171" i="26"/>
  <c r="M171" i="26"/>
  <c r="Q171" i="26" s="1"/>
  <c r="K191" i="26"/>
  <c r="M191" i="26"/>
  <c r="Q191" i="26" s="1"/>
  <c r="K211" i="26"/>
  <c r="M211" i="26"/>
  <c r="Q211" i="26" s="1"/>
  <c r="K231" i="26"/>
  <c r="M231" i="26"/>
  <c r="Q231" i="26" s="1"/>
  <c r="K293" i="26"/>
  <c r="M293" i="26"/>
  <c r="Q293" i="26" s="1"/>
  <c r="K313" i="26"/>
  <c r="M313" i="26"/>
  <c r="Q313" i="26" s="1"/>
  <c r="K252" i="26"/>
  <c r="M252" i="26"/>
  <c r="Q252" i="26" s="1"/>
  <c r="K273" i="26"/>
  <c r="M273" i="26"/>
  <c r="Q273" i="26" s="1"/>
  <c r="K131" i="26"/>
  <c r="M131" i="26"/>
  <c r="Q131" i="26" s="1"/>
  <c r="K149" i="26"/>
  <c r="M149" i="26"/>
  <c r="Q149" i="26" s="1"/>
  <c r="K47" i="26"/>
  <c r="M47" i="26"/>
  <c r="Q47" i="26" s="1"/>
  <c r="K60" i="26"/>
  <c r="M60" i="26"/>
  <c r="Q60" i="26" s="1"/>
  <c r="K247" i="26"/>
  <c r="M247" i="26"/>
  <c r="Q247" i="26" s="1"/>
  <c r="K167" i="26"/>
  <c r="M167" i="26"/>
  <c r="Q167" i="26" s="1"/>
  <c r="K3" i="26"/>
  <c r="M3" i="26"/>
  <c r="Q3" i="26" s="1"/>
  <c r="R3" i="26" s="1"/>
  <c r="K25" i="26"/>
  <c r="M25" i="26"/>
  <c r="Q25" i="26" s="1"/>
  <c r="K90" i="26"/>
  <c r="M90" i="26"/>
  <c r="Q90" i="26" s="1"/>
  <c r="K110" i="26"/>
  <c r="M110" i="26"/>
  <c r="Q110" i="26" s="1"/>
  <c r="K172" i="26"/>
  <c r="M172" i="26"/>
  <c r="Q172" i="26" s="1"/>
  <c r="K192" i="26"/>
  <c r="M192" i="26"/>
  <c r="Q192" i="26" s="1"/>
  <c r="K212" i="26"/>
  <c r="M212" i="26"/>
  <c r="Q212" i="26" s="1"/>
  <c r="K232" i="26"/>
  <c r="M232" i="26"/>
  <c r="Q232" i="26" s="1"/>
  <c r="K294" i="26"/>
  <c r="M294" i="26"/>
  <c r="Q294" i="26" s="1"/>
  <c r="K314" i="26"/>
  <c r="M314" i="26"/>
  <c r="Q314" i="26" s="1"/>
  <c r="K253" i="26"/>
  <c r="M253" i="26"/>
  <c r="Q253" i="26" s="1"/>
  <c r="K272" i="26"/>
  <c r="M272" i="26"/>
  <c r="Q272" i="26" s="1"/>
  <c r="K132" i="26"/>
  <c r="M132" i="26"/>
  <c r="Q132" i="26" s="1"/>
  <c r="K153" i="26"/>
  <c r="M153" i="26"/>
  <c r="Q153" i="26" s="1"/>
  <c r="K48" i="26"/>
  <c r="M48" i="26"/>
  <c r="Q48" i="26" s="1"/>
  <c r="K68" i="26"/>
  <c r="M68" i="26"/>
  <c r="Q68" i="26" s="1"/>
  <c r="K166" i="26"/>
  <c r="M166" i="26"/>
  <c r="Q166" i="26" s="1"/>
  <c r="K23" i="26"/>
  <c r="M23" i="26"/>
  <c r="Q23" i="26" s="1"/>
  <c r="K127" i="26"/>
  <c r="M127" i="26"/>
  <c r="Q127" i="26" s="1"/>
  <c r="K9" i="26"/>
  <c r="M9" i="26"/>
  <c r="Q9" i="26" s="1"/>
  <c r="K29" i="26"/>
  <c r="M29" i="26"/>
  <c r="Q29" i="26" s="1"/>
  <c r="K91" i="26"/>
  <c r="M91" i="26"/>
  <c r="Q91" i="26" s="1"/>
  <c r="K111" i="26"/>
  <c r="M111" i="26"/>
  <c r="Q111" i="26" s="1"/>
  <c r="K173" i="26"/>
  <c r="M173" i="26"/>
  <c r="Q173" i="26" s="1"/>
  <c r="K193" i="26"/>
  <c r="M193" i="26"/>
  <c r="Q193" i="26" s="1"/>
  <c r="K213" i="26"/>
  <c r="M213" i="26"/>
  <c r="Q213" i="26" s="1"/>
  <c r="K233" i="26"/>
  <c r="M233" i="26"/>
  <c r="Q233" i="26" s="1"/>
  <c r="K295" i="26"/>
  <c r="M295" i="26"/>
  <c r="Q295" i="26" s="1"/>
  <c r="K315" i="26"/>
  <c r="M315" i="26"/>
  <c r="Q315" i="26" s="1"/>
  <c r="K254" i="26"/>
  <c r="M254" i="26"/>
  <c r="Q254" i="26" s="1"/>
  <c r="K271" i="26"/>
  <c r="M271" i="26"/>
  <c r="Q271" i="26" s="1"/>
  <c r="K133" i="26"/>
  <c r="M133" i="26"/>
  <c r="Q133" i="26" s="1"/>
  <c r="K152" i="26"/>
  <c r="M152" i="26"/>
  <c r="Q152" i="26" s="1"/>
  <c r="K49" i="26"/>
  <c r="M49" i="26"/>
  <c r="Q49" i="26" s="1"/>
  <c r="K69" i="26"/>
  <c r="M69" i="26"/>
  <c r="Q69" i="26" s="1"/>
  <c r="K2" i="26"/>
  <c r="M2" i="26"/>
  <c r="K79" i="26"/>
  <c r="M79" i="26"/>
  <c r="Q79" i="26" s="1"/>
  <c r="K268" i="26"/>
  <c r="M268" i="26"/>
  <c r="Q268" i="26" s="1"/>
  <c r="K10" i="26"/>
  <c r="M10" i="26"/>
  <c r="Q10" i="26" s="1"/>
  <c r="K30" i="26"/>
  <c r="M30" i="26"/>
  <c r="Q30" i="26" s="1"/>
  <c r="K92" i="26"/>
  <c r="M92" i="26"/>
  <c r="Q92" i="26" s="1"/>
  <c r="K112" i="26"/>
  <c r="M112" i="26"/>
  <c r="Q112" i="26" s="1"/>
  <c r="K174" i="26"/>
  <c r="M174" i="26"/>
  <c r="Q174" i="26" s="1"/>
  <c r="K194" i="26"/>
  <c r="M194" i="26"/>
  <c r="Q194" i="26" s="1"/>
  <c r="K214" i="26"/>
  <c r="M214" i="26"/>
  <c r="Q214" i="26" s="1"/>
  <c r="K234" i="26"/>
  <c r="M234" i="26"/>
  <c r="Q234" i="26" s="1"/>
  <c r="K296" i="26"/>
  <c r="M296" i="26"/>
  <c r="Q296" i="26" s="1"/>
  <c r="K316" i="26"/>
  <c r="M316" i="26"/>
  <c r="Q316" i="26" s="1"/>
  <c r="K255" i="26"/>
  <c r="M255" i="26"/>
  <c r="Q255" i="26" s="1"/>
  <c r="K275" i="26"/>
  <c r="M275" i="26"/>
  <c r="Q275" i="26" s="1"/>
  <c r="K134" i="26"/>
  <c r="M134" i="26"/>
  <c r="Q134" i="26" s="1"/>
  <c r="K151" i="26"/>
  <c r="M151" i="26"/>
  <c r="Q151" i="26" s="1"/>
  <c r="K50" i="26"/>
  <c r="M50" i="26"/>
  <c r="Q50" i="26" s="1"/>
  <c r="K84" i="26"/>
  <c r="M84" i="26"/>
  <c r="Q84" i="26" s="1"/>
  <c r="R84" i="26" s="1"/>
  <c r="K66" i="26"/>
  <c r="M66" i="26"/>
  <c r="Q66" i="26" s="1"/>
  <c r="K289" i="26"/>
  <c r="M289" i="26"/>
  <c r="Q289" i="26" s="1"/>
  <c r="K15" i="26"/>
  <c r="M15" i="26"/>
  <c r="Q15" i="26" s="1"/>
  <c r="K33" i="26"/>
  <c r="M33" i="26"/>
  <c r="Q33" i="26" s="1"/>
  <c r="K93" i="26"/>
  <c r="M93" i="26"/>
  <c r="Q93" i="26" s="1"/>
  <c r="K113" i="26"/>
  <c r="M113" i="26"/>
  <c r="Q113" i="26" s="1"/>
  <c r="K175" i="26"/>
  <c r="M175" i="26"/>
  <c r="Q175" i="26" s="1"/>
  <c r="K195" i="26"/>
  <c r="M195" i="26"/>
  <c r="Q195" i="26" s="1"/>
  <c r="K215" i="26"/>
  <c r="M215" i="26"/>
  <c r="Q215" i="26" s="1"/>
  <c r="K235" i="26"/>
  <c r="M235" i="26"/>
  <c r="Q235" i="26" s="1"/>
  <c r="K297" i="26"/>
  <c r="M297" i="26"/>
  <c r="Q297" i="26" s="1"/>
  <c r="K262" i="26"/>
  <c r="M262" i="26"/>
  <c r="Q262" i="26" s="1"/>
  <c r="K276" i="26"/>
  <c r="M276" i="26"/>
  <c r="Q276" i="26" s="1"/>
  <c r="K135" i="26"/>
  <c r="M135" i="26"/>
  <c r="Q135" i="26" s="1"/>
  <c r="K150" i="26"/>
  <c r="M150" i="26"/>
  <c r="Q150" i="26" s="1"/>
  <c r="K51" i="26"/>
  <c r="M51" i="26"/>
  <c r="Q51" i="26" s="1"/>
  <c r="K308" i="26"/>
  <c r="M308" i="26"/>
  <c r="Q308" i="26" s="1"/>
  <c r="K44" i="26"/>
  <c r="M44" i="26"/>
  <c r="Q44" i="26" s="1"/>
  <c r="K14" i="26"/>
  <c r="M14" i="26"/>
  <c r="Q14" i="26" s="1"/>
  <c r="K32" i="26"/>
  <c r="M32" i="26"/>
  <c r="Q32" i="26" s="1"/>
  <c r="K94" i="26"/>
  <c r="M94" i="26"/>
  <c r="Q94" i="26" s="1"/>
  <c r="K114" i="26"/>
  <c r="M114" i="26"/>
  <c r="Q114" i="26" s="1"/>
  <c r="K176" i="26"/>
  <c r="M176" i="26"/>
  <c r="Q176" i="26" s="1"/>
  <c r="K196" i="26"/>
  <c r="M196" i="26"/>
  <c r="Q196" i="26" s="1"/>
  <c r="K216" i="26"/>
  <c r="M216" i="26"/>
  <c r="Q216" i="26" s="1"/>
  <c r="K236" i="26"/>
  <c r="M236" i="26"/>
  <c r="Q236" i="26" s="1"/>
  <c r="K298" i="26"/>
  <c r="M298" i="26"/>
  <c r="Q298" i="26" s="1"/>
  <c r="K261" i="26"/>
  <c r="M261" i="26"/>
  <c r="Q261" i="26" s="1"/>
  <c r="K279" i="26"/>
  <c r="M279" i="26"/>
  <c r="Q279" i="26" s="1"/>
  <c r="K136" i="26"/>
  <c r="M136" i="26"/>
  <c r="Q136" i="26" s="1"/>
  <c r="K154" i="26"/>
  <c r="M154" i="26"/>
  <c r="Q154" i="26" s="1"/>
  <c r="K52" i="26"/>
  <c r="M52" i="26"/>
  <c r="Q52" i="26" s="1"/>
  <c r="K70" i="26"/>
  <c r="M70" i="26"/>
  <c r="Q70" i="26" s="1"/>
  <c r="K186" i="26"/>
  <c r="M186" i="26"/>
  <c r="Q186" i="26" s="1"/>
  <c r="K8" i="26"/>
  <c r="M8" i="26"/>
  <c r="Q8" i="26" s="1"/>
  <c r="K187" i="26"/>
  <c r="M187" i="26"/>
  <c r="Q187" i="26" s="1"/>
  <c r="K65" i="26"/>
  <c r="M65" i="26"/>
  <c r="Q65" i="26" s="1"/>
  <c r="K13" i="26"/>
  <c r="M13" i="26"/>
  <c r="Q13" i="26" s="1"/>
  <c r="K31" i="26"/>
  <c r="M31" i="26"/>
  <c r="Q31" i="26" s="1"/>
  <c r="K95" i="26"/>
  <c r="M95" i="26"/>
  <c r="Q95" i="26" s="1"/>
  <c r="K115" i="26"/>
  <c r="M115" i="26"/>
  <c r="Q115" i="26" s="1"/>
  <c r="K177" i="26"/>
  <c r="M177" i="26"/>
  <c r="Q177" i="26" s="1"/>
  <c r="K197" i="26"/>
  <c r="M197" i="26"/>
  <c r="Q197" i="26" s="1"/>
  <c r="K217" i="26"/>
  <c r="M217" i="26"/>
  <c r="Q217" i="26" s="1"/>
  <c r="K237" i="26"/>
  <c r="M237" i="26"/>
  <c r="Q237" i="26" s="1"/>
  <c r="K299" i="26"/>
  <c r="M299" i="26"/>
  <c r="Q299" i="26" s="1"/>
  <c r="K260" i="26"/>
  <c r="M260" i="26"/>
  <c r="Q260" i="26" s="1"/>
  <c r="K278" i="26"/>
  <c r="M278" i="26"/>
  <c r="Q278" i="26" s="1"/>
  <c r="K140" i="26"/>
  <c r="M140" i="26"/>
  <c r="Q140" i="26" s="1"/>
  <c r="K155" i="26"/>
  <c r="M155" i="26"/>
  <c r="Q155" i="26" s="1"/>
  <c r="K53" i="26"/>
  <c r="M53" i="26"/>
  <c r="Q53" i="26" s="1"/>
  <c r="K67" i="26"/>
  <c r="M67" i="26"/>
  <c r="Q67" i="26" s="1"/>
  <c r="K126" i="26"/>
  <c r="M126" i="26"/>
  <c r="Q126" i="26" s="1"/>
  <c r="K12" i="26"/>
  <c r="M12" i="26"/>
  <c r="Q12" i="26" s="1"/>
  <c r="K34" i="26"/>
  <c r="M34" i="26"/>
  <c r="Q34" i="26" s="1"/>
  <c r="K96" i="26"/>
  <c r="M96" i="26"/>
  <c r="Q96" i="26" s="1"/>
  <c r="K116" i="26"/>
  <c r="M116" i="26"/>
  <c r="Q116" i="26" s="1"/>
  <c r="K178" i="26"/>
  <c r="M178" i="26"/>
  <c r="Q178" i="26" s="1"/>
  <c r="K198" i="26"/>
  <c r="M198" i="26"/>
  <c r="Q198" i="26" s="1"/>
  <c r="K218" i="26"/>
  <c r="M218" i="26"/>
  <c r="Q218" i="26" s="1"/>
  <c r="K238" i="26"/>
  <c r="M238" i="26"/>
  <c r="Q238" i="26" s="1"/>
  <c r="K300" i="26"/>
  <c r="M300" i="26"/>
  <c r="Q300" i="26" s="1"/>
  <c r="K259" i="26"/>
  <c r="M259" i="26"/>
  <c r="Q259" i="26" s="1"/>
  <c r="K277" i="26"/>
  <c r="M277" i="26"/>
  <c r="Q277" i="26" s="1"/>
  <c r="K142" i="26"/>
  <c r="M142" i="26"/>
  <c r="Q142" i="26" s="1"/>
  <c r="K158" i="26"/>
  <c r="M158" i="26"/>
  <c r="Q158" i="26" s="1"/>
  <c r="K54" i="26"/>
  <c r="M54" i="26"/>
  <c r="Q54" i="26" s="1"/>
  <c r="K11" i="26"/>
  <c r="M11" i="26"/>
  <c r="Q11" i="26" s="1"/>
  <c r="K38" i="26"/>
  <c r="M38" i="26"/>
  <c r="Q38" i="26" s="1"/>
  <c r="K97" i="26"/>
  <c r="M97" i="26"/>
  <c r="Q97" i="26" s="1"/>
  <c r="K117" i="26"/>
  <c r="M117" i="26"/>
  <c r="Q117" i="26" s="1"/>
  <c r="K179" i="26"/>
  <c r="M179" i="26"/>
  <c r="Q179" i="26" s="1"/>
  <c r="K199" i="26"/>
  <c r="M199" i="26"/>
  <c r="Q199" i="26" s="1"/>
  <c r="K219" i="26"/>
  <c r="M219" i="26"/>
  <c r="Q219" i="26" s="1"/>
  <c r="K239" i="26"/>
  <c r="M239" i="26"/>
  <c r="Q239" i="26" s="1"/>
  <c r="K301" i="26"/>
  <c r="M301" i="26"/>
  <c r="Q301" i="26" s="1"/>
  <c r="K258" i="26"/>
  <c r="M258" i="26"/>
  <c r="Q258" i="26" s="1"/>
  <c r="K280" i="26"/>
  <c r="M280" i="26"/>
  <c r="Q280" i="26" s="1"/>
  <c r="K145" i="26"/>
  <c r="M145" i="26"/>
  <c r="Q145" i="26" s="1"/>
  <c r="K157" i="26"/>
  <c r="M157" i="26"/>
  <c r="Q157" i="26" s="1"/>
  <c r="K55" i="26"/>
  <c r="M55" i="26"/>
  <c r="Q55" i="26" s="1"/>
  <c r="K74" i="26"/>
  <c r="M74" i="26"/>
  <c r="Q74" i="26" s="1"/>
  <c r="K16" i="26"/>
  <c r="M16" i="26"/>
  <c r="Q16" i="26" s="1"/>
  <c r="K37" i="26"/>
  <c r="M37" i="26"/>
  <c r="Q37" i="26" s="1"/>
  <c r="K98" i="26"/>
  <c r="M98" i="26"/>
  <c r="Q98" i="26" s="1"/>
  <c r="K118" i="26"/>
  <c r="M118" i="26"/>
  <c r="Q118" i="26" s="1"/>
  <c r="K180" i="26"/>
  <c r="M180" i="26"/>
  <c r="Q180" i="26" s="1"/>
  <c r="K200" i="26"/>
  <c r="M200" i="26"/>
  <c r="Q200" i="26" s="1"/>
  <c r="K220" i="26"/>
  <c r="M220" i="26"/>
  <c r="Q220" i="26" s="1"/>
  <c r="K240" i="26"/>
  <c r="M240" i="26"/>
  <c r="Q240" i="26" s="1"/>
  <c r="K302" i="26"/>
  <c r="M302" i="26"/>
  <c r="Q302" i="26" s="1"/>
  <c r="K257" i="26"/>
  <c r="M257" i="26"/>
  <c r="Q257" i="26" s="1"/>
  <c r="K282" i="26"/>
  <c r="M282" i="26"/>
  <c r="Q282" i="26" s="1"/>
  <c r="K160" i="26"/>
  <c r="M160" i="26"/>
  <c r="Q160" i="26" s="1"/>
  <c r="K156" i="26"/>
  <c r="M156" i="26"/>
  <c r="Q156" i="26" s="1"/>
  <c r="K56" i="26"/>
  <c r="M56" i="26"/>
  <c r="Q56" i="26" s="1"/>
  <c r="K73" i="26"/>
  <c r="M73" i="26"/>
  <c r="Q73" i="26" s="1"/>
  <c r="K226" i="26"/>
  <c r="M226" i="26"/>
  <c r="Q226" i="26" s="1"/>
  <c r="K85" i="26"/>
  <c r="M85" i="26"/>
  <c r="Q85" i="26" s="1"/>
  <c r="K248" i="26"/>
  <c r="M248" i="26"/>
  <c r="Q248" i="26" s="1"/>
  <c r="K17" i="26"/>
  <c r="M17" i="26"/>
  <c r="Q17" i="26" s="1"/>
  <c r="K36" i="26"/>
  <c r="M36" i="26"/>
  <c r="Q36" i="26" s="1"/>
  <c r="K99" i="26"/>
  <c r="M99" i="26"/>
  <c r="Q99" i="26" s="1"/>
  <c r="K119" i="26"/>
  <c r="M119" i="26"/>
  <c r="Q119" i="26" s="1"/>
  <c r="K181" i="26"/>
  <c r="M181" i="26"/>
  <c r="Q181" i="26" s="1"/>
  <c r="K201" i="26"/>
  <c r="M201" i="26"/>
  <c r="Q201" i="26" s="1"/>
  <c r="K221" i="26"/>
  <c r="M221" i="26"/>
  <c r="Q221" i="26" s="1"/>
  <c r="K303" i="26"/>
  <c r="M303" i="26"/>
  <c r="Q303" i="26" s="1"/>
  <c r="K242" i="26"/>
  <c r="M242" i="26"/>
  <c r="K256" i="26"/>
  <c r="M256" i="26"/>
  <c r="Q256" i="26" s="1"/>
  <c r="K281" i="26"/>
  <c r="M281" i="26"/>
  <c r="Q281" i="26" s="1"/>
  <c r="K159" i="26"/>
  <c r="M159" i="26"/>
  <c r="Q159" i="26" s="1"/>
  <c r="K57" i="26"/>
  <c r="M57" i="26"/>
  <c r="Q57" i="26" s="1"/>
  <c r="K72" i="26"/>
  <c r="M72" i="26"/>
  <c r="Q72" i="26" s="1"/>
  <c r="K206" i="26"/>
  <c r="M206" i="26"/>
  <c r="Q206" i="26" s="1"/>
  <c r="K309" i="26"/>
  <c r="M309" i="26"/>
  <c r="Q309" i="26" s="1"/>
  <c r="K21" i="26"/>
  <c r="M21" i="26"/>
  <c r="Q21" i="26" s="1"/>
  <c r="K35" i="26"/>
  <c r="M35" i="26"/>
  <c r="Q35" i="26" s="1"/>
  <c r="K100" i="26"/>
  <c r="M100" i="26"/>
  <c r="Q100" i="26" s="1"/>
  <c r="K120" i="26"/>
  <c r="M120" i="26"/>
  <c r="Q120" i="26" s="1"/>
  <c r="K182" i="26"/>
  <c r="M182" i="26"/>
  <c r="Q182" i="26" s="1"/>
  <c r="K222" i="26"/>
  <c r="M222" i="26"/>
  <c r="Q222" i="26" s="1"/>
  <c r="K284" i="26"/>
  <c r="M284" i="26"/>
  <c r="K304" i="26"/>
  <c r="M304" i="26"/>
  <c r="Q304" i="26" s="1"/>
  <c r="K243" i="26"/>
  <c r="M243" i="26"/>
  <c r="Q243" i="26" s="1"/>
  <c r="R243" i="26" s="1"/>
  <c r="K265" i="26"/>
  <c r="M265" i="26"/>
  <c r="Q265" i="26" s="1"/>
  <c r="K122" i="26"/>
  <c r="M122" i="26"/>
  <c r="K139" i="26"/>
  <c r="M139" i="26"/>
  <c r="Q139" i="26" s="1"/>
  <c r="K161" i="26"/>
  <c r="M161" i="26"/>
  <c r="Q161" i="26" s="1"/>
  <c r="K58" i="26"/>
  <c r="M58" i="26"/>
  <c r="Q58" i="26" s="1"/>
  <c r="K75" i="26"/>
  <c r="M75" i="26"/>
  <c r="Q75" i="26" s="1"/>
  <c r="M290" i="25"/>
  <c r="Q290" i="25" s="1"/>
  <c r="K290" i="25"/>
  <c r="M314" i="25"/>
  <c r="Q314" i="25" s="1"/>
  <c r="K314" i="25"/>
  <c r="M315" i="25"/>
  <c r="Q315" i="25" s="1"/>
  <c r="K315" i="25"/>
  <c r="K311" i="25"/>
  <c r="K306" i="25"/>
  <c r="K250" i="25"/>
  <c r="K289" i="25"/>
  <c r="K287" i="25"/>
  <c r="K282" i="25"/>
  <c r="K299" i="25"/>
  <c r="K155" i="25"/>
  <c r="M155" i="25"/>
  <c r="Q155" i="25" s="1"/>
  <c r="M261" i="25"/>
  <c r="Q261" i="25" s="1"/>
  <c r="K226" i="25"/>
  <c r="M226" i="25"/>
  <c r="Q226" i="25" s="1"/>
  <c r="K135" i="25"/>
  <c r="M135" i="25"/>
  <c r="Q135" i="25" s="1"/>
  <c r="M156" i="25"/>
  <c r="Q156" i="25" s="1"/>
  <c r="K156" i="25"/>
  <c r="K177" i="25"/>
  <c r="M177" i="25"/>
  <c r="Q177" i="25" s="1"/>
  <c r="K192" i="25"/>
  <c r="K24" i="25"/>
  <c r="M24" i="25"/>
  <c r="Q24" i="25" s="1"/>
  <c r="K76" i="25"/>
  <c r="M76" i="25"/>
  <c r="Q76" i="25" s="1"/>
  <c r="K103" i="25"/>
  <c r="M103" i="25"/>
  <c r="Q103" i="25" s="1"/>
  <c r="K55" i="25"/>
  <c r="M55" i="25"/>
  <c r="Q55" i="25" s="1"/>
  <c r="K104" i="25"/>
  <c r="K138" i="25"/>
  <c r="M138" i="25"/>
  <c r="Q138" i="25" s="1"/>
  <c r="M9" i="25"/>
  <c r="Q9" i="25" s="1"/>
  <c r="K22" i="25"/>
  <c r="K105" i="25"/>
  <c r="M105" i="25"/>
  <c r="Q105" i="25" s="1"/>
  <c r="M244" i="25"/>
  <c r="Q244" i="25" s="1"/>
  <c r="K244" i="25"/>
  <c r="M178" i="25"/>
  <c r="Q178" i="25" s="1"/>
  <c r="M266" i="25"/>
  <c r="Q266" i="25" s="1"/>
  <c r="K266" i="25"/>
  <c r="K256" i="25"/>
  <c r="M256" i="25"/>
  <c r="Q256" i="25" s="1"/>
  <c r="K141" i="25"/>
  <c r="M141" i="25"/>
  <c r="Q141" i="25" s="1"/>
  <c r="K60" i="25"/>
  <c r="M60" i="25"/>
  <c r="Q60" i="25" s="1"/>
  <c r="K17" i="25"/>
  <c r="M17" i="25"/>
  <c r="Q17" i="25" s="1"/>
  <c r="K61" i="25"/>
  <c r="K88" i="25"/>
  <c r="M88" i="25"/>
  <c r="Q88" i="25" s="1"/>
  <c r="K37" i="25"/>
  <c r="M37" i="25"/>
  <c r="Q37" i="25" s="1"/>
  <c r="K36" i="25"/>
  <c r="K92" i="25"/>
  <c r="M92" i="25"/>
  <c r="Q92" i="25" s="1"/>
  <c r="K12" i="25"/>
  <c r="M12" i="25"/>
  <c r="Q12" i="25" s="1"/>
  <c r="M66" i="25"/>
  <c r="Q66" i="25" s="1"/>
  <c r="K114" i="25"/>
  <c r="M114" i="25"/>
  <c r="Q114" i="25" s="1"/>
  <c r="M302" i="25"/>
  <c r="Q302" i="25" s="1"/>
  <c r="K302" i="25"/>
  <c r="K97" i="25"/>
  <c r="M97" i="25"/>
  <c r="Q97" i="25" s="1"/>
  <c r="K187" i="25"/>
  <c r="M187" i="25"/>
  <c r="Q187" i="25" s="1"/>
  <c r="M255" i="25"/>
  <c r="Q255" i="25" s="1"/>
  <c r="K130" i="25"/>
  <c r="M130" i="25"/>
  <c r="Q130" i="25" s="1"/>
  <c r="M222" i="25"/>
  <c r="Q222" i="25" s="1"/>
  <c r="K241" i="25"/>
  <c r="M241" i="25"/>
  <c r="Q241" i="25" s="1"/>
  <c r="K218" i="25"/>
  <c r="M218" i="25"/>
  <c r="Q218" i="25" s="1"/>
  <c r="M257" i="25"/>
  <c r="Q257" i="25" s="1"/>
  <c r="K257" i="25"/>
  <c r="M283" i="25"/>
  <c r="Q283" i="25" s="1"/>
  <c r="K283" i="25"/>
  <c r="K131" i="25"/>
  <c r="M131" i="25"/>
  <c r="Q131" i="25" s="1"/>
  <c r="K221" i="25"/>
  <c r="M221" i="25"/>
  <c r="Q221" i="25" s="1"/>
  <c r="K161" i="25"/>
  <c r="M161" i="25"/>
  <c r="Q161" i="25" s="1"/>
  <c r="K132" i="25"/>
  <c r="M132" i="25"/>
  <c r="Q132" i="25" s="1"/>
  <c r="K188" i="25"/>
  <c r="K220" i="25"/>
  <c r="M220" i="25"/>
  <c r="Q220" i="25" s="1"/>
  <c r="M280" i="25"/>
  <c r="K280" i="25"/>
  <c r="M7" i="25"/>
  <c r="Q7" i="25" s="1"/>
  <c r="K7" i="25"/>
  <c r="M260" i="25"/>
  <c r="Q260" i="25" s="1"/>
  <c r="K260" i="25"/>
  <c r="M286" i="25"/>
  <c r="Q286" i="25" s="1"/>
  <c r="K286" i="25"/>
  <c r="M307" i="25"/>
  <c r="Q307" i="25" s="1"/>
  <c r="K194" i="25"/>
  <c r="M194" i="25"/>
  <c r="Q194" i="25" s="1"/>
  <c r="K228" i="25"/>
  <c r="M228" i="25"/>
  <c r="Q228" i="25" s="1"/>
  <c r="M30" i="25"/>
  <c r="Q30" i="25" s="1"/>
  <c r="K165" i="25"/>
  <c r="M165" i="25"/>
  <c r="Q165" i="25" s="1"/>
  <c r="K122" i="25"/>
  <c r="M122" i="25"/>
  <c r="Q122" i="25" s="1"/>
  <c r="K171" i="25"/>
  <c r="M171" i="25"/>
  <c r="Q171" i="25" s="1"/>
  <c r="K229" i="25"/>
  <c r="M229" i="25"/>
  <c r="Q229" i="25" s="1"/>
  <c r="K236" i="25"/>
  <c r="M236" i="25"/>
  <c r="Q236" i="25" s="1"/>
  <c r="K19" i="25"/>
  <c r="M19" i="25"/>
  <c r="Q19" i="25" s="1"/>
  <c r="K21" i="25"/>
  <c r="M21" i="25"/>
  <c r="Q21" i="25" s="1"/>
  <c r="K85" i="25"/>
  <c r="M85" i="25"/>
  <c r="Q85" i="25" s="1"/>
  <c r="K168" i="25"/>
  <c r="M168" i="25"/>
  <c r="Q168" i="25" s="1"/>
  <c r="K28" i="25"/>
  <c r="M28" i="25"/>
  <c r="Q28" i="25" s="1"/>
  <c r="M64" i="25"/>
  <c r="Q64" i="25" s="1"/>
  <c r="K125" i="25"/>
  <c r="M125" i="25"/>
  <c r="Q125" i="25" s="1"/>
  <c r="K172" i="25"/>
  <c r="M172" i="25"/>
  <c r="Q172" i="25" s="1"/>
  <c r="K249" i="25"/>
  <c r="M230" i="25"/>
  <c r="Q230" i="25" s="1"/>
  <c r="K20" i="25"/>
  <c r="M20" i="25"/>
  <c r="Q20" i="25" s="1"/>
  <c r="K285" i="25"/>
  <c r="K312" i="25"/>
  <c r="K223" i="25"/>
  <c r="M223" i="25"/>
  <c r="Q223" i="25" s="1"/>
  <c r="K120" i="25"/>
  <c r="M120" i="25"/>
  <c r="Q120" i="25" s="1"/>
  <c r="K169" i="25"/>
  <c r="M169" i="25"/>
  <c r="Q169" i="25" s="1"/>
  <c r="K56" i="25"/>
  <c r="M56" i="25"/>
  <c r="Q56" i="25" s="1"/>
  <c r="K173" i="25"/>
  <c r="M173" i="25"/>
  <c r="Q173" i="25" s="1"/>
  <c r="K99" i="25"/>
  <c r="M99" i="25"/>
  <c r="Q99" i="25" s="1"/>
  <c r="K227" i="25"/>
  <c r="M227" i="25"/>
  <c r="Q227" i="25" s="1"/>
  <c r="K72" i="25"/>
  <c r="M109" i="25"/>
  <c r="Q109" i="25" s="1"/>
  <c r="K309" i="25"/>
  <c r="K80" i="25"/>
  <c r="M80" i="25"/>
  <c r="K149" i="25"/>
  <c r="M149" i="25"/>
  <c r="Q149" i="25" s="1"/>
  <c r="K200" i="25"/>
  <c r="M200" i="25"/>
  <c r="K185" i="25"/>
  <c r="K164" i="25"/>
  <c r="M164" i="25"/>
  <c r="Q164" i="25" s="1"/>
  <c r="K263" i="25"/>
  <c r="M263" i="25"/>
  <c r="Q263" i="25" s="1"/>
  <c r="K176" i="25"/>
  <c r="M176" i="25"/>
  <c r="Q176" i="25" s="1"/>
  <c r="K281" i="25"/>
  <c r="K308" i="25"/>
  <c r="K253" i="25"/>
  <c r="M253" i="25"/>
  <c r="Q253" i="25" s="1"/>
  <c r="K134" i="25"/>
  <c r="K58" i="25"/>
  <c r="M58" i="25"/>
  <c r="Q58" i="25" s="1"/>
  <c r="K126" i="25"/>
  <c r="M126" i="25"/>
  <c r="Q126" i="25" s="1"/>
  <c r="K140" i="25"/>
  <c r="M140" i="25"/>
  <c r="Q140" i="25" s="1"/>
  <c r="K143" i="25"/>
  <c r="M143" i="25"/>
  <c r="Q143" i="25" s="1"/>
  <c r="K181" i="25"/>
  <c r="M181" i="25"/>
  <c r="Q181" i="25" s="1"/>
  <c r="K142" i="25"/>
  <c r="K81" i="25"/>
  <c r="M81" i="25"/>
  <c r="Q81" i="25" s="1"/>
  <c r="K150" i="25"/>
  <c r="M150" i="25"/>
  <c r="Q150" i="25" s="1"/>
  <c r="K201" i="25"/>
  <c r="M201" i="25"/>
  <c r="Q201" i="25" s="1"/>
  <c r="R202" i="25" s="1"/>
  <c r="K167" i="25"/>
  <c r="M167" i="25"/>
  <c r="Q167" i="25" s="1"/>
  <c r="K35" i="25"/>
  <c r="M35" i="25"/>
  <c r="Q35" i="25" s="1"/>
  <c r="K14" i="25"/>
  <c r="M14" i="25"/>
  <c r="Q14" i="25" s="1"/>
  <c r="K163" i="25"/>
  <c r="M163" i="25"/>
  <c r="Q163" i="25" s="1"/>
  <c r="K198" i="25"/>
  <c r="M198" i="25"/>
  <c r="Q198" i="25" s="1"/>
  <c r="K279" i="25"/>
  <c r="K18" i="25"/>
  <c r="M18" i="25"/>
  <c r="Q18" i="25" s="1"/>
  <c r="K174" i="25"/>
  <c r="K151" i="25"/>
  <c r="K93" i="25"/>
  <c r="M93" i="25"/>
  <c r="Q93" i="25" s="1"/>
  <c r="K146" i="25"/>
  <c r="M146" i="25"/>
  <c r="Q146" i="25" s="1"/>
  <c r="K305" i="25"/>
  <c r="K54" i="25"/>
  <c r="M54" i="25"/>
  <c r="Q54" i="25" s="1"/>
  <c r="K91" i="25"/>
  <c r="M91" i="25"/>
  <c r="Q91" i="25" s="1"/>
  <c r="K276" i="25"/>
  <c r="K137" i="25"/>
  <c r="M137" i="25"/>
  <c r="Q137" i="25" s="1"/>
  <c r="K239" i="25"/>
  <c r="M239" i="25"/>
  <c r="K234" i="25"/>
  <c r="M234" i="25"/>
  <c r="Q234" i="25" s="1"/>
  <c r="K6" i="25"/>
  <c r="M6" i="25"/>
  <c r="Q6" i="25" s="1"/>
  <c r="K43" i="25"/>
  <c r="M43" i="25"/>
  <c r="Q43" i="25" s="1"/>
  <c r="K84" i="25"/>
  <c r="M84" i="25"/>
  <c r="Q84" i="25" s="1"/>
  <c r="K154" i="25"/>
  <c r="M154" i="25"/>
  <c r="Q154" i="25" s="1"/>
  <c r="K264" i="25"/>
  <c r="M264" i="25"/>
  <c r="Q264" i="25" s="1"/>
  <c r="K202" i="25"/>
  <c r="K123" i="25"/>
  <c r="M123" i="25"/>
  <c r="Q123" i="25" s="1"/>
  <c r="K94" i="25"/>
  <c r="M94" i="25"/>
  <c r="Q94" i="25" s="1"/>
  <c r="K32" i="25"/>
  <c r="K67" i="25"/>
  <c r="M67" i="25"/>
  <c r="Q67" i="25" s="1"/>
  <c r="K147" i="25"/>
  <c r="M147" i="25"/>
  <c r="Q147" i="25" s="1"/>
  <c r="K267" i="25"/>
  <c r="M267" i="25"/>
  <c r="Q267" i="25" s="1"/>
  <c r="K298" i="25"/>
  <c r="K304" i="25"/>
  <c r="K275" i="25"/>
  <c r="M275" i="25"/>
  <c r="Q275" i="25" s="1"/>
  <c r="K225" i="25"/>
  <c r="M225" i="25"/>
  <c r="Q225" i="25" s="1"/>
  <c r="K31" i="25"/>
  <c r="K68" i="25"/>
  <c r="M68" i="25"/>
  <c r="Q68" i="25" s="1"/>
  <c r="K2" i="25"/>
  <c r="M2" i="25"/>
  <c r="K182" i="25"/>
  <c r="M182" i="25"/>
  <c r="Q182" i="25" s="1"/>
  <c r="K170" i="25"/>
  <c r="M170" i="25"/>
  <c r="Q170" i="25" s="1"/>
  <c r="K5" i="25"/>
  <c r="M5" i="25"/>
  <c r="Q5" i="25" s="1"/>
  <c r="K44" i="25"/>
  <c r="M44" i="25"/>
  <c r="Q44" i="25" s="1"/>
  <c r="K246" i="25"/>
  <c r="M246" i="25"/>
  <c r="Q246" i="25" s="1"/>
  <c r="K124" i="25"/>
  <c r="M124" i="25"/>
  <c r="Q124" i="25" s="1"/>
  <c r="K184" i="25"/>
  <c r="M184" i="25"/>
  <c r="Q184" i="25" s="1"/>
  <c r="K90" i="25"/>
  <c r="M90" i="25"/>
  <c r="Q90" i="25" s="1"/>
  <c r="K297" i="25"/>
  <c r="K153" i="25"/>
  <c r="M153" i="25"/>
  <c r="Q153" i="25" s="1"/>
  <c r="K4" i="25"/>
  <c r="M4" i="25"/>
  <c r="Q4" i="25" s="1"/>
  <c r="K45" i="25"/>
  <c r="M45" i="25"/>
  <c r="Q45" i="25" s="1"/>
  <c r="K214" i="25"/>
  <c r="M214" i="25"/>
  <c r="Q214" i="25" s="1"/>
  <c r="K269" i="25"/>
  <c r="M269" i="25"/>
  <c r="Q269" i="25" s="1"/>
  <c r="K133" i="25"/>
  <c r="M133" i="25"/>
  <c r="Q133" i="25" s="1"/>
  <c r="K179" i="25"/>
  <c r="M179" i="25"/>
  <c r="Q179" i="25" s="1"/>
  <c r="K70" i="25"/>
  <c r="M70" i="25"/>
  <c r="Q70" i="25" s="1"/>
  <c r="K96" i="25"/>
  <c r="M96" i="25"/>
  <c r="Q96" i="25" s="1"/>
  <c r="K183" i="25"/>
  <c r="M183" i="25"/>
  <c r="Q183" i="25" s="1"/>
  <c r="K216" i="25"/>
  <c r="M216" i="25"/>
  <c r="Q216" i="25" s="1"/>
  <c r="K296" i="25"/>
  <c r="K78" i="25"/>
  <c r="K16" i="25"/>
  <c r="M16" i="25"/>
  <c r="Q16" i="25" s="1"/>
  <c r="K82" i="25"/>
  <c r="M82" i="25"/>
  <c r="Q82" i="25" s="1"/>
  <c r="K203" i="25"/>
  <c r="M203" i="25"/>
  <c r="Q203" i="25" s="1"/>
  <c r="K3" i="25"/>
  <c r="K46" i="25"/>
  <c r="M46" i="25"/>
  <c r="Q46" i="25" s="1"/>
  <c r="K158" i="25"/>
  <c r="M158" i="25"/>
  <c r="K215" i="25"/>
  <c r="M215" i="25"/>
  <c r="Q215" i="25" s="1"/>
  <c r="K248" i="25"/>
  <c r="M248" i="25"/>
  <c r="Q248" i="25" s="1"/>
  <c r="K270" i="25"/>
  <c r="M270" i="25"/>
  <c r="Q270" i="25" s="1"/>
  <c r="K136" i="25"/>
  <c r="M136" i="25"/>
  <c r="Q136" i="25" s="1"/>
  <c r="K73" i="25"/>
  <c r="M73" i="25"/>
  <c r="Q73" i="25" s="1"/>
  <c r="K98" i="25"/>
  <c r="M98" i="25"/>
  <c r="Q98" i="25" s="1"/>
  <c r="K127" i="25"/>
  <c r="K52" i="25"/>
  <c r="M52" i="25"/>
  <c r="Q52" i="25" s="1"/>
  <c r="K295" i="25"/>
  <c r="K301" i="25"/>
  <c r="K57" i="25"/>
  <c r="M57" i="25"/>
  <c r="Q57" i="25" s="1"/>
  <c r="K217" i="25"/>
  <c r="M217" i="25"/>
  <c r="Q217" i="25" s="1"/>
  <c r="K166" i="25"/>
  <c r="M166" i="25"/>
  <c r="Q166" i="25" s="1"/>
  <c r="K71" i="25"/>
  <c r="M139" i="25"/>
  <c r="Q139" i="25" s="1"/>
  <c r="K15" i="25"/>
  <c r="M15" i="25"/>
  <c r="Q15" i="25" s="1"/>
  <c r="K47" i="25"/>
  <c r="M47" i="25"/>
  <c r="Q47" i="25" s="1"/>
  <c r="K111" i="25"/>
  <c r="M111" i="25"/>
  <c r="Q111" i="25" s="1"/>
  <c r="K159" i="25"/>
  <c r="M159" i="25"/>
  <c r="Q159" i="25" s="1"/>
  <c r="K219" i="25"/>
  <c r="M219" i="25"/>
  <c r="Q219" i="25" s="1"/>
  <c r="K271" i="25"/>
  <c r="M271" i="25"/>
  <c r="Q271" i="25" s="1"/>
  <c r="K128" i="25"/>
  <c r="M128" i="25"/>
  <c r="Q128" i="25" s="1"/>
  <c r="K243" i="25"/>
  <c r="M243" i="25"/>
  <c r="Q243" i="25" s="1"/>
  <c r="K294" i="25"/>
  <c r="K119" i="25"/>
  <c r="M119" i="25"/>
  <c r="K100" i="25"/>
  <c r="M100" i="25"/>
  <c r="Q100" i="25" s="1"/>
  <c r="K108" i="25"/>
  <c r="M108" i="25"/>
  <c r="Q108" i="25" s="1"/>
  <c r="K113" i="25"/>
  <c r="M113" i="25"/>
  <c r="Q113" i="25" s="1"/>
  <c r="K240" i="25"/>
  <c r="M240" i="25"/>
  <c r="Q240" i="25" s="1"/>
  <c r="K41" i="25"/>
  <c r="M41" i="25"/>
  <c r="K116" i="25"/>
  <c r="M116" i="25"/>
  <c r="Q116" i="25" s="1"/>
  <c r="K160" i="25"/>
  <c r="M160" i="25"/>
  <c r="Q160" i="25" s="1"/>
  <c r="K272" i="25"/>
  <c r="M272" i="25"/>
  <c r="Q272" i="25" s="1"/>
  <c r="K148" i="25"/>
  <c r="M148" i="25"/>
  <c r="Q148" i="25" s="1"/>
  <c r="K129" i="25"/>
  <c r="M129" i="25"/>
  <c r="Q129" i="25" s="1"/>
  <c r="M152" i="25"/>
  <c r="Q152" i="25" s="1"/>
  <c r="K278" i="25"/>
  <c r="K293" i="25"/>
  <c r="K59" i="25"/>
  <c r="M59" i="25"/>
  <c r="Q59" i="25" s="1"/>
  <c r="K39" i="25"/>
  <c r="M39" i="25"/>
  <c r="Q39" i="25" s="1"/>
  <c r="K180" i="25"/>
  <c r="M180" i="25"/>
  <c r="Q180" i="25" s="1"/>
  <c r="K258" i="25"/>
  <c r="K42" i="25"/>
  <c r="M42" i="25"/>
  <c r="Q42" i="25" s="1"/>
  <c r="K11" i="25"/>
  <c r="M11" i="25"/>
  <c r="Q11" i="25" s="1"/>
  <c r="K50" i="25"/>
  <c r="M50" i="25"/>
  <c r="Q50" i="25" s="1"/>
  <c r="K251" i="25"/>
  <c r="M251" i="25"/>
  <c r="Q251" i="25" s="1"/>
  <c r="K213" i="25"/>
  <c r="M213" i="25"/>
  <c r="Q213" i="25" s="1"/>
  <c r="K112" i="25"/>
  <c r="M112" i="25"/>
  <c r="Q112" i="25" s="1"/>
  <c r="K53" i="25"/>
  <c r="M53" i="25"/>
  <c r="Q53" i="25" s="1"/>
  <c r="K74" i="25"/>
  <c r="M74" i="25"/>
  <c r="Q74" i="25" s="1"/>
  <c r="K209" i="25"/>
  <c r="M209" i="25"/>
  <c r="Q209" i="25" s="1"/>
  <c r="K69" i="25"/>
  <c r="M69" i="25"/>
  <c r="Q69" i="25" s="1"/>
  <c r="K212" i="25"/>
  <c r="M212" i="25"/>
  <c r="Q212" i="25" s="1"/>
  <c r="K292" i="25"/>
  <c r="K162" i="25"/>
  <c r="M162" i="25"/>
  <c r="Q162" i="25" s="1"/>
  <c r="K77" i="25"/>
  <c r="M77" i="25"/>
  <c r="Q77" i="25" s="1"/>
  <c r="K211" i="25"/>
  <c r="M211" i="25"/>
  <c r="Q211" i="25" s="1"/>
  <c r="K8" i="25"/>
  <c r="M8" i="25"/>
  <c r="Q8" i="25" s="1"/>
  <c r="K121" i="25"/>
  <c r="M121" i="25"/>
  <c r="Q121" i="25" s="1"/>
  <c r="K38" i="25"/>
  <c r="M38" i="25"/>
  <c r="Q38" i="25" s="1"/>
  <c r="K233" i="25"/>
  <c r="M233" i="25"/>
  <c r="Q233" i="25" s="1"/>
  <c r="K186" i="25"/>
  <c r="M186" i="25"/>
  <c r="Q186" i="25" s="1"/>
  <c r="K110" i="25"/>
  <c r="M110" i="25"/>
  <c r="Q110" i="25" s="1"/>
  <c r="K242" i="25"/>
  <c r="M242" i="25"/>
  <c r="Q242" i="25" s="1"/>
  <c r="K13" i="25"/>
  <c r="M13" i="25"/>
  <c r="Q13" i="25" s="1"/>
  <c r="K83" i="25"/>
  <c r="M83" i="25"/>
  <c r="Q83" i="25" s="1"/>
  <c r="K33" i="25"/>
  <c r="M33" i="25"/>
  <c r="Q33" i="25" s="1"/>
  <c r="K10" i="25"/>
  <c r="M10" i="25"/>
  <c r="Q10" i="25" s="1"/>
  <c r="K252" i="25"/>
  <c r="M252" i="25"/>
  <c r="Q252" i="25" s="1"/>
  <c r="K274" i="25"/>
  <c r="M274" i="25"/>
  <c r="Q274" i="25" s="1"/>
  <c r="K48" i="25"/>
  <c r="M48" i="25"/>
  <c r="Q48" i="25" s="1"/>
  <c r="K25" i="25"/>
  <c r="M25" i="25"/>
  <c r="Q25" i="25" s="1"/>
  <c r="K102" i="25"/>
  <c r="M102" i="25"/>
  <c r="Q102" i="25" s="1"/>
  <c r="K210" i="25"/>
  <c r="M210" i="25"/>
  <c r="Q210" i="25" s="1"/>
  <c r="K291" i="25"/>
  <c r="K240" i="24"/>
  <c r="K19" i="24"/>
  <c r="K248" i="24"/>
  <c r="K228" i="24"/>
  <c r="K209" i="24"/>
  <c r="K188" i="24"/>
  <c r="K168" i="24"/>
  <c r="K127" i="24"/>
  <c r="K86" i="24"/>
  <c r="K65" i="24"/>
  <c r="K20" i="24"/>
  <c r="K306" i="24"/>
  <c r="K247" i="24"/>
  <c r="K227" i="24"/>
  <c r="K208" i="24"/>
  <c r="K146" i="24"/>
  <c r="K64" i="24"/>
  <c r="K287" i="24"/>
  <c r="K21" i="24"/>
  <c r="K5" i="24"/>
  <c r="K305" i="24"/>
  <c r="K285" i="24"/>
  <c r="K265" i="24"/>
  <c r="K246" i="24"/>
  <c r="K207" i="24"/>
  <c r="K186" i="24"/>
  <c r="K145" i="24"/>
  <c r="K84" i="24"/>
  <c r="K63" i="24"/>
  <c r="K67" i="24"/>
  <c r="K99" i="24"/>
  <c r="K148" i="24"/>
  <c r="K198" i="24"/>
  <c r="K286" i="24"/>
  <c r="K25" i="24"/>
  <c r="K281" i="24"/>
  <c r="K242" i="24"/>
  <c r="K223" i="24"/>
  <c r="K203" i="24"/>
  <c r="K182" i="24"/>
  <c r="K121" i="24"/>
  <c r="K80" i="24"/>
  <c r="M80" i="24"/>
  <c r="K59" i="24"/>
  <c r="K56" i="24"/>
  <c r="K92" i="24"/>
  <c r="K161" i="24"/>
  <c r="K238" i="24"/>
  <c r="K298" i="24"/>
  <c r="K47" i="24"/>
  <c r="K26" i="24"/>
  <c r="K300" i="24"/>
  <c r="K280" i="24"/>
  <c r="K241" i="24"/>
  <c r="K222" i="24"/>
  <c r="K202" i="24"/>
  <c r="K181" i="24"/>
  <c r="K140" i="24"/>
  <c r="K120" i="24"/>
  <c r="K78" i="24"/>
  <c r="K55" i="24"/>
  <c r="K88" i="24"/>
  <c r="K173" i="24"/>
  <c r="K252" i="24"/>
  <c r="K264" i="24"/>
  <c r="K83" i="24"/>
  <c r="K6" i="24"/>
  <c r="K7" i="24"/>
  <c r="K27" i="24"/>
  <c r="K45" i="24"/>
  <c r="K299" i="24"/>
  <c r="K259" i="24"/>
  <c r="K221" i="24"/>
  <c r="K201" i="24"/>
  <c r="K180" i="24"/>
  <c r="K160" i="24"/>
  <c r="K139" i="24"/>
  <c r="K98" i="24"/>
  <c r="K77" i="24"/>
  <c r="K57" i="24"/>
  <c r="K49" i="24"/>
  <c r="K87" i="24"/>
  <c r="K172" i="24"/>
  <c r="K251" i="24"/>
  <c r="K144" i="24"/>
  <c r="K3" i="24"/>
  <c r="K143" i="24"/>
  <c r="K243" i="24"/>
  <c r="K122" i="24"/>
  <c r="K28" i="24"/>
  <c r="K44" i="24"/>
  <c r="K278" i="24"/>
  <c r="K258" i="24"/>
  <c r="K220" i="24"/>
  <c r="K179" i="24"/>
  <c r="K159" i="24"/>
  <c r="K138" i="24"/>
  <c r="K76" i="24"/>
  <c r="K48" i="24"/>
  <c r="K85" i="24"/>
  <c r="K167" i="24"/>
  <c r="K250" i="24"/>
  <c r="K302" i="24"/>
  <c r="K29" i="24"/>
  <c r="K43" i="24"/>
  <c r="K297" i="24"/>
  <c r="K257" i="24"/>
  <c r="K219" i="24"/>
  <c r="K199" i="24"/>
  <c r="K158" i="24"/>
  <c r="M158" i="24"/>
  <c r="K137" i="24"/>
  <c r="K96" i="24"/>
  <c r="K75" i="24"/>
  <c r="K46" i="24"/>
  <c r="K119" i="24"/>
  <c r="K166" i="24"/>
  <c r="K249" i="24"/>
  <c r="K22" i="24"/>
  <c r="K30" i="24"/>
  <c r="K296" i="24"/>
  <c r="K276" i="24"/>
  <c r="K256" i="24"/>
  <c r="K218" i="24"/>
  <c r="K177" i="24"/>
  <c r="K115" i="24"/>
  <c r="K95" i="24"/>
  <c r="K74" i="24"/>
  <c r="K54" i="24"/>
  <c r="K82" i="24"/>
  <c r="K124" i="24"/>
  <c r="K187" i="24"/>
  <c r="K244" i="24"/>
  <c r="K225" i="24"/>
  <c r="K283" i="24"/>
  <c r="K4" i="24"/>
  <c r="K262" i="24"/>
  <c r="K9" i="24"/>
  <c r="K11" i="24"/>
  <c r="K31" i="24"/>
  <c r="K42" i="24"/>
  <c r="K295" i="24"/>
  <c r="K275" i="24"/>
  <c r="M275" i="24"/>
  <c r="K237" i="24"/>
  <c r="K217" i="24"/>
  <c r="K197" i="24"/>
  <c r="M197" i="24"/>
  <c r="K176" i="24"/>
  <c r="K135" i="24"/>
  <c r="K114" i="24"/>
  <c r="K53" i="24"/>
  <c r="K81" i="24"/>
  <c r="K131" i="24"/>
  <c r="K185" i="24"/>
  <c r="K261" i="24"/>
  <c r="K245" i="24"/>
  <c r="K23" i="24"/>
  <c r="K263" i="24"/>
  <c r="K164" i="24"/>
  <c r="K102" i="24"/>
  <c r="K12" i="24"/>
  <c r="K32" i="24"/>
  <c r="K294" i="24"/>
  <c r="K255" i="24"/>
  <c r="K236" i="24"/>
  <c r="M236" i="24"/>
  <c r="K216" i="24"/>
  <c r="K195" i="24"/>
  <c r="K175" i="24"/>
  <c r="K134" i="24"/>
  <c r="K113" i="24"/>
  <c r="K52" i="24"/>
  <c r="K117" i="24"/>
  <c r="K130" i="24"/>
  <c r="K183" i="24"/>
  <c r="K260" i="24"/>
  <c r="K304" i="24"/>
  <c r="K293" i="24"/>
  <c r="K254" i="24"/>
  <c r="K234" i="24"/>
  <c r="K215" i="24"/>
  <c r="K194" i="24"/>
  <c r="K174" i="24"/>
  <c r="K133" i="24"/>
  <c r="K71" i="24"/>
  <c r="K51" i="24"/>
  <c r="K116" i="24"/>
  <c r="K126" i="24"/>
  <c r="K178" i="24"/>
  <c r="K273" i="24"/>
  <c r="K2" i="24"/>
  <c r="M2" i="24"/>
  <c r="K62" i="24"/>
  <c r="K307" i="24"/>
  <c r="K24" i="24"/>
  <c r="K14" i="24"/>
  <c r="K34" i="24"/>
  <c r="K292" i="24"/>
  <c r="K253" i="24"/>
  <c r="K233" i="24"/>
  <c r="K214" i="24"/>
  <c r="K193" i="24"/>
  <c r="K152" i="24"/>
  <c r="K132" i="24"/>
  <c r="K91" i="24"/>
  <c r="K50" i="24"/>
  <c r="K112" i="24"/>
  <c r="K125" i="24"/>
  <c r="K192" i="24"/>
  <c r="K272" i="24"/>
  <c r="K13" i="24"/>
  <c r="K15" i="24"/>
  <c r="K35" i="24"/>
  <c r="K311" i="24"/>
  <c r="K271" i="24"/>
  <c r="K232" i="24"/>
  <c r="K213" i="24"/>
  <c r="K151" i="24"/>
  <c r="K110" i="24"/>
  <c r="K90" i="24"/>
  <c r="K69" i="24"/>
  <c r="K111" i="24"/>
  <c r="K136" i="24"/>
  <c r="K191" i="24"/>
  <c r="K267" i="24"/>
  <c r="K284" i="24"/>
  <c r="K303" i="24"/>
  <c r="K123" i="24"/>
  <c r="K282" i="24"/>
  <c r="K204" i="24"/>
  <c r="K163" i="24"/>
  <c r="K10" i="24"/>
  <c r="K16" i="24"/>
  <c r="K36" i="24"/>
  <c r="K310" i="24"/>
  <c r="K290" i="24"/>
  <c r="K270" i="24"/>
  <c r="K212" i="24"/>
  <c r="K171" i="24"/>
  <c r="K150" i="24"/>
  <c r="K89" i="24"/>
  <c r="K41" i="24"/>
  <c r="K109" i="24"/>
  <c r="K147" i="24"/>
  <c r="K190" i="24"/>
  <c r="K266" i="24"/>
  <c r="K103" i="24"/>
  <c r="K224" i="24"/>
  <c r="K101" i="24"/>
  <c r="K33" i="24"/>
  <c r="K17" i="24"/>
  <c r="K37" i="24"/>
  <c r="K309" i="24"/>
  <c r="K289" i="24"/>
  <c r="K269" i="24"/>
  <c r="K230" i="24"/>
  <c r="K211" i="24"/>
  <c r="K170" i="24"/>
  <c r="K149" i="24"/>
  <c r="K129" i="24"/>
  <c r="K108" i="24"/>
  <c r="K73" i="24"/>
  <c r="K106" i="24"/>
  <c r="K142" i="24"/>
  <c r="K210" i="24"/>
  <c r="K279" i="24"/>
  <c r="K165" i="24"/>
  <c r="K184" i="24"/>
  <c r="K312" i="24"/>
  <c r="K18" i="24"/>
  <c r="K38" i="24"/>
  <c r="K288" i="24"/>
  <c r="K268" i="24"/>
  <c r="K229" i="24"/>
  <c r="K189" i="24"/>
  <c r="K169" i="24"/>
  <c r="K128" i="24"/>
  <c r="K107" i="24"/>
  <c r="K66" i="24"/>
  <c r="K72" i="24"/>
  <c r="K105" i="24"/>
  <c r="K141" i="24"/>
  <c r="K206" i="24"/>
  <c r="K277" i="24"/>
  <c r="K283" i="23"/>
  <c r="M283" i="23"/>
  <c r="K205" i="23"/>
  <c r="M205" i="23"/>
  <c r="K185" i="23"/>
  <c r="M185" i="23"/>
  <c r="K125" i="23"/>
  <c r="M125" i="23"/>
  <c r="K45" i="23"/>
  <c r="M45" i="23"/>
  <c r="K305" i="23"/>
  <c r="M305" i="23"/>
  <c r="K244" i="23"/>
  <c r="M244" i="23"/>
  <c r="K184" i="23"/>
  <c r="M184" i="23"/>
  <c r="K64" i="23"/>
  <c r="M64" i="23"/>
  <c r="K4" i="23"/>
  <c r="M4" i="23"/>
  <c r="K145" i="23"/>
  <c r="M145" i="23"/>
  <c r="K65" i="23"/>
  <c r="M65" i="23"/>
  <c r="K5" i="23"/>
  <c r="M5" i="23"/>
  <c r="K63" i="23"/>
  <c r="M63" i="23"/>
  <c r="K81" i="23"/>
  <c r="M81" i="23"/>
  <c r="K221" i="23"/>
  <c r="M221" i="23"/>
  <c r="K58" i="23"/>
  <c r="M58" i="23"/>
  <c r="K82" i="23"/>
  <c r="M82" i="23"/>
  <c r="K78" i="23"/>
  <c r="M78" i="23"/>
  <c r="K117" i="23"/>
  <c r="M117" i="23"/>
  <c r="K77" i="23"/>
  <c r="M77" i="23"/>
  <c r="K197" i="23"/>
  <c r="M197" i="23"/>
  <c r="K142" i="23"/>
  <c r="M142" i="23"/>
  <c r="K22" i="23"/>
  <c r="M22" i="23"/>
  <c r="K97" i="23"/>
  <c r="M97" i="23"/>
  <c r="K259" i="23"/>
  <c r="M259" i="23"/>
  <c r="K137" i="23"/>
  <c r="M137" i="23"/>
  <c r="K263" i="23"/>
  <c r="M263" i="23"/>
  <c r="K266" i="23"/>
  <c r="M266" i="23"/>
  <c r="K85" i="23"/>
  <c r="M85" i="23"/>
  <c r="K23" i="23"/>
  <c r="M23" i="23"/>
  <c r="K89" i="23"/>
  <c r="M89" i="23"/>
  <c r="K152" i="23"/>
  <c r="M152" i="23"/>
  <c r="K211" i="23"/>
  <c r="M211" i="23"/>
  <c r="K265" i="23"/>
  <c r="M265" i="23"/>
  <c r="K285" i="23"/>
  <c r="M285" i="23"/>
  <c r="K224" i="23"/>
  <c r="M224" i="23"/>
  <c r="K204" i="23"/>
  <c r="M204" i="23"/>
  <c r="K164" i="23"/>
  <c r="M164" i="23"/>
  <c r="K144" i="23"/>
  <c r="M144" i="23"/>
  <c r="K124" i="23"/>
  <c r="M124" i="23"/>
  <c r="K104" i="23"/>
  <c r="M104" i="23"/>
  <c r="K84" i="23"/>
  <c r="M84" i="23"/>
  <c r="K44" i="23"/>
  <c r="M44" i="23"/>
  <c r="K160" i="23"/>
  <c r="M160" i="23"/>
  <c r="K212" i="23"/>
  <c r="M212" i="23"/>
  <c r="K268" i="23"/>
  <c r="M268" i="23"/>
  <c r="K264" i="23"/>
  <c r="M264" i="23"/>
  <c r="K243" i="23"/>
  <c r="M243" i="23"/>
  <c r="K203" i="23"/>
  <c r="M203" i="23"/>
  <c r="K183" i="23"/>
  <c r="M183" i="23"/>
  <c r="K143" i="23"/>
  <c r="M143" i="23"/>
  <c r="K123" i="23"/>
  <c r="M123" i="23"/>
  <c r="K83" i="23"/>
  <c r="M83" i="23"/>
  <c r="K3" i="23"/>
  <c r="M3" i="23"/>
  <c r="K306" i="23"/>
  <c r="M306" i="23"/>
  <c r="K21" i="23"/>
  <c r="M21" i="23"/>
  <c r="K165" i="23"/>
  <c r="M165" i="23"/>
  <c r="K100" i="23"/>
  <c r="M100" i="23"/>
  <c r="K162" i="23"/>
  <c r="M162" i="23"/>
  <c r="K42" i="23"/>
  <c r="M42" i="23"/>
  <c r="K163" i="23"/>
  <c r="M163" i="23"/>
  <c r="K271" i="23"/>
  <c r="M271" i="23"/>
  <c r="K282" i="23"/>
  <c r="M282" i="23"/>
  <c r="K241" i="23"/>
  <c r="M241" i="23"/>
  <c r="K181" i="23"/>
  <c r="M181" i="23"/>
  <c r="K121" i="23"/>
  <c r="M121" i="23"/>
  <c r="K61" i="23"/>
  <c r="M61" i="23"/>
  <c r="K46" i="23"/>
  <c r="M46" i="23"/>
  <c r="K106" i="23"/>
  <c r="M106" i="23"/>
  <c r="K172" i="23"/>
  <c r="M172" i="23"/>
  <c r="K272" i="23"/>
  <c r="M272" i="23"/>
  <c r="K261" i="23"/>
  <c r="M261" i="23"/>
  <c r="K240" i="23"/>
  <c r="M240" i="23"/>
  <c r="K180" i="23"/>
  <c r="M180" i="23"/>
  <c r="K140" i="23"/>
  <c r="M140" i="23"/>
  <c r="K120" i="23"/>
  <c r="M120" i="23"/>
  <c r="K80" i="23"/>
  <c r="M80" i="23"/>
  <c r="K20" i="23"/>
  <c r="M20" i="23"/>
  <c r="K308" i="23"/>
  <c r="M308" i="23"/>
  <c r="K269" i="23"/>
  <c r="M269" i="23"/>
  <c r="K202" i="23"/>
  <c r="M202" i="23"/>
  <c r="K62" i="23"/>
  <c r="M62" i="23"/>
  <c r="K103" i="23"/>
  <c r="M103" i="23"/>
  <c r="K220" i="23"/>
  <c r="M220" i="23"/>
  <c r="K302" i="23"/>
  <c r="M302" i="23"/>
  <c r="K262" i="23"/>
  <c r="M262" i="23"/>
  <c r="K201" i="23"/>
  <c r="M201" i="23"/>
  <c r="K141" i="23"/>
  <c r="M141" i="23"/>
  <c r="K101" i="23"/>
  <c r="M101" i="23"/>
  <c r="K41" i="23"/>
  <c r="M41" i="23"/>
  <c r="K52" i="23"/>
  <c r="M52" i="23"/>
  <c r="K107" i="23"/>
  <c r="M107" i="23"/>
  <c r="K173" i="23"/>
  <c r="M173" i="23"/>
  <c r="K223" i="23"/>
  <c r="M223" i="23"/>
  <c r="K280" i="23"/>
  <c r="M280" i="23"/>
  <c r="K300" i="23"/>
  <c r="M300" i="23"/>
  <c r="K239" i="23"/>
  <c r="M239" i="23"/>
  <c r="K219" i="23"/>
  <c r="M219" i="23"/>
  <c r="K179" i="23"/>
  <c r="M179" i="23"/>
  <c r="K159" i="23"/>
  <c r="M159" i="23"/>
  <c r="K139" i="23"/>
  <c r="M139" i="23"/>
  <c r="K119" i="23"/>
  <c r="M119" i="23"/>
  <c r="K59" i="23"/>
  <c r="M59" i="23"/>
  <c r="K39" i="23"/>
  <c r="M39" i="23"/>
  <c r="K158" i="23"/>
  <c r="M158" i="23"/>
  <c r="K177" i="23"/>
  <c r="M177" i="23"/>
  <c r="K88" i="23"/>
  <c r="M88" i="23"/>
  <c r="K242" i="23"/>
  <c r="M242" i="23"/>
  <c r="K281" i="23"/>
  <c r="M281" i="23"/>
  <c r="K98" i="23"/>
  <c r="M98" i="23"/>
  <c r="K298" i="23"/>
  <c r="M298" i="23"/>
  <c r="K17" i="23"/>
  <c r="M17" i="23"/>
  <c r="K19" i="23"/>
  <c r="M19" i="23"/>
  <c r="K233" i="23"/>
  <c r="M233" i="23"/>
  <c r="K284" i="23"/>
  <c r="M284" i="23"/>
  <c r="K297" i="23"/>
  <c r="M297" i="23"/>
  <c r="K277" i="23"/>
  <c r="M277" i="23"/>
  <c r="K236" i="23"/>
  <c r="M236" i="23"/>
  <c r="K216" i="23"/>
  <c r="M216" i="23"/>
  <c r="K96" i="23"/>
  <c r="M96" i="23"/>
  <c r="K56" i="23"/>
  <c r="M56" i="23"/>
  <c r="K36" i="23"/>
  <c r="M36" i="23"/>
  <c r="K222" i="23"/>
  <c r="M222" i="23"/>
  <c r="K175" i="23"/>
  <c r="M175" i="23"/>
  <c r="K138" i="23"/>
  <c r="M138" i="23"/>
  <c r="K232" i="23"/>
  <c r="M232" i="23"/>
  <c r="K157" i="23"/>
  <c r="M157" i="23"/>
  <c r="K37" i="23"/>
  <c r="M37" i="23"/>
  <c r="K16" i="23"/>
  <c r="M16" i="23"/>
  <c r="K60" i="23"/>
  <c r="M60" i="23"/>
  <c r="K235" i="23"/>
  <c r="M235" i="23"/>
  <c r="K288" i="23"/>
  <c r="M288" i="23"/>
  <c r="K276" i="23"/>
  <c r="M276" i="23"/>
  <c r="K155" i="23"/>
  <c r="M155" i="23"/>
  <c r="K135" i="23"/>
  <c r="M135" i="23"/>
  <c r="K115" i="23"/>
  <c r="M115" i="23"/>
  <c r="K95" i="23"/>
  <c r="M95" i="23"/>
  <c r="K75" i="23"/>
  <c r="M75" i="23"/>
  <c r="K35" i="23"/>
  <c r="M35" i="23"/>
  <c r="K15" i="23"/>
  <c r="M15" i="23"/>
  <c r="K215" i="23"/>
  <c r="M215" i="23"/>
  <c r="K229" i="23"/>
  <c r="M229" i="23"/>
  <c r="K18" i="23"/>
  <c r="M18" i="23"/>
  <c r="K10" i="23"/>
  <c r="M10" i="23"/>
  <c r="K187" i="23"/>
  <c r="M187" i="23"/>
  <c r="K289" i="23"/>
  <c r="M289" i="23"/>
  <c r="K275" i="23"/>
  <c r="M275" i="23"/>
  <c r="K255" i="23"/>
  <c r="M255" i="23"/>
  <c r="K214" i="23"/>
  <c r="M214" i="23"/>
  <c r="K194" i="23"/>
  <c r="M194" i="23"/>
  <c r="K174" i="23"/>
  <c r="M174" i="23"/>
  <c r="K154" i="23"/>
  <c r="M154" i="23"/>
  <c r="K134" i="23"/>
  <c r="M134" i="23"/>
  <c r="K114" i="23"/>
  <c r="M114" i="23"/>
  <c r="K94" i="23"/>
  <c r="M94" i="23"/>
  <c r="K74" i="23"/>
  <c r="M74" i="23"/>
  <c r="K54" i="23"/>
  <c r="M54" i="23"/>
  <c r="K14" i="23"/>
  <c r="M14" i="23"/>
  <c r="K24" i="23"/>
  <c r="M24" i="23"/>
  <c r="K25" i="23"/>
  <c r="M25" i="23"/>
  <c r="K161" i="23"/>
  <c r="M161" i="23"/>
  <c r="K303" i="23"/>
  <c r="M303" i="23"/>
  <c r="K112" i="23"/>
  <c r="M112" i="23"/>
  <c r="K218" i="23"/>
  <c r="M218" i="23"/>
  <c r="K2" i="23"/>
  <c r="M2" i="23"/>
  <c r="K278" i="23"/>
  <c r="M278" i="23"/>
  <c r="K57" i="23"/>
  <c r="M57" i="23"/>
  <c r="K127" i="23"/>
  <c r="M127" i="23"/>
  <c r="K188" i="23"/>
  <c r="M188" i="23"/>
  <c r="K245" i="23"/>
  <c r="M245" i="23"/>
  <c r="K292" i="23"/>
  <c r="M292" i="23"/>
  <c r="K294" i="23"/>
  <c r="M294" i="23"/>
  <c r="K274" i="23"/>
  <c r="M274" i="23"/>
  <c r="K254" i="23"/>
  <c r="M254" i="23"/>
  <c r="K213" i="23"/>
  <c r="M213" i="23"/>
  <c r="K193" i="23"/>
  <c r="M193" i="23"/>
  <c r="K153" i="23"/>
  <c r="M153" i="23"/>
  <c r="K133" i="23"/>
  <c r="M133" i="23"/>
  <c r="K113" i="23"/>
  <c r="M113" i="23"/>
  <c r="K93" i="23"/>
  <c r="M93" i="23"/>
  <c r="K73" i="23"/>
  <c r="M73" i="23"/>
  <c r="K33" i="23"/>
  <c r="M33" i="23"/>
  <c r="K13" i="23"/>
  <c r="M13" i="23"/>
  <c r="K225" i="23"/>
  <c r="M225" i="23"/>
  <c r="K122" i="23"/>
  <c r="M122" i="23"/>
  <c r="K279" i="23"/>
  <c r="M279" i="23"/>
  <c r="K198" i="23"/>
  <c r="M198" i="23"/>
  <c r="K176" i="23"/>
  <c r="M176" i="23"/>
  <c r="K237" i="23"/>
  <c r="M237" i="23"/>
  <c r="K67" i="23"/>
  <c r="M67" i="23"/>
  <c r="K131" i="23"/>
  <c r="M131" i="23"/>
  <c r="K192" i="23"/>
  <c r="M192" i="23"/>
  <c r="K247" i="23"/>
  <c r="M247" i="23"/>
  <c r="K293" i="23"/>
  <c r="M293" i="23"/>
  <c r="K99" i="23"/>
  <c r="M99" i="23"/>
  <c r="K132" i="23"/>
  <c r="M132" i="23"/>
  <c r="K92" i="23"/>
  <c r="M92" i="23"/>
  <c r="K72" i="23"/>
  <c r="M72" i="23"/>
  <c r="K32" i="23"/>
  <c r="M32" i="23"/>
  <c r="K12" i="23"/>
  <c r="M12" i="23"/>
  <c r="K105" i="23"/>
  <c r="M105" i="23"/>
  <c r="K182" i="23"/>
  <c r="M182" i="23"/>
  <c r="K38" i="23"/>
  <c r="M38" i="23"/>
  <c r="K116" i="23"/>
  <c r="M116" i="23"/>
  <c r="K217" i="23"/>
  <c r="M217" i="23"/>
  <c r="K76" i="23"/>
  <c r="M76" i="23"/>
  <c r="K136" i="23"/>
  <c r="M136" i="23"/>
  <c r="K196" i="23"/>
  <c r="M196" i="23"/>
  <c r="K248" i="23"/>
  <c r="M248" i="23"/>
  <c r="K295" i="23"/>
  <c r="M295" i="23"/>
  <c r="K252" i="23"/>
  <c r="M252" i="23"/>
  <c r="K231" i="23"/>
  <c r="M231" i="23"/>
  <c r="K191" i="23"/>
  <c r="M191" i="23"/>
  <c r="K171" i="23"/>
  <c r="M171" i="23"/>
  <c r="K111" i="23"/>
  <c r="M111" i="23"/>
  <c r="K91" i="23"/>
  <c r="M91" i="23"/>
  <c r="K71" i="23"/>
  <c r="M71" i="23"/>
  <c r="K51" i="23"/>
  <c r="M51" i="23"/>
  <c r="K11" i="23"/>
  <c r="M11" i="23"/>
  <c r="K7" i="23"/>
  <c r="M7" i="23"/>
  <c r="K253" i="23"/>
  <c r="M253" i="23"/>
  <c r="K296" i="23"/>
  <c r="M296" i="23"/>
  <c r="K291" i="23"/>
  <c r="M291" i="23"/>
  <c r="K251" i="23"/>
  <c r="M251" i="23"/>
  <c r="K230" i="23"/>
  <c r="M230" i="23"/>
  <c r="K210" i="23"/>
  <c r="M210" i="23"/>
  <c r="K190" i="23"/>
  <c r="M190" i="23"/>
  <c r="K170" i="23"/>
  <c r="M170" i="23"/>
  <c r="K150" i="23"/>
  <c r="M150" i="23"/>
  <c r="K130" i="23"/>
  <c r="M130" i="23"/>
  <c r="K110" i="23"/>
  <c r="M110" i="23"/>
  <c r="K90" i="23"/>
  <c r="M90" i="23"/>
  <c r="K70" i="23"/>
  <c r="M70" i="23"/>
  <c r="K50" i="23"/>
  <c r="M50" i="23"/>
  <c r="K30" i="23"/>
  <c r="M30" i="23"/>
  <c r="K151" i="23"/>
  <c r="M151" i="23"/>
  <c r="K246" i="23"/>
  <c r="M246" i="23"/>
  <c r="K102" i="23"/>
  <c r="M102" i="23"/>
  <c r="K299" i="23"/>
  <c r="M299" i="23"/>
  <c r="K178" i="23"/>
  <c r="M178" i="23"/>
  <c r="K55" i="23"/>
  <c r="M55" i="23"/>
  <c r="K258" i="23"/>
  <c r="M258" i="23"/>
  <c r="K34" i="23"/>
  <c r="M34" i="23"/>
  <c r="K199" i="23"/>
  <c r="M199" i="23"/>
  <c r="K256" i="23"/>
  <c r="M256" i="23"/>
  <c r="K301" i="23"/>
  <c r="M301" i="23"/>
  <c r="K310" i="23"/>
  <c r="M310" i="23"/>
  <c r="K290" i="23"/>
  <c r="M290" i="23"/>
  <c r="K270" i="23"/>
  <c r="M270" i="23"/>
  <c r="K250" i="23"/>
  <c r="M250" i="23"/>
  <c r="K189" i="23"/>
  <c r="M189" i="23"/>
  <c r="K169" i="23"/>
  <c r="M169" i="23"/>
  <c r="K129" i="23"/>
  <c r="M129" i="23"/>
  <c r="K109" i="23"/>
  <c r="M109" i="23"/>
  <c r="K69" i="23"/>
  <c r="M69" i="23"/>
  <c r="K49" i="23"/>
  <c r="M49" i="23"/>
  <c r="K9" i="23"/>
  <c r="M9" i="23"/>
  <c r="K309" i="23"/>
  <c r="M309" i="23"/>
  <c r="K249" i="23"/>
  <c r="M249" i="23"/>
  <c r="K228" i="23"/>
  <c r="M228" i="23"/>
  <c r="K168" i="23"/>
  <c r="M168" i="23"/>
  <c r="K128" i="23"/>
  <c r="M128" i="23"/>
  <c r="K108" i="23"/>
  <c r="M108" i="23"/>
  <c r="K68" i="23"/>
  <c r="M68" i="23"/>
  <c r="K48" i="23"/>
  <c r="M48" i="23"/>
  <c r="K8" i="23"/>
  <c r="M8" i="23"/>
  <c r="K53" i="23"/>
  <c r="M53" i="23"/>
  <c r="K31" i="23"/>
  <c r="M31" i="23"/>
  <c r="K257" i="23"/>
  <c r="M257" i="23"/>
  <c r="K29" i="23"/>
  <c r="M29" i="23"/>
  <c r="K148" i="23"/>
  <c r="M148" i="23"/>
  <c r="K227" i="23"/>
  <c r="M227" i="23"/>
  <c r="K207" i="23"/>
  <c r="M207" i="23"/>
  <c r="K167" i="23"/>
  <c r="M167" i="23"/>
  <c r="K147" i="23"/>
  <c r="M147" i="23"/>
  <c r="K87" i="23"/>
  <c r="M87" i="23"/>
  <c r="K47" i="23"/>
  <c r="M47" i="23"/>
  <c r="K27" i="23"/>
  <c r="M27" i="23"/>
  <c r="K209" i="23"/>
  <c r="M209" i="23"/>
  <c r="K286" i="23"/>
  <c r="M286" i="23"/>
  <c r="K43" i="23"/>
  <c r="M43" i="23"/>
  <c r="K238" i="23"/>
  <c r="M238" i="23"/>
  <c r="K200" i="23"/>
  <c r="M200" i="23"/>
  <c r="K304" i="23"/>
  <c r="M304" i="23"/>
  <c r="K28" i="23"/>
  <c r="M28" i="23"/>
  <c r="K149" i="23"/>
  <c r="M149" i="23"/>
  <c r="K208" i="23"/>
  <c r="M208" i="23"/>
  <c r="K260" i="23"/>
  <c r="M260" i="23"/>
  <c r="K307" i="23"/>
  <c r="M307" i="23"/>
  <c r="K287" i="23"/>
  <c r="M287" i="23"/>
  <c r="K267" i="23"/>
  <c r="M267" i="23"/>
  <c r="K226" i="23"/>
  <c r="M226" i="23"/>
  <c r="K206" i="23"/>
  <c r="M206" i="23"/>
  <c r="K186" i="23"/>
  <c r="M186" i="23"/>
  <c r="K166" i="23"/>
  <c r="M166" i="23"/>
  <c r="K146" i="23"/>
  <c r="M146" i="23"/>
  <c r="K126" i="23"/>
  <c r="M126" i="23"/>
  <c r="K86" i="23"/>
  <c r="M86" i="23"/>
  <c r="K66" i="23"/>
  <c r="M66" i="23"/>
  <c r="K26" i="23"/>
  <c r="M26" i="23"/>
  <c r="K6" i="23"/>
  <c r="M6" i="23"/>
  <c r="M145" i="25" l="1"/>
  <c r="Q145" i="25" s="1"/>
  <c r="K313" i="25"/>
  <c r="M144" i="25"/>
  <c r="Q144" i="25" s="1"/>
  <c r="M63" i="25"/>
  <c r="Q63" i="25" s="1"/>
  <c r="M62" i="25"/>
  <c r="Q62" i="25" s="1"/>
  <c r="M231" i="25"/>
  <c r="Q231" i="25" s="1"/>
  <c r="M106" i="25"/>
  <c r="Q106" i="25" s="1"/>
  <c r="M273" i="25"/>
  <c r="Q273" i="25" s="1"/>
  <c r="K232" i="25"/>
  <c r="K196" i="25"/>
  <c r="M75" i="25"/>
  <c r="Q75" i="25" s="1"/>
  <c r="M197" i="25"/>
  <c r="Q197" i="25" s="1"/>
  <c r="K254" i="25"/>
  <c r="M262" i="25"/>
  <c r="Q262" i="25" s="1"/>
  <c r="K284" i="25"/>
  <c r="M265" i="25"/>
  <c r="Q265" i="25" s="1"/>
  <c r="M259" i="25"/>
  <c r="Q259" i="25" s="1"/>
  <c r="K303" i="25"/>
  <c r="M207" i="25"/>
  <c r="Q207" i="25" s="1"/>
  <c r="M51" i="25"/>
  <c r="Q51" i="25" s="1"/>
  <c r="M268" i="25"/>
  <c r="Q268" i="25" s="1"/>
  <c r="M206" i="25"/>
  <c r="Q206" i="25" s="1"/>
  <c r="M29" i="25"/>
  <c r="Q29" i="25" s="1"/>
  <c r="M87" i="25"/>
  <c r="Q87" i="25" s="1"/>
  <c r="M235" i="25"/>
  <c r="Q235" i="25" s="1"/>
  <c r="M175" i="25"/>
  <c r="Q175" i="25" s="1"/>
  <c r="M95" i="25"/>
  <c r="Q95" i="25" s="1"/>
  <c r="K288" i="25"/>
  <c r="M26" i="25"/>
  <c r="Q26" i="25" s="1"/>
  <c r="M65" i="25"/>
  <c r="Q65" i="25" s="1"/>
  <c r="M86" i="25"/>
  <c r="Q86" i="25" s="1"/>
  <c r="M190" i="25"/>
  <c r="Q190" i="25" s="1"/>
  <c r="K101" i="25"/>
  <c r="K208" i="25"/>
  <c r="M107" i="25"/>
  <c r="Q107" i="25" s="1"/>
  <c r="K224" i="25"/>
  <c r="M117" i="25"/>
  <c r="Q117" i="25" s="1"/>
  <c r="M49" i="25"/>
  <c r="Q49" i="25" s="1"/>
  <c r="M115" i="25"/>
  <c r="Q115" i="25" s="1"/>
  <c r="M23" i="25"/>
  <c r="Q23" i="25" s="1"/>
  <c r="M205" i="25"/>
  <c r="Q205" i="25" s="1"/>
  <c r="M237" i="25"/>
  <c r="Q237" i="25" s="1"/>
  <c r="M34" i="25"/>
  <c r="Q34" i="25" s="1"/>
  <c r="M189" i="25"/>
  <c r="Q189" i="25" s="1"/>
  <c r="M191" i="25"/>
  <c r="Q191" i="25" s="1"/>
  <c r="M27" i="25"/>
  <c r="Q27" i="25" s="1"/>
  <c r="K300" i="25"/>
  <c r="M247" i="25"/>
  <c r="Q247" i="25" s="1"/>
  <c r="M245" i="25"/>
  <c r="Q245" i="25" s="1"/>
  <c r="M193" i="25"/>
  <c r="Q193" i="25" s="1"/>
  <c r="M195" i="25"/>
  <c r="Q195" i="25" s="1"/>
  <c r="K310" i="25"/>
  <c r="M204" i="25"/>
  <c r="Q204" i="25" s="1"/>
  <c r="M89" i="25"/>
  <c r="Q89" i="25" s="1"/>
  <c r="R280" i="27"/>
  <c r="R281" i="27" s="1"/>
  <c r="R282" i="27" s="1"/>
  <c r="R283" i="27" s="1"/>
  <c r="R284" i="27" s="1"/>
  <c r="R285" i="27" s="1"/>
  <c r="R286" i="27" s="1"/>
  <c r="R287" i="27" s="1"/>
  <c r="R288" i="27" s="1"/>
  <c r="R289" i="27" s="1"/>
  <c r="R290" i="27" s="1"/>
  <c r="R291" i="27" s="1"/>
  <c r="R292" i="27" s="1"/>
  <c r="R293" i="27" s="1"/>
  <c r="R294" i="27" s="1"/>
  <c r="R295" i="27" s="1"/>
  <c r="R296" i="27" s="1"/>
  <c r="R297" i="27" s="1"/>
  <c r="R298" i="27" s="1"/>
  <c r="R299" i="27" s="1"/>
  <c r="R300" i="27" s="1"/>
  <c r="R301" i="27" s="1"/>
  <c r="R302" i="27" s="1"/>
  <c r="R303" i="27" s="1"/>
  <c r="R304" i="27" s="1"/>
  <c r="R305" i="27" s="1"/>
  <c r="R306" i="27" s="1"/>
  <c r="R307" i="27" s="1"/>
  <c r="R211" i="28"/>
  <c r="R212" i="28" s="1"/>
  <c r="R213" i="28" s="1"/>
  <c r="R214" i="28" s="1"/>
  <c r="R215" i="28" s="1"/>
  <c r="R216" i="28" s="1"/>
  <c r="R217" i="28" s="1"/>
  <c r="R218" i="28" s="1"/>
  <c r="R219" i="28" s="1"/>
  <c r="R220" i="28" s="1"/>
  <c r="R221" i="28" s="1"/>
  <c r="R222" i="28" s="1"/>
  <c r="R223" i="28" s="1"/>
  <c r="R224" i="28" s="1"/>
  <c r="R225" i="28" s="1"/>
  <c r="R226" i="28" s="1"/>
  <c r="R227" i="28" s="1"/>
  <c r="R228" i="28" s="1"/>
  <c r="R229" i="28" s="1"/>
  <c r="R230" i="28" s="1"/>
  <c r="R231" i="28" s="1"/>
  <c r="R232" i="28" s="1"/>
  <c r="R233" i="28" s="1"/>
  <c r="R234" i="28" s="1"/>
  <c r="R235" i="28" s="1"/>
  <c r="R236" i="28" s="1"/>
  <c r="R237" i="28" s="1"/>
  <c r="R238" i="28" s="1"/>
  <c r="R239" i="28" s="1"/>
  <c r="R240" i="28" s="1"/>
  <c r="R241" i="28" s="1"/>
  <c r="R242" i="28" s="1"/>
  <c r="R243" i="28" s="1"/>
  <c r="R244" i="28" s="1"/>
  <c r="R245" i="28" s="1"/>
  <c r="R246" i="28" s="1"/>
  <c r="R4" i="28"/>
  <c r="R5" i="28" s="1"/>
  <c r="R6" i="28" s="1"/>
  <c r="R7" i="28" s="1"/>
  <c r="R8" i="28" s="1"/>
  <c r="R9" i="28" s="1"/>
  <c r="R10" i="28" s="1"/>
  <c r="R11" i="28" s="1"/>
  <c r="R12" i="28" s="1"/>
  <c r="R13" i="28" s="1"/>
  <c r="R14" i="28" s="1"/>
  <c r="R15" i="28" s="1"/>
  <c r="R16" i="28" s="1"/>
  <c r="R17" i="28" s="1"/>
  <c r="R18" i="28" s="1"/>
  <c r="R19" i="28" s="1"/>
  <c r="R20" i="28" s="1"/>
  <c r="R21" i="28" s="1"/>
  <c r="R22" i="28" s="1"/>
  <c r="R23" i="28" s="1"/>
  <c r="R24" i="28" s="1"/>
  <c r="R25" i="28" s="1"/>
  <c r="R26" i="28" s="1"/>
  <c r="R27" i="28" s="1"/>
  <c r="R28" i="28" s="1"/>
  <c r="R29" i="28" s="1"/>
  <c r="R30" i="28" s="1"/>
  <c r="R31" i="28" s="1"/>
  <c r="R32" i="28" s="1"/>
  <c r="R33" i="28" s="1"/>
  <c r="R34" i="28" s="1"/>
  <c r="R35" i="28" s="1"/>
  <c r="R36" i="28" s="1"/>
  <c r="R37" i="28" s="1"/>
  <c r="R38" i="28" s="1"/>
  <c r="R39" i="28" s="1"/>
  <c r="R40" i="28" s="1"/>
  <c r="R41" i="28" s="1"/>
  <c r="R42" i="28" s="1"/>
  <c r="R250" i="28"/>
  <c r="R251" i="28" s="1"/>
  <c r="R252" i="28" s="1"/>
  <c r="R253" i="28" s="1"/>
  <c r="R254" i="28" s="1"/>
  <c r="R255" i="28" s="1"/>
  <c r="R256" i="28" s="1"/>
  <c r="R257" i="28" s="1"/>
  <c r="R258" i="28" s="1"/>
  <c r="R259" i="28" s="1"/>
  <c r="R260" i="28" s="1"/>
  <c r="R261" i="28" s="1"/>
  <c r="R262" i="28" s="1"/>
  <c r="R263" i="28" s="1"/>
  <c r="R264" i="28" s="1"/>
  <c r="R265" i="28" s="1"/>
  <c r="R266" i="28" s="1"/>
  <c r="R267" i="28" s="1"/>
  <c r="R268" i="28" s="1"/>
  <c r="R269" i="28" s="1"/>
  <c r="R270" i="28" s="1"/>
  <c r="R271" i="28" s="1"/>
  <c r="R272" i="28" s="1"/>
  <c r="R273" i="28" s="1"/>
  <c r="R274" i="28" s="1"/>
  <c r="R275" i="28" s="1"/>
  <c r="R276" i="28" s="1"/>
  <c r="R277" i="28" s="1"/>
  <c r="R278" i="28" s="1"/>
  <c r="R279" i="28" s="1"/>
  <c r="R280" i="28" s="1"/>
  <c r="R281" i="28" s="1"/>
  <c r="R282" i="28" s="1"/>
  <c r="R283" i="28" s="1"/>
  <c r="R284" i="28" s="1"/>
  <c r="R285" i="28" s="1"/>
  <c r="R286" i="28" s="1"/>
  <c r="R287" i="28" s="1"/>
  <c r="R288" i="28" s="1"/>
  <c r="P252" i="28"/>
  <c r="R292" i="28"/>
  <c r="R293" i="28" s="1"/>
  <c r="R294" i="28" s="1"/>
  <c r="R295" i="28" s="1"/>
  <c r="R296" i="28" s="1"/>
  <c r="R297" i="28" s="1"/>
  <c r="R298" i="28" s="1"/>
  <c r="R299" i="28" s="1"/>
  <c r="R300" i="28" s="1"/>
  <c r="R301" i="28" s="1"/>
  <c r="R302" i="28" s="1"/>
  <c r="R303" i="28" s="1"/>
  <c r="R304" i="28" s="1"/>
  <c r="R305" i="28" s="1"/>
  <c r="R306" i="28" s="1"/>
  <c r="R307" i="28" s="1"/>
  <c r="R308" i="28" s="1"/>
  <c r="R309" i="28" s="1"/>
  <c r="R310" i="28" s="1"/>
  <c r="R311" i="28" s="1"/>
  <c r="R312" i="28" s="1"/>
  <c r="R313" i="28" s="1"/>
  <c r="R314" i="28" s="1"/>
  <c r="R315" i="28" s="1"/>
  <c r="R316" i="28" s="1"/>
  <c r="R317" i="28" s="1"/>
  <c r="R318" i="28" s="1"/>
  <c r="R319" i="28" s="1"/>
  <c r="R320" i="28" s="1"/>
  <c r="R321" i="28" s="1"/>
  <c r="R322" i="28" s="1"/>
  <c r="R323" i="28" s="1"/>
  <c r="R324" i="28" s="1"/>
  <c r="R325" i="28" s="1"/>
  <c r="R326" i="28" s="1"/>
  <c r="R327" i="28" s="1"/>
  <c r="R328" i="28" s="1"/>
  <c r="R329" i="28" s="1"/>
  <c r="R330" i="28" s="1"/>
  <c r="R130" i="28"/>
  <c r="R131" i="28" s="1"/>
  <c r="R132" i="28" s="1"/>
  <c r="R133" i="28" s="1"/>
  <c r="R134" i="28" s="1"/>
  <c r="R135" i="28" s="1"/>
  <c r="R136" i="28" s="1"/>
  <c r="R137" i="28" s="1"/>
  <c r="R138" i="28" s="1"/>
  <c r="R139" i="28" s="1"/>
  <c r="R140" i="28" s="1"/>
  <c r="R141" i="28" s="1"/>
  <c r="R142" i="28" s="1"/>
  <c r="R143" i="28" s="1"/>
  <c r="R144" i="28" s="1"/>
  <c r="R145" i="28" s="1"/>
  <c r="R146" i="28" s="1"/>
  <c r="R147" i="28" s="1"/>
  <c r="R148" i="28" s="1"/>
  <c r="R149" i="28" s="1"/>
  <c r="R150" i="28" s="1"/>
  <c r="R151" i="28" s="1"/>
  <c r="R152" i="28" s="1"/>
  <c r="R153" i="28" s="1"/>
  <c r="R154" i="28" s="1"/>
  <c r="R155" i="28" s="1"/>
  <c r="R156" i="28" s="1"/>
  <c r="R157" i="28" s="1"/>
  <c r="R158" i="28" s="1"/>
  <c r="R159" i="28" s="1"/>
  <c r="R160" i="28" s="1"/>
  <c r="R161" i="28" s="1"/>
  <c r="R162" i="28" s="1"/>
  <c r="R163" i="28" s="1"/>
  <c r="R164" i="28" s="1"/>
  <c r="R165" i="28" s="1"/>
  <c r="R166" i="28" s="1"/>
  <c r="R167" i="28" s="1"/>
  <c r="R168" i="28" s="1"/>
  <c r="R46" i="28"/>
  <c r="R47" i="28" s="1"/>
  <c r="R48" i="28" s="1"/>
  <c r="R49" i="28" s="1"/>
  <c r="R50" i="28" s="1"/>
  <c r="R51" i="28" s="1"/>
  <c r="R52" i="28" s="1"/>
  <c r="R53" i="28" s="1"/>
  <c r="R54" i="28" s="1"/>
  <c r="R55" i="28" s="1"/>
  <c r="R56" i="28" s="1"/>
  <c r="R57" i="28" s="1"/>
  <c r="R58" i="28" s="1"/>
  <c r="R59" i="28" s="1"/>
  <c r="R60" i="28" s="1"/>
  <c r="R61" i="28" s="1"/>
  <c r="R62" i="28" s="1"/>
  <c r="R63" i="28" s="1"/>
  <c r="R64" i="28" s="1"/>
  <c r="R65" i="28" s="1"/>
  <c r="R66" i="28" s="1"/>
  <c r="R67" i="28" s="1"/>
  <c r="R68" i="28" s="1"/>
  <c r="R69" i="28" s="1"/>
  <c r="R70" i="28" s="1"/>
  <c r="R71" i="28" s="1"/>
  <c r="R72" i="28" s="1"/>
  <c r="R73" i="28" s="1"/>
  <c r="R74" i="28" s="1"/>
  <c r="R75" i="28" s="1"/>
  <c r="R76" i="28" s="1"/>
  <c r="R77" i="28" s="1"/>
  <c r="R78" i="28" s="1"/>
  <c r="R79" i="28" s="1"/>
  <c r="R80" i="28" s="1"/>
  <c r="R81" i="28" s="1"/>
  <c r="R82" i="28" s="1"/>
  <c r="R83" i="28" s="1"/>
  <c r="R84" i="28" s="1"/>
  <c r="R172" i="28"/>
  <c r="R173" i="28" s="1"/>
  <c r="R174" i="28" s="1"/>
  <c r="R175" i="28" s="1"/>
  <c r="R176" i="28" s="1"/>
  <c r="R177" i="28" s="1"/>
  <c r="R178" i="28" s="1"/>
  <c r="R179" i="28" s="1"/>
  <c r="R180" i="28" s="1"/>
  <c r="R181" i="28" s="1"/>
  <c r="R182" i="28" s="1"/>
  <c r="R183" i="28" s="1"/>
  <c r="R184" i="28" s="1"/>
  <c r="R185" i="28" s="1"/>
  <c r="R186" i="28" s="1"/>
  <c r="R187" i="28" s="1"/>
  <c r="R188" i="28" s="1"/>
  <c r="R189" i="28" s="1"/>
  <c r="R190" i="28" s="1"/>
  <c r="R191" i="28" s="1"/>
  <c r="R192" i="28" s="1"/>
  <c r="R193" i="28" s="1"/>
  <c r="R194" i="28" s="1"/>
  <c r="R195" i="28" s="1"/>
  <c r="R196" i="28" s="1"/>
  <c r="R197" i="28" s="1"/>
  <c r="R198" i="28" s="1"/>
  <c r="R199" i="28" s="1"/>
  <c r="R200" i="28" s="1"/>
  <c r="R201" i="28" s="1"/>
  <c r="R202" i="28" s="1"/>
  <c r="R203" i="28" s="1"/>
  <c r="R204" i="28" s="1"/>
  <c r="R205" i="28" s="1"/>
  <c r="R206" i="28" s="1"/>
  <c r="R207" i="28" s="1"/>
  <c r="R88" i="28"/>
  <c r="R89" i="28" s="1"/>
  <c r="R90" i="28" s="1"/>
  <c r="R91" i="28" s="1"/>
  <c r="R92" i="28" s="1"/>
  <c r="R93" i="28" s="1"/>
  <c r="R94" i="28" s="1"/>
  <c r="R95" i="28" s="1"/>
  <c r="R96" i="28" s="1"/>
  <c r="R97" i="28" s="1"/>
  <c r="R98" i="28" s="1"/>
  <c r="R99" i="28" s="1"/>
  <c r="R100" i="28" s="1"/>
  <c r="R101" i="28" s="1"/>
  <c r="R102" i="28" s="1"/>
  <c r="R103" i="28" s="1"/>
  <c r="R104" i="28" s="1"/>
  <c r="R105" i="28" s="1"/>
  <c r="R106" i="28" s="1"/>
  <c r="R107" i="28" s="1"/>
  <c r="R108" i="28" s="1"/>
  <c r="R109" i="28" s="1"/>
  <c r="R110" i="28" s="1"/>
  <c r="R111" i="28" s="1"/>
  <c r="R112" i="28" s="1"/>
  <c r="R113" i="28" s="1"/>
  <c r="R114" i="28" s="1"/>
  <c r="R115" i="28" s="1"/>
  <c r="R116" i="28" s="1"/>
  <c r="R117" i="28" s="1"/>
  <c r="R118" i="28" s="1"/>
  <c r="R119" i="28" s="1"/>
  <c r="R120" i="28" s="1"/>
  <c r="R121" i="28" s="1"/>
  <c r="R122" i="28" s="1"/>
  <c r="R123" i="28" s="1"/>
  <c r="R124" i="28" s="1"/>
  <c r="R125" i="28" s="1"/>
  <c r="R126" i="28" s="1"/>
  <c r="R43" i="26"/>
  <c r="R44" i="26" s="1"/>
  <c r="R45" i="26" s="1"/>
  <c r="R46" i="26" s="1"/>
  <c r="R47" i="26" s="1"/>
  <c r="R48" i="26" s="1"/>
  <c r="R49" i="26" s="1"/>
  <c r="R50" i="26" s="1"/>
  <c r="R51" i="26" s="1"/>
  <c r="R52" i="26" s="1"/>
  <c r="R53" i="26" s="1"/>
  <c r="R54" i="26" s="1"/>
  <c r="R55" i="26" s="1"/>
  <c r="R56" i="26" s="1"/>
  <c r="R57" i="26" s="1"/>
  <c r="R58" i="26" s="1"/>
  <c r="R59" i="26" s="1"/>
  <c r="R60" i="26" s="1"/>
  <c r="R61" i="26" s="1"/>
  <c r="R62" i="26" s="1"/>
  <c r="R63" i="26" s="1"/>
  <c r="R64" i="26" s="1"/>
  <c r="R65" i="26" s="1"/>
  <c r="R66" i="26" s="1"/>
  <c r="R67" i="26" s="1"/>
  <c r="R68" i="26" s="1"/>
  <c r="R69" i="26" s="1"/>
  <c r="R70" i="26" s="1"/>
  <c r="R71" i="26" s="1"/>
  <c r="R72" i="26" s="1"/>
  <c r="R73" i="26" s="1"/>
  <c r="R74" i="26" s="1"/>
  <c r="R75" i="26" s="1"/>
  <c r="R76" i="26" s="1"/>
  <c r="R77" i="26" s="1"/>
  <c r="R78" i="26" s="1"/>
  <c r="R79" i="26" s="1"/>
  <c r="R80" i="26" s="1"/>
  <c r="R81" i="26" s="1"/>
  <c r="R205" i="26"/>
  <c r="R206" i="26" s="1"/>
  <c r="R207" i="26" s="1"/>
  <c r="R208" i="26" s="1"/>
  <c r="R209" i="26" s="1"/>
  <c r="R210" i="26" s="1"/>
  <c r="R211" i="26" s="1"/>
  <c r="R212" i="26" s="1"/>
  <c r="R213" i="26" s="1"/>
  <c r="R214" i="26" s="1"/>
  <c r="R215" i="26" s="1"/>
  <c r="R216" i="26" s="1"/>
  <c r="R217" i="26" s="1"/>
  <c r="R218" i="26" s="1"/>
  <c r="R219" i="26" s="1"/>
  <c r="R220" i="26" s="1"/>
  <c r="R221" i="26" s="1"/>
  <c r="R222" i="26" s="1"/>
  <c r="R223" i="26" s="1"/>
  <c r="R224" i="26" s="1"/>
  <c r="R225" i="26" s="1"/>
  <c r="R226" i="26" s="1"/>
  <c r="R227" i="26" s="1"/>
  <c r="R228" i="26" s="1"/>
  <c r="R229" i="26" s="1"/>
  <c r="R230" i="26" s="1"/>
  <c r="R231" i="26" s="1"/>
  <c r="R232" i="26" s="1"/>
  <c r="R233" i="26" s="1"/>
  <c r="R234" i="26" s="1"/>
  <c r="R235" i="26" s="1"/>
  <c r="R236" i="26" s="1"/>
  <c r="R237" i="26" s="1"/>
  <c r="R238" i="26" s="1"/>
  <c r="R239" i="26" s="1"/>
  <c r="R240" i="26" s="1"/>
  <c r="R4" i="26"/>
  <c r="R5" i="26" s="1"/>
  <c r="R6" i="26" s="1"/>
  <c r="R7" i="26" s="1"/>
  <c r="R8" i="26" s="1"/>
  <c r="R9" i="26" s="1"/>
  <c r="R10" i="26" s="1"/>
  <c r="R11" i="26" s="1"/>
  <c r="R12" i="26" s="1"/>
  <c r="R13" i="26" s="1"/>
  <c r="R14" i="26" s="1"/>
  <c r="R15" i="26" s="1"/>
  <c r="R16" i="26" s="1"/>
  <c r="R17" i="26" s="1"/>
  <c r="R18" i="26" s="1"/>
  <c r="R19" i="26" s="1"/>
  <c r="R20" i="26" s="1"/>
  <c r="R21" i="26" s="1"/>
  <c r="R22" i="26" s="1"/>
  <c r="R23" i="26" s="1"/>
  <c r="R24" i="26" s="1"/>
  <c r="R25" i="26" s="1"/>
  <c r="R26" i="26" s="1"/>
  <c r="R27" i="26" s="1"/>
  <c r="R28" i="26" s="1"/>
  <c r="R29" i="26" s="1"/>
  <c r="R30" i="26" s="1"/>
  <c r="R31" i="26" s="1"/>
  <c r="R32" i="26" s="1"/>
  <c r="R33" i="26" s="1"/>
  <c r="R34" i="26" s="1"/>
  <c r="R35" i="26" s="1"/>
  <c r="R36" i="26" s="1"/>
  <c r="R37" i="26" s="1"/>
  <c r="R38" i="26" s="1"/>
  <c r="R39" i="26" s="1"/>
  <c r="R244" i="26"/>
  <c r="R245" i="26" s="1"/>
  <c r="R246" i="26" s="1"/>
  <c r="R247" i="26" s="1"/>
  <c r="R248" i="26" s="1"/>
  <c r="R249" i="26" s="1"/>
  <c r="R250" i="26" s="1"/>
  <c r="R251" i="26" s="1"/>
  <c r="R252" i="26" s="1"/>
  <c r="R253" i="26" s="1"/>
  <c r="R254" i="26" s="1"/>
  <c r="R255" i="26" s="1"/>
  <c r="R256" i="26" s="1"/>
  <c r="R257" i="26" s="1"/>
  <c r="R258" i="26" s="1"/>
  <c r="R259" i="26" s="1"/>
  <c r="R260" i="26" s="1"/>
  <c r="R261" i="26" s="1"/>
  <c r="R262" i="26" s="1"/>
  <c r="R263" i="26" s="1"/>
  <c r="R264" i="26" s="1"/>
  <c r="R265" i="26" s="1"/>
  <c r="R266" i="26" s="1"/>
  <c r="R267" i="26" s="1"/>
  <c r="R268" i="26" s="1"/>
  <c r="R269" i="26" s="1"/>
  <c r="R270" i="26" s="1"/>
  <c r="R271" i="26" s="1"/>
  <c r="R272" i="26" s="1"/>
  <c r="R273" i="26" s="1"/>
  <c r="R274" i="26" s="1"/>
  <c r="R275" i="26" s="1"/>
  <c r="R276" i="26" s="1"/>
  <c r="R277" i="26" s="1"/>
  <c r="R278" i="26" s="1"/>
  <c r="R279" i="26" s="1"/>
  <c r="R280" i="26" s="1"/>
  <c r="R281" i="26" s="1"/>
  <c r="R282" i="26" s="1"/>
  <c r="R166" i="26"/>
  <c r="R167" i="26" s="1"/>
  <c r="R168" i="26" s="1"/>
  <c r="R169" i="26" s="1"/>
  <c r="R170" i="26" s="1"/>
  <c r="R171" i="26" s="1"/>
  <c r="R172" i="26" s="1"/>
  <c r="R173" i="26" s="1"/>
  <c r="R174" i="26" s="1"/>
  <c r="R175" i="26" s="1"/>
  <c r="R176" i="26" s="1"/>
  <c r="R177" i="26" s="1"/>
  <c r="R178" i="26" s="1"/>
  <c r="R179" i="26" s="1"/>
  <c r="R180" i="26" s="1"/>
  <c r="R181" i="26" s="1"/>
  <c r="R182" i="26" s="1"/>
  <c r="R183" i="26" s="1"/>
  <c r="R184" i="26" s="1"/>
  <c r="R185" i="26" s="1"/>
  <c r="R186" i="26" s="1"/>
  <c r="R187" i="26" s="1"/>
  <c r="R188" i="26" s="1"/>
  <c r="R189" i="26" s="1"/>
  <c r="R190" i="26" s="1"/>
  <c r="R191" i="26" s="1"/>
  <c r="R192" i="26" s="1"/>
  <c r="R193" i="26" s="1"/>
  <c r="R194" i="26" s="1"/>
  <c r="R195" i="26" s="1"/>
  <c r="R196" i="26" s="1"/>
  <c r="R197" i="26" s="1"/>
  <c r="R198" i="26" s="1"/>
  <c r="R199" i="26" s="1"/>
  <c r="R200" i="26" s="1"/>
  <c r="R201" i="26" s="1"/>
  <c r="R85" i="26"/>
  <c r="R86" i="26" s="1"/>
  <c r="R87" i="26" s="1"/>
  <c r="R88" i="26" s="1"/>
  <c r="R89" i="26" s="1"/>
  <c r="R90" i="26" s="1"/>
  <c r="R91" i="26" s="1"/>
  <c r="R92" i="26" s="1"/>
  <c r="R93" i="26" s="1"/>
  <c r="R94" i="26" s="1"/>
  <c r="R95" i="26" s="1"/>
  <c r="R96" i="26" s="1"/>
  <c r="R97" i="26" s="1"/>
  <c r="R98" i="26" s="1"/>
  <c r="R99" i="26" s="1"/>
  <c r="R100" i="26" s="1"/>
  <c r="R101" i="26" s="1"/>
  <c r="R102" i="26" s="1"/>
  <c r="R103" i="26" s="1"/>
  <c r="R104" i="26" s="1"/>
  <c r="R105" i="26" s="1"/>
  <c r="R106" i="26" s="1"/>
  <c r="R107" i="26" s="1"/>
  <c r="R108" i="26" s="1"/>
  <c r="R109" i="26" s="1"/>
  <c r="R110" i="26" s="1"/>
  <c r="R111" i="26" s="1"/>
  <c r="R112" i="26" s="1"/>
  <c r="R113" i="26" s="1"/>
  <c r="R114" i="26" s="1"/>
  <c r="R115" i="26" s="1"/>
  <c r="R116" i="26" s="1"/>
  <c r="R117" i="26" s="1"/>
  <c r="R118" i="26" s="1"/>
  <c r="R119" i="26" s="1"/>
  <c r="R120" i="26" s="1"/>
  <c r="R124" i="26"/>
  <c r="R125" i="26" s="1"/>
  <c r="R126" i="26" s="1"/>
  <c r="R127" i="26" s="1"/>
  <c r="R128" i="26" s="1"/>
  <c r="R129" i="26" s="1"/>
  <c r="R130" i="26" s="1"/>
  <c r="R131" i="26" s="1"/>
  <c r="R132" i="26" s="1"/>
  <c r="R133" i="26" s="1"/>
  <c r="R134" i="26" s="1"/>
  <c r="R135" i="26" s="1"/>
  <c r="R136" i="26" s="1"/>
  <c r="R137" i="26" s="1"/>
  <c r="R138" i="26" s="1"/>
  <c r="R139" i="26" s="1"/>
  <c r="R140" i="26" s="1"/>
  <c r="R141" i="26" s="1"/>
  <c r="R142" i="26" s="1"/>
  <c r="R143" i="26" s="1"/>
  <c r="R144" i="26" s="1"/>
  <c r="R145" i="26" s="1"/>
  <c r="R146" i="26" s="1"/>
  <c r="R147" i="26" s="1"/>
  <c r="R148" i="26" s="1"/>
  <c r="R149" i="26" s="1"/>
  <c r="R150" i="26" s="1"/>
  <c r="R151" i="26" s="1"/>
  <c r="R152" i="26" s="1"/>
  <c r="R153" i="26" s="1"/>
  <c r="R154" i="26" s="1"/>
  <c r="R155" i="26" s="1"/>
  <c r="R156" i="26" s="1"/>
  <c r="R157" i="26" s="1"/>
  <c r="R158" i="26" s="1"/>
  <c r="R159" i="26" s="1"/>
  <c r="R160" i="26" s="1"/>
  <c r="R161" i="26" s="1"/>
  <c r="R162" i="26" s="1"/>
  <c r="R286" i="26"/>
  <c r="R287" i="26" s="1"/>
  <c r="R288" i="26" s="1"/>
  <c r="R289" i="26" s="1"/>
  <c r="R290" i="26" s="1"/>
  <c r="R291" i="26" s="1"/>
  <c r="R292" i="26" s="1"/>
  <c r="R293" i="26" s="1"/>
  <c r="R294" i="26" s="1"/>
  <c r="R295" i="26" s="1"/>
  <c r="R296" i="26" s="1"/>
  <c r="R297" i="26" s="1"/>
  <c r="R298" i="26" s="1"/>
  <c r="R299" i="26" s="1"/>
  <c r="R300" i="26" s="1"/>
  <c r="R301" i="26" s="1"/>
  <c r="R302" i="26" s="1"/>
  <c r="R303" i="26" s="1"/>
  <c r="R304" i="26" s="1"/>
  <c r="R305" i="26" s="1"/>
  <c r="R306" i="26" s="1"/>
  <c r="R307" i="26" s="1"/>
  <c r="R308" i="26" s="1"/>
  <c r="R309" i="26" s="1"/>
  <c r="R310" i="26" s="1"/>
  <c r="R311" i="26" s="1"/>
  <c r="R312" i="26" s="1"/>
  <c r="R313" i="26" s="1"/>
  <c r="R314" i="26" s="1"/>
  <c r="R315" i="26" s="1"/>
  <c r="R316" i="26" s="1"/>
  <c r="R317" i="26" s="1"/>
  <c r="R318" i="26" s="1"/>
  <c r="R319" i="26" s="1"/>
  <c r="R320" i="26" s="1"/>
  <c r="R321" i="26" s="1"/>
  <c r="M308" i="27"/>
  <c r="Q308" i="27" s="1"/>
  <c r="K308" i="27"/>
  <c r="K110" i="27"/>
  <c r="M110" i="27"/>
  <c r="Q110" i="27" s="1"/>
  <c r="R163" i="27"/>
  <c r="R164" i="27" s="1"/>
  <c r="R165" i="27" s="1"/>
  <c r="R166" i="27" s="1"/>
  <c r="R167" i="27" s="1"/>
  <c r="R168" i="27" s="1"/>
  <c r="R169" i="27" s="1"/>
  <c r="R170" i="27" s="1"/>
  <c r="R171" i="27" s="1"/>
  <c r="R172" i="27" s="1"/>
  <c r="R173" i="27" s="1"/>
  <c r="R174" i="27" s="1"/>
  <c r="R175" i="27" s="1"/>
  <c r="R176" i="27" s="1"/>
  <c r="R177" i="27" s="1"/>
  <c r="R178" i="27" s="1"/>
  <c r="R179" i="27" s="1"/>
  <c r="R180" i="27" s="1"/>
  <c r="R181" i="27" s="1"/>
  <c r="R182" i="27" s="1"/>
  <c r="R183" i="27" s="1"/>
  <c r="R184" i="27" s="1"/>
  <c r="R185" i="27" s="1"/>
  <c r="R186" i="27" s="1"/>
  <c r="R187" i="27" s="1"/>
  <c r="R188" i="27" s="1"/>
  <c r="R189" i="27" s="1"/>
  <c r="R190" i="27" s="1"/>
  <c r="R191" i="27" s="1"/>
  <c r="R192" i="27" s="1"/>
  <c r="R193" i="27" s="1"/>
  <c r="R194" i="27" s="1"/>
  <c r="R195" i="27" s="1"/>
  <c r="R196" i="27" s="1"/>
  <c r="R197" i="27" s="1"/>
  <c r="R198" i="27" s="1"/>
  <c r="R202" i="27"/>
  <c r="R203" i="27" s="1"/>
  <c r="R204" i="27" s="1"/>
  <c r="R205" i="27" s="1"/>
  <c r="R206" i="27" s="1"/>
  <c r="R207" i="27" s="1"/>
  <c r="R208" i="27" s="1"/>
  <c r="R209" i="27" s="1"/>
  <c r="R210" i="27" s="1"/>
  <c r="R211" i="27" s="1"/>
  <c r="R212" i="27" s="1"/>
  <c r="R213" i="27" s="1"/>
  <c r="R214" i="27" s="1"/>
  <c r="R215" i="27" s="1"/>
  <c r="R216" i="27" s="1"/>
  <c r="R217" i="27" s="1"/>
  <c r="R218" i="27" s="1"/>
  <c r="R219" i="27" s="1"/>
  <c r="R220" i="27" s="1"/>
  <c r="R221" i="27" s="1"/>
  <c r="R222" i="27" s="1"/>
  <c r="R223" i="27" s="1"/>
  <c r="R224" i="27" s="1"/>
  <c r="R225" i="27" s="1"/>
  <c r="R226" i="27" s="1"/>
  <c r="R227" i="27" s="1"/>
  <c r="R228" i="27" s="1"/>
  <c r="R229" i="27" s="1"/>
  <c r="R230" i="27" s="1"/>
  <c r="R231" i="27" s="1"/>
  <c r="R232" i="27" s="1"/>
  <c r="R233" i="27" s="1"/>
  <c r="R234" i="27" s="1"/>
  <c r="R235" i="27" s="1"/>
  <c r="R236" i="27" s="1"/>
  <c r="R237" i="27" s="1"/>
  <c r="R124" i="27"/>
  <c r="R125" i="27" s="1"/>
  <c r="R126" i="27" s="1"/>
  <c r="R127" i="27" s="1"/>
  <c r="R128" i="27" s="1"/>
  <c r="R129" i="27" s="1"/>
  <c r="R130" i="27" s="1"/>
  <c r="R131" i="27" s="1"/>
  <c r="R132" i="27" s="1"/>
  <c r="R133" i="27" s="1"/>
  <c r="R134" i="27" s="1"/>
  <c r="R135" i="27" s="1"/>
  <c r="R136" i="27" s="1"/>
  <c r="R137" i="27" s="1"/>
  <c r="R138" i="27" s="1"/>
  <c r="R139" i="27" s="1"/>
  <c r="R140" i="27" s="1"/>
  <c r="R141" i="27" s="1"/>
  <c r="R142" i="27" s="1"/>
  <c r="R143" i="27" s="1"/>
  <c r="R144" i="27" s="1"/>
  <c r="R145" i="27" s="1"/>
  <c r="R146" i="27" s="1"/>
  <c r="R147" i="27" s="1"/>
  <c r="R148" i="27" s="1"/>
  <c r="R149" i="27" s="1"/>
  <c r="R150" i="27" s="1"/>
  <c r="R151" i="27" s="1"/>
  <c r="R152" i="27" s="1"/>
  <c r="R153" i="27" s="1"/>
  <c r="R154" i="27" s="1"/>
  <c r="R155" i="27" s="1"/>
  <c r="R156" i="27" s="1"/>
  <c r="R157" i="27" s="1"/>
  <c r="R158" i="27" s="1"/>
  <c r="R159" i="27" s="1"/>
  <c r="R82" i="27"/>
  <c r="R83" i="27" s="1"/>
  <c r="R84" i="27" s="1"/>
  <c r="R85" i="27" s="1"/>
  <c r="R86" i="27" s="1"/>
  <c r="R87" i="27" s="1"/>
  <c r="R88" i="27" s="1"/>
  <c r="R89" i="27" s="1"/>
  <c r="R90" i="27" s="1"/>
  <c r="R91" i="27" s="1"/>
  <c r="R92" i="27" s="1"/>
  <c r="R93" i="27" s="1"/>
  <c r="R94" i="27" s="1"/>
  <c r="R95" i="27" s="1"/>
  <c r="R96" i="27" s="1"/>
  <c r="R97" i="27" s="1"/>
  <c r="R98" i="27" s="1"/>
  <c r="R99" i="27" s="1"/>
  <c r="R100" i="27" s="1"/>
  <c r="R101" i="27" s="1"/>
  <c r="R102" i="27" s="1"/>
  <c r="R103" i="27" s="1"/>
  <c r="R104" i="27" s="1"/>
  <c r="R105" i="27" s="1"/>
  <c r="R106" i="27" s="1"/>
  <c r="R107" i="27" s="1"/>
  <c r="R108" i="27" s="1"/>
  <c r="R109" i="27" s="1"/>
  <c r="R43" i="27"/>
  <c r="R44" i="27" s="1"/>
  <c r="R45" i="27" s="1"/>
  <c r="R46" i="27" s="1"/>
  <c r="R47" i="27" s="1"/>
  <c r="R48" i="27" s="1"/>
  <c r="R49" i="27" s="1"/>
  <c r="R50" i="27" s="1"/>
  <c r="R51" i="27" s="1"/>
  <c r="R52" i="27" s="1"/>
  <c r="R53" i="27" s="1"/>
  <c r="R54" i="27" s="1"/>
  <c r="R55" i="27" s="1"/>
  <c r="R56" i="27" s="1"/>
  <c r="R57" i="27" s="1"/>
  <c r="R58" i="27" s="1"/>
  <c r="R59" i="27" s="1"/>
  <c r="R60" i="27" s="1"/>
  <c r="R61" i="27" s="1"/>
  <c r="R62" i="27" s="1"/>
  <c r="R63" i="27" s="1"/>
  <c r="R64" i="27" s="1"/>
  <c r="R65" i="27" s="1"/>
  <c r="R66" i="27" s="1"/>
  <c r="R67" i="27" s="1"/>
  <c r="R68" i="27" s="1"/>
  <c r="R69" i="27" s="1"/>
  <c r="R70" i="27" s="1"/>
  <c r="R71" i="27" s="1"/>
  <c r="R72" i="27" s="1"/>
  <c r="R73" i="27" s="1"/>
  <c r="R74" i="27" s="1"/>
  <c r="R75" i="27" s="1"/>
  <c r="R76" i="27" s="1"/>
  <c r="R77" i="27" s="1"/>
  <c r="R78" i="27" s="1"/>
  <c r="R4" i="27"/>
  <c r="R5" i="27" s="1"/>
  <c r="R6" i="27" s="1"/>
  <c r="R7" i="27" s="1"/>
  <c r="R8" i="27" s="1"/>
  <c r="R9" i="27" s="1"/>
  <c r="R10" i="27" s="1"/>
  <c r="R11" i="27" s="1"/>
  <c r="R12" i="27" s="1"/>
  <c r="R13" i="27" s="1"/>
  <c r="R14" i="27" s="1"/>
  <c r="R15" i="27" s="1"/>
  <c r="R16" i="27" s="1"/>
  <c r="R17" i="27" s="1"/>
  <c r="R18" i="27" s="1"/>
  <c r="R19" i="27" s="1"/>
  <c r="R20" i="27" s="1"/>
  <c r="R21" i="27" s="1"/>
  <c r="R22" i="27" s="1"/>
  <c r="R23" i="27" s="1"/>
  <c r="R24" i="27" s="1"/>
  <c r="R25" i="27" s="1"/>
  <c r="R26" i="27" s="1"/>
  <c r="R27" i="27" s="1"/>
  <c r="R28" i="27" s="1"/>
  <c r="R29" i="27" s="1"/>
  <c r="R30" i="27" s="1"/>
  <c r="R31" i="27" s="1"/>
  <c r="R32" i="27" s="1"/>
  <c r="R33" i="27" s="1"/>
  <c r="R34" i="27" s="1"/>
  <c r="R35" i="27" s="1"/>
  <c r="R36" i="27" s="1"/>
  <c r="R37" i="27" s="1"/>
  <c r="R38" i="27" s="1"/>
  <c r="R39" i="27" s="1"/>
  <c r="R241" i="27"/>
  <c r="R242" i="27" s="1"/>
  <c r="R243" i="27" s="1"/>
  <c r="R244" i="27" s="1"/>
  <c r="R245" i="27" s="1"/>
  <c r="R246" i="27" s="1"/>
  <c r="R247" i="27" s="1"/>
  <c r="R248" i="27" s="1"/>
  <c r="R249" i="27" s="1"/>
  <c r="R250" i="27" s="1"/>
  <c r="R251" i="27" s="1"/>
  <c r="R252" i="27" s="1"/>
  <c r="R253" i="27" s="1"/>
  <c r="R254" i="27" s="1"/>
  <c r="R255" i="27" s="1"/>
  <c r="R256" i="27" s="1"/>
  <c r="R257" i="27" s="1"/>
  <c r="R258" i="27" s="1"/>
  <c r="R259" i="27" s="1"/>
  <c r="R260" i="27" s="1"/>
  <c r="R261" i="27" s="1"/>
  <c r="R262" i="27" s="1"/>
  <c r="R263" i="27" s="1"/>
  <c r="R264" i="27" s="1"/>
  <c r="R265" i="27" s="1"/>
  <c r="R266" i="27" s="1"/>
  <c r="R267" i="27" s="1"/>
  <c r="R268" i="27" s="1"/>
  <c r="R269" i="27" s="1"/>
  <c r="R270" i="27" s="1"/>
  <c r="R271" i="27" s="1"/>
  <c r="R272" i="27" s="1"/>
  <c r="R273" i="27" s="1"/>
  <c r="R274" i="27" s="1"/>
  <c r="R275" i="27" s="1"/>
  <c r="R276" i="27" s="1"/>
  <c r="R43" i="25"/>
  <c r="R44" i="25" s="1"/>
  <c r="R45" i="25" s="1"/>
  <c r="R46" i="25" s="1"/>
  <c r="R47" i="25" s="1"/>
  <c r="R48" i="25" s="1"/>
  <c r="R4" i="25"/>
  <c r="R5" i="25" s="1"/>
  <c r="R6" i="25" s="1"/>
  <c r="R7" i="25" s="1"/>
  <c r="R8" i="25" s="1"/>
  <c r="R9" i="25" s="1"/>
  <c r="R10" i="25" s="1"/>
  <c r="R11" i="25" s="1"/>
  <c r="R12" i="25" s="1"/>
  <c r="R13" i="25" s="1"/>
  <c r="R14" i="25" s="1"/>
  <c r="R15" i="25" s="1"/>
  <c r="R16" i="25" s="1"/>
  <c r="R17" i="25" s="1"/>
  <c r="R18" i="25" s="1"/>
  <c r="R19" i="25" s="1"/>
  <c r="R20" i="25" s="1"/>
  <c r="R21" i="25" s="1"/>
  <c r="R22" i="25" s="1"/>
  <c r="R121" i="25"/>
  <c r="R122" i="25" s="1"/>
  <c r="R123" i="25" s="1"/>
  <c r="R124" i="25" s="1"/>
  <c r="R125" i="25" s="1"/>
  <c r="R126" i="25" s="1"/>
  <c r="R127" i="25" s="1"/>
  <c r="R128" i="25" s="1"/>
  <c r="R129" i="25" s="1"/>
  <c r="R130" i="25" s="1"/>
  <c r="R131" i="25" s="1"/>
  <c r="R132" i="25" s="1"/>
  <c r="R133" i="25" s="1"/>
  <c r="R134" i="25" s="1"/>
  <c r="R135" i="25" s="1"/>
  <c r="R136" i="25" s="1"/>
  <c r="R137" i="25" s="1"/>
  <c r="R138" i="25" s="1"/>
  <c r="R139" i="25" s="1"/>
  <c r="R140" i="25" s="1"/>
  <c r="R141" i="25" s="1"/>
  <c r="R142" i="25" s="1"/>
  <c r="R143" i="25" s="1"/>
  <c r="R144" i="25" s="1"/>
  <c r="R82" i="25"/>
  <c r="R83" i="25" s="1"/>
  <c r="R84" i="25" s="1"/>
  <c r="R85" i="25" s="1"/>
  <c r="R203" i="25"/>
  <c r="R241" i="25"/>
  <c r="R242" i="25" s="1"/>
  <c r="R243" i="25" s="1"/>
  <c r="R244" i="25" s="1"/>
  <c r="Q280" i="25"/>
  <c r="R280" i="25" s="1"/>
  <c r="R281" i="25" s="1"/>
  <c r="R282" i="25" s="1"/>
  <c r="R283" i="25" s="1"/>
  <c r="R284" i="25" s="1"/>
  <c r="R285" i="25" s="1"/>
  <c r="R286" i="25" s="1"/>
  <c r="R287" i="25" s="1"/>
  <c r="R288" i="25" s="1"/>
  <c r="R289" i="25" s="1"/>
  <c r="R290" i="25" s="1"/>
  <c r="R291" i="25" s="1"/>
  <c r="R292" i="25" s="1"/>
  <c r="R293" i="25" s="1"/>
  <c r="R294" i="25" s="1"/>
  <c r="R295" i="25" s="1"/>
  <c r="R296" i="25" s="1"/>
  <c r="R297" i="25" s="1"/>
  <c r="R298" i="25" s="1"/>
  <c r="R299" i="25" s="1"/>
  <c r="R300" i="25" s="1"/>
  <c r="R301" i="25" s="1"/>
  <c r="R302" i="25" s="1"/>
  <c r="R303" i="25" s="1"/>
  <c r="R304" i="25" s="1"/>
  <c r="R305" i="25" s="1"/>
  <c r="R306" i="25" s="1"/>
  <c r="R307" i="25" s="1"/>
  <c r="R308" i="25" s="1"/>
  <c r="R309" i="25" s="1"/>
  <c r="R310" i="25" s="1"/>
  <c r="R311" i="25" s="1"/>
  <c r="R312" i="25" s="1"/>
  <c r="R313" i="25" s="1"/>
  <c r="R314" i="25" s="1"/>
  <c r="R315" i="25" s="1"/>
  <c r="R160" i="25"/>
  <c r="R161" i="25" s="1"/>
  <c r="R162" i="25" s="1"/>
  <c r="R163" i="25" s="1"/>
  <c r="R164" i="25" s="1"/>
  <c r="R165" i="25" s="1"/>
  <c r="R166" i="25" s="1"/>
  <c r="R167" i="25" s="1"/>
  <c r="R168" i="25" s="1"/>
  <c r="R169" i="25" s="1"/>
  <c r="R170" i="25" s="1"/>
  <c r="R171" i="25" s="1"/>
  <c r="R172" i="25" s="1"/>
  <c r="R173" i="25" s="1"/>
  <c r="R174" i="25" s="1"/>
  <c r="O7" i="25"/>
  <c r="P6" i="25"/>
  <c r="L123" i="27"/>
  <c r="L124" i="27" s="1"/>
  <c r="L125" i="27" s="1"/>
  <c r="L126" i="27" s="1"/>
  <c r="L127" i="27" s="1"/>
  <c r="L128" i="27" s="1"/>
  <c r="L129" i="27" s="1"/>
  <c r="L130" i="27" s="1"/>
  <c r="L131" i="27" s="1"/>
  <c r="L132" i="27" s="1"/>
  <c r="L133" i="27" s="1"/>
  <c r="L134" i="27" s="1"/>
  <c r="L135" i="27" s="1"/>
  <c r="L136" i="27" s="1"/>
  <c r="L137" i="27" s="1"/>
  <c r="L138" i="27" s="1"/>
  <c r="L139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L151" i="27" s="1"/>
  <c r="L152" i="27" s="1"/>
  <c r="L153" i="27" s="1"/>
  <c r="L154" i="27" s="1"/>
  <c r="L155" i="27" s="1"/>
  <c r="L156" i="27" s="1"/>
  <c r="L157" i="27" s="1"/>
  <c r="L158" i="27" s="1"/>
  <c r="L159" i="27" s="1"/>
  <c r="O296" i="28"/>
  <c r="P295" i="28"/>
  <c r="O254" i="28"/>
  <c r="P253" i="28"/>
  <c r="P214" i="28"/>
  <c r="O215" i="28"/>
  <c r="O175" i="28"/>
  <c r="P174" i="28"/>
  <c r="O134" i="28"/>
  <c r="P133" i="28"/>
  <c r="O92" i="28"/>
  <c r="P91" i="28"/>
  <c r="P49" i="28"/>
  <c r="O50" i="28"/>
  <c r="O8" i="28"/>
  <c r="P7" i="28"/>
  <c r="O290" i="26"/>
  <c r="P289" i="26"/>
  <c r="O248" i="26"/>
  <c r="P247" i="26"/>
  <c r="O209" i="26"/>
  <c r="P208" i="26"/>
  <c r="O170" i="26"/>
  <c r="P169" i="26"/>
  <c r="O127" i="26"/>
  <c r="P126" i="26"/>
  <c r="O88" i="26"/>
  <c r="P87" i="26"/>
  <c r="O47" i="26"/>
  <c r="P46" i="26"/>
  <c r="O8" i="26"/>
  <c r="P7" i="26"/>
  <c r="O281" i="24"/>
  <c r="P280" i="24"/>
  <c r="O242" i="24"/>
  <c r="P241" i="24"/>
  <c r="O203" i="24"/>
  <c r="P202" i="24"/>
  <c r="O164" i="24"/>
  <c r="P163" i="24"/>
  <c r="O124" i="24"/>
  <c r="P123" i="24"/>
  <c r="O86" i="24"/>
  <c r="P85" i="24"/>
  <c r="P46" i="24"/>
  <c r="O47" i="24"/>
  <c r="O8" i="24"/>
  <c r="P8" i="24" s="1"/>
  <c r="O284" i="27"/>
  <c r="P283" i="27"/>
  <c r="P243" i="27"/>
  <c r="O244" i="27"/>
  <c r="O206" i="27"/>
  <c r="P205" i="27"/>
  <c r="O167" i="27"/>
  <c r="P166" i="27"/>
  <c r="O128" i="27"/>
  <c r="P127" i="27"/>
  <c r="O85" i="27"/>
  <c r="P84" i="27"/>
  <c r="O47" i="27"/>
  <c r="P46" i="27"/>
  <c r="O8" i="27"/>
  <c r="P7" i="27"/>
  <c r="O284" i="25"/>
  <c r="P283" i="25"/>
  <c r="O245" i="25"/>
  <c r="P244" i="25"/>
  <c r="O206" i="25"/>
  <c r="P205" i="25"/>
  <c r="O164" i="25"/>
  <c r="P163" i="25"/>
  <c r="O125" i="25"/>
  <c r="P124" i="25"/>
  <c r="O86" i="25"/>
  <c r="P85" i="25"/>
  <c r="O47" i="25"/>
  <c r="P46" i="25"/>
  <c r="L3" i="24"/>
  <c r="L4" i="24" s="1"/>
  <c r="L5" i="24" s="1"/>
  <c r="L6" i="24" s="1"/>
  <c r="L7" i="24" s="1"/>
  <c r="L8" i="24" s="1"/>
  <c r="L9" i="24" s="1"/>
  <c r="L10" i="24" s="1"/>
  <c r="L11" i="24" s="1"/>
  <c r="L12" i="24" s="1"/>
  <c r="L13" i="24" s="1"/>
  <c r="L14" i="24" s="1"/>
  <c r="L15" i="24" s="1"/>
  <c r="L16" i="24" s="1"/>
  <c r="L17" i="24" s="1"/>
  <c r="L18" i="24" s="1"/>
  <c r="L19" i="24" s="1"/>
  <c r="L20" i="24" s="1"/>
  <c r="L21" i="24" s="1"/>
  <c r="L22" i="24" s="1"/>
  <c r="L23" i="24" s="1"/>
  <c r="L24" i="24" s="1"/>
  <c r="L25" i="24" s="1"/>
  <c r="L26" i="24" s="1"/>
  <c r="L27" i="24" s="1"/>
  <c r="L28" i="24" s="1"/>
  <c r="L29" i="24" s="1"/>
  <c r="L30" i="24" s="1"/>
  <c r="L31" i="24" s="1"/>
  <c r="L32" i="24" s="1"/>
  <c r="L33" i="24" s="1"/>
  <c r="L34" i="24" s="1"/>
  <c r="L35" i="24" s="1"/>
  <c r="L36" i="24" s="1"/>
  <c r="L37" i="24" s="1"/>
  <c r="L38" i="24" s="1"/>
  <c r="L39" i="24" s="1"/>
  <c r="L3" i="23"/>
  <c r="L4" i="23" s="1"/>
  <c r="L5" i="23" s="1"/>
  <c r="L6" i="23" s="1"/>
  <c r="L7" i="23" s="1"/>
  <c r="L8" i="23" s="1"/>
  <c r="L9" i="23" s="1"/>
  <c r="L10" i="23" s="1"/>
  <c r="L11" i="23" s="1"/>
  <c r="L12" i="23" s="1"/>
  <c r="L13" i="23" s="1"/>
  <c r="L14" i="23" s="1"/>
  <c r="L15" i="23" s="1"/>
  <c r="L16" i="23" s="1"/>
  <c r="L17" i="23" s="1"/>
  <c r="L18" i="23" s="1"/>
  <c r="L19" i="23" s="1"/>
  <c r="L20" i="23" s="1"/>
  <c r="L21" i="23" s="1"/>
  <c r="L22" i="23" s="1"/>
  <c r="L23" i="23" s="1"/>
  <c r="L24" i="23" s="1"/>
  <c r="L25" i="23" s="1"/>
  <c r="L26" i="23" s="1"/>
  <c r="L27" i="23" s="1"/>
  <c r="L28" i="23" s="1"/>
  <c r="L29" i="23" s="1"/>
  <c r="L30" i="23" s="1"/>
  <c r="L31" i="23" s="1"/>
  <c r="L32" i="23" s="1"/>
  <c r="L33" i="23" s="1"/>
  <c r="L34" i="23" s="1"/>
  <c r="L35" i="23" s="1"/>
  <c r="L36" i="23" s="1"/>
  <c r="L37" i="23" s="1"/>
  <c r="L38" i="23" s="1"/>
  <c r="L39" i="23" s="1"/>
  <c r="L291" i="28"/>
  <c r="L292" i="28" s="1"/>
  <c r="L293" i="28" s="1"/>
  <c r="L294" i="28" s="1"/>
  <c r="L295" i="28" s="1"/>
  <c r="L296" i="28" s="1"/>
  <c r="L297" i="28" s="1"/>
  <c r="L298" i="28" s="1"/>
  <c r="L299" i="28" s="1"/>
  <c r="L300" i="28" s="1"/>
  <c r="L301" i="28" s="1"/>
  <c r="L302" i="28" s="1"/>
  <c r="L303" i="28" s="1"/>
  <c r="L304" i="28" s="1"/>
  <c r="L305" i="28" s="1"/>
  <c r="L306" i="28" s="1"/>
  <c r="L307" i="28" s="1"/>
  <c r="L308" i="28" s="1"/>
  <c r="L309" i="28" s="1"/>
  <c r="L310" i="28" s="1"/>
  <c r="L311" i="28" s="1"/>
  <c r="L312" i="28" s="1"/>
  <c r="L313" i="28" s="1"/>
  <c r="L314" i="28" s="1"/>
  <c r="L315" i="28" s="1"/>
  <c r="L316" i="28" s="1"/>
  <c r="L317" i="28" s="1"/>
  <c r="L318" i="28" s="1"/>
  <c r="L319" i="28" s="1"/>
  <c r="L320" i="28" s="1"/>
  <c r="L321" i="28" s="1"/>
  <c r="L322" i="28" s="1"/>
  <c r="L323" i="28" s="1"/>
  <c r="L324" i="28" s="1"/>
  <c r="L325" i="28" s="1"/>
  <c r="L326" i="28" s="1"/>
  <c r="L327" i="28" s="1"/>
  <c r="L328" i="28" s="1"/>
  <c r="L329" i="28" s="1"/>
  <c r="L330" i="28" s="1"/>
  <c r="L129" i="28"/>
  <c r="L130" i="28" s="1"/>
  <c r="L131" i="28" s="1"/>
  <c r="L132" i="28" s="1"/>
  <c r="L133" i="28" s="1"/>
  <c r="L134" i="28" s="1"/>
  <c r="L135" i="28" s="1"/>
  <c r="L136" i="28" s="1"/>
  <c r="L137" i="28" s="1"/>
  <c r="L138" i="28" s="1"/>
  <c r="L139" i="28" s="1"/>
  <c r="L140" i="28" s="1"/>
  <c r="L141" i="28" s="1"/>
  <c r="L142" i="28" s="1"/>
  <c r="L143" i="28" s="1"/>
  <c r="L144" i="28" s="1"/>
  <c r="L145" i="28" s="1"/>
  <c r="L146" i="28" s="1"/>
  <c r="L147" i="28" s="1"/>
  <c r="L148" i="28" s="1"/>
  <c r="L149" i="28" s="1"/>
  <c r="L150" i="28" s="1"/>
  <c r="L151" i="28" s="1"/>
  <c r="L152" i="28" s="1"/>
  <c r="L153" i="28" s="1"/>
  <c r="L154" i="28" s="1"/>
  <c r="L155" i="28" s="1"/>
  <c r="L156" i="28" s="1"/>
  <c r="L157" i="28" s="1"/>
  <c r="L158" i="28" s="1"/>
  <c r="L159" i="28" s="1"/>
  <c r="L160" i="28" s="1"/>
  <c r="L161" i="28" s="1"/>
  <c r="L162" i="28" s="1"/>
  <c r="L163" i="28" s="1"/>
  <c r="L164" i="28" s="1"/>
  <c r="L165" i="28" s="1"/>
  <c r="L166" i="28" s="1"/>
  <c r="L167" i="28" s="1"/>
  <c r="L168" i="28" s="1"/>
  <c r="L81" i="27"/>
  <c r="L82" i="27" s="1"/>
  <c r="L83" i="27" s="1"/>
  <c r="L84" i="27" s="1"/>
  <c r="L85" i="27" s="1"/>
  <c r="L86" i="27" s="1"/>
  <c r="L87" i="27" s="1"/>
  <c r="L88" i="27" s="1"/>
  <c r="L89" i="27" s="1"/>
  <c r="L90" i="27" s="1"/>
  <c r="L91" i="27" s="1"/>
  <c r="L92" i="27" s="1"/>
  <c r="L93" i="27" s="1"/>
  <c r="L94" i="27" s="1"/>
  <c r="L95" i="27" s="1"/>
  <c r="L96" i="27" s="1"/>
  <c r="L97" i="27" s="1"/>
  <c r="L98" i="27" s="1"/>
  <c r="L99" i="27" s="1"/>
  <c r="L100" i="27" s="1"/>
  <c r="L101" i="27" s="1"/>
  <c r="L102" i="27" s="1"/>
  <c r="L103" i="27" s="1"/>
  <c r="L104" i="27" s="1"/>
  <c r="L105" i="27" s="1"/>
  <c r="L106" i="27" s="1"/>
  <c r="L107" i="27" s="1"/>
  <c r="L108" i="27" s="1"/>
  <c r="L109" i="27" s="1"/>
  <c r="L120" i="24"/>
  <c r="L121" i="24" s="1"/>
  <c r="L122" i="24" s="1"/>
  <c r="L123" i="24" s="1"/>
  <c r="L124" i="24" s="1"/>
  <c r="L125" i="24" s="1"/>
  <c r="L126" i="24" s="1"/>
  <c r="L127" i="24" s="1"/>
  <c r="L128" i="24" s="1"/>
  <c r="L129" i="24" s="1"/>
  <c r="L130" i="24" s="1"/>
  <c r="L131" i="24" s="1"/>
  <c r="L132" i="24" s="1"/>
  <c r="L133" i="24" s="1"/>
  <c r="L134" i="24" s="1"/>
  <c r="L135" i="24" s="1"/>
  <c r="L136" i="24" s="1"/>
  <c r="L137" i="24" s="1"/>
  <c r="L138" i="24" s="1"/>
  <c r="L139" i="24" s="1"/>
  <c r="L140" i="24" s="1"/>
  <c r="L141" i="24" s="1"/>
  <c r="L142" i="24" s="1"/>
  <c r="L143" i="24" s="1"/>
  <c r="L144" i="24" s="1"/>
  <c r="L145" i="24" s="1"/>
  <c r="L146" i="24" s="1"/>
  <c r="L147" i="24" s="1"/>
  <c r="L148" i="24" s="1"/>
  <c r="L149" i="24" s="1"/>
  <c r="L150" i="24" s="1"/>
  <c r="L151" i="24" s="1"/>
  <c r="L152" i="24" s="1"/>
  <c r="L153" i="24" s="1"/>
  <c r="L154" i="24" s="1"/>
  <c r="L155" i="24" s="1"/>
  <c r="L156" i="24" s="1"/>
  <c r="L81" i="24"/>
  <c r="L82" i="24" s="1"/>
  <c r="L83" i="24" s="1"/>
  <c r="L84" i="24" s="1"/>
  <c r="L85" i="24" s="1"/>
  <c r="L86" i="24" s="1"/>
  <c r="L87" i="24" s="1"/>
  <c r="L88" i="24" s="1"/>
  <c r="L89" i="24" s="1"/>
  <c r="L90" i="24" s="1"/>
  <c r="L91" i="24" s="1"/>
  <c r="L92" i="24" s="1"/>
  <c r="L93" i="24" s="1"/>
  <c r="L94" i="24" s="1"/>
  <c r="L95" i="24" s="1"/>
  <c r="L96" i="24" s="1"/>
  <c r="L97" i="24" s="1"/>
  <c r="L98" i="24" s="1"/>
  <c r="L99" i="24" s="1"/>
  <c r="L100" i="24" s="1"/>
  <c r="L101" i="24" s="1"/>
  <c r="L102" i="24" s="1"/>
  <c r="L103" i="24" s="1"/>
  <c r="L104" i="24" s="1"/>
  <c r="L105" i="24" s="1"/>
  <c r="L106" i="24" s="1"/>
  <c r="L107" i="24" s="1"/>
  <c r="L108" i="24" s="1"/>
  <c r="L109" i="24" s="1"/>
  <c r="L110" i="24" s="1"/>
  <c r="L111" i="24" s="1"/>
  <c r="L112" i="24" s="1"/>
  <c r="L113" i="24" s="1"/>
  <c r="L114" i="24" s="1"/>
  <c r="L115" i="24" s="1"/>
  <c r="L116" i="24" s="1"/>
  <c r="L117" i="24" s="1"/>
  <c r="L159" i="24"/>
  <c r="L160" i="24" s="1"/>
  <c r="L161" i="24" s="1"/>
  <c r="L162" i="24" s="1"/>
  <c r="L163" i="24" s="1"/>
  <c r="L164" i="24" s="1"/>
  <c r="L165" i="24" s="1"/>
  <c r="L166" i="24" s="1"/>
  <c r="L167" i="24" s="1"/>
  <c r="L168" i="24" s="1"/>
  <c r="L169" i="24" s="1"/>
  <c r="L170" i="24" s="1"/>
  <c r="L171" i="24" s="1"/>
  <c r="L172" i="24" s="1"/>
  <c r="L173" i="24" s="1"/>
  <c r="L174" i="24" s="1"/>
  <c r="L175" i="24" s="1"/>
  <c r="L176" i="24" s="1"/>
  <c r="L177" i="24" s="1"/>
  <c r="L178" i="24" s="1"/>
  <c r="L179" i="24" s="1"/>
  <c r="L180" i="24" s="1"/>
  <c r="L181" i="24" s="1"/>
  <c r="L182" i="24" s="1"/>
  <c r="L183" i="24" s="1"/>
  <c r="L184" i="24" s="1"/>
  <c r="L185" i="24" s="1"/>
  <c r="L186" i="24" s="1"/>
  <c r="L187" i="24" s="1"/>
  <c r="L188" i="24" s="1"/>
  <c r="L189" i="24" s="1"/>
  <c r="L190" i="24" s="1"/>
  <c r="L191" i="24" s="1"/>
  <c r="L192" i="24" s="1"/>
  <c r="L193" i="24" s="1"/>
  <c r="L194" i="24" s="1"/>
  <c r="L195" i="24" s="1"/>
  <c r="L236" i="23"/>
  <c r="L237" i="23" s="1"/>
  <c r="L238" i="23" s="1"/>
  <c r="L239" i="23" s="1"/>
  <c r="L240" i="23" s="1"/>
  <c r="L241" i="23" s="1"/>
  <c r="L242" i="23" s="1"/>
  <c r="L243" i="23" s="1"/>
  <c r="L244" i="23" s="1"/>
  <c r="L245" i="23" s="1"/>
  <c r="L246" i="23" s="1"/>
  <c r="L247" i="23" s="1"/>
  <c r="L248" i="23" s="1"/>
  <c r="L249" i="23" s="1"/>
  <c r="L250" i="23" s="1"/>
  <c r="L251" i="23" s="1"/>
  <c r="L252" i="23" s="1"/>
  <c r="L253" i="23" s="1"/>
  <c r="L254" i="23" s="1"/>
  <c r="L255" i="23" s="1"/>
  <c r="L256" i="23" s="1"/>
  <c r="L257" i="23" s="1"/>
  <c r="L258" i="23" s="1"/>
  <c r="L259" i="23" s="1"/>
  <c r="L260" i="23" s="1"/>
  <c r="L261" i="23" s="1"/>
  <c r="L262" i="23" s="1"/>
  <c r="L263" i="23" s="1"/>
  <c r="L264" i="23" s="1"/>
  <c r="L265" i="23" s="1"/>
  <c r="L266" i="23" s="1"/>
  <c r="L267" i="23" s="1"/>
  <c r="L268" i="23" s="1"/>
  <c r="L269" i="23" s="1"/>
  <c r="L270" i="23" s="1"/>
  <c r="L271" i="23" s="1"/>
  <c r="L272" i="23" s="1"/>
  <c r="L42" i="23"/>
  <c r="L43" i="23" s="1"/>
  <c r="L44" i="23" s="1"/>
  <c r="L45" i="23" s="1"/>
  <c r="L46" i="23" s="1"/>
  <c r="L47" i="23" s="1"/>
  <c r="L48" i="23" s="1"/>
  <c r="L49" i="23" s="1"/>
  <c r="L50" i="23" s="1"/>
  <c r="L51" i="23" s="1"/>
  <c r="L52" i="23" s="1"/>
  <c r="L53" i="23" s="1"/>
  <c r="L54" i="23" s="1"/>
  <c r="L55" i="23" s="1"/>
  <c r="L56" i="23" s="1"/>
  <c r="L57" i="23" s="1"/>
  <c r="L58" i="23" s="1"/>
  <c r="L59" i="23" s="1"/>
  <c r="L60" i="23" s="1"/>
  <c r="L61" i="23" s="1"/>
  <c r="L62" i="23" s="1"/>
  <c r="L63" i="23" s="1"/>
  <c r="L64" i="23" s="1"/>
  <c r="L65" i="23" s="1"/>
  <c r="L66" i="23" s="1"/>
  <c r="L67" i="23" s="1"/>
  <c r="L68" i="23" s="1"/>
  <c r="L69" i="23" s="1"/>
  <c r="L70" i="23" s="1"/>
  <c r="L71" i="23" s="1"/>
  <c r="L72" i="23" s="1"/>
  <c r="L73" i="23" s="1"/>
  <c r="L74" i="23" s="1"/>
  <c r="L75" i="23" s="1"/>
  <c r="L76" i="23" s="1"/>
  <c r="L77" i="23" s="1"/>
  <c r="L78" i="23" s="1"/>
  <c r="L240" i="27"/>
  <c r="L241" i="27" s="1"/>
  <c r="L242" i="27" s="1"/>
  <c r="L243" i="27" s="1"/>
  <c r="L244" i="27" s="1"/>
  <c r="L245" i="27" s="1"/>
  <c r="L246" i="27" s="1"/>
  <c r="L247" i="27" s="1"/>
  <c r="L248" i="27" s="1"/>
  <c r="L249" i="27" s="1"/>
  <c r="L250" i="27" s="1"/>
  <c r="L251" i="27" s="1"/>
  <c r="L252" i="27" s="1"/>
  <c r="L253" i="27" s="1"/>
  <c r="L254" i="27" s="1"/>
  <c r="L255" i="27" s="1"/>
  <c r="L256" i="27" s="1"/>
  <c r="L257" i="27" s="1"/>
  <c r="L258" i="27" s="1"/>
  <c r="L259" i="27" s="1"/>
  <c r="L260" i="27" s="1"/>
  <c r="L261" i="27" s="1"/>
  <c r="L262" i="27" s="1"/>
  <c r="L263" i="27" s="1"/>
  <c r="L264" i="27" s="1"/>
  <c r="L265" i="27" s="1"/>
  <c r="L266" i="27" s="1"/>
  <c r="L267" i="27" s="1"/>
  <c r="L268" i="27" s="1"/>
  <c r="L269" i="27" s="1"/>
  <c r="L270" i="27" s="1"/>
  <c r="L271" i="27" s="1"/>
  <c r="L272" i="27" s="1"/>
  <c r="L273" i="27" s="1"/>
  <c r="L274" i="27" s="1"/>
  <c r="L275" i="27" s="1"/>
  <c r="L276" i="27" s="1"/>
  <c r="L162" i="27"/>
  <c r="L163" i="27" s="1"/>
  <c r="L164" i="27" s="1"/>
  <c r="L165" i="27" s="1"/>
  <c r="L166" i="27" s="1"/>
  <c r="L167" i="27" s="1"/>
  <c r="L168" i="27" s="1"/>
  <c r="L169" i="27" s="1"/>
  <c r="L170" i="27" s="1"/>
  <c r="L171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L189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L3" i="27"/>
  <c r="L4" i="27" s="1"/>
  <c r="L5" i="27" s="1"/>
  <c r="L6" i="27" s="1"/>
  <c r="L7" i="27" s="1"/>
  <c r="L8" i="27" s="1"/>
  <c r="L9" i="27" s="1"/>
  <c r="L10" i="27" s="1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L22" i="27" s="1"/>
  <c r="L23" i="27" s="1"/>
  <c r="L24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279" i="27"/>
  <c r="L280" i="27" s="1"/>
  <c r="L281" i="27" s="1"/>
  <c r="L282" i="27" s="1"/>
  <c r="L283" i="27" s="1"/>
  <c r="L284" i="27" s="1"/>
  <c r="L285" i="27" s="1"/>
  <c r="L286" i="27" s="1"/>
  <c r="L287" i="27" s="1"/>
  <c r="L288" i="27" s="1"/>
  <c r="L289" i="27" s="1"/>
  <c r="L290" i="27" s="1"/>
  <c r="L291" i="27" s="1"/>
  <c r="L292" i="27" s="1"/>
  <c r="L293" i="27" s="1"/>
  <c r="L294" i="27" s="1"/>
  <c r="L295" i="27" s="1"/>
  <c r="L296" i="27" s="1"/>
  <c r="L297" i="27" s="1"/>
  <c r="L298" i="27" s="1"/>
  <c r="L299" i="27" s="1"/>
  <c r="L300" i="27" s="1"/>
  <c r="L301" i="27" s="1"/>
  <c r="L302" i="27" s="1"/>
  <c r="L303" i="27" s="1"/>
  <c r="L304" i="27" s="1"/>
  <c r="L305" i="27" s="1"/>
  <c r="L306" i="27" s="1"/>
  <c r="L307" i="27" s="1"/>
  <c r="L42" i="26"/>
  <c r="L43" i="26" s="1"/>
  <c r="L44" i="26" s="1"/>
  <c r="L45" i="26" s="1"/>
  <c r="L46" i="26" s="1"/>
  <c r="L47" i="26" s="1"/>
  <c r="L48" i="26" s="1"/>
  <c r="L49" i="26" s="1"/>
  <c r="L50" i="26" s="1"/>
  <c r="L51" i="26" s="1"/>
  <c r="L52" i="26" s="1"/>
  <c r="L53" i="26" s="1"/>
  <c r="L54" i="26" s="1"/>
  <c r="L55" i="26" s="1"/>
  <c r="L56" i="26" s="1"/>
  <c r="L57" i="26" s="1"/>
  <c r="L58" i="26" s="1"/>
  <c r="L59" i="26" s="1"/>
  <c r="L60" i="26" s="1"/>
  <c r="L61" i="26" s="1"/>
  <c r="L62" i="26" s="1"/>
  <c r="L63" i="26" s="1"/>
  <c r="L64" i="26" s="1"/>
  <c r="L65" i="26" s="1"/>
  <c r="L66" i="26" s="1"/>
  <c r="L67" i="26" s="1"/>
  <c r="L68" i="26" s="1"/>
  <c r="L69" i="26" s="1"/>
  <c r="L70" i="26" s="1"/>
  <c r="L71" i="26" s="1"/>
  <c r="L72" i="26" s="1"/>
  <c r="L73" i="26" s="1"/>
  <c r="L74" i="26" s="1"/>
  <c r="L75" i="26" s="1"/>
  <c r="L76" i="26" s="1"/>
  <c r="L77" i="26" s="1"/>
  <c r="L78" i="26" s="1"/>
  <c r="L79" i="26" s="1"/>
  <c r="L80" i="26" s="1"/>
  <c r="L81" i="26" s="1"/>
  <c r="L243" i="26"/>
  <c r="L244" i="26" s="1"/>
  <c r="L245" i="26" s="1"/>
  <c r="L246" i="26" s="1"/>
  <c r="L247" i="26" s="1"/>
  <c r="L248" i="26" s="1"/>
  <c r="L249" i="26" s="1"/>
  <c r="L250" i="26" s="1"/>
  <c r="L251" i="26" s="1"/>
  <c r="L252" i="26" s="1"/>
  <c r="L253" i="26" s="1"/>
  <c r="L254" i="26" s="1"/>
  <c r="L255" i="26" s="1"/>
  <c r="L256" i="26" s="1"/>
  <c r="L257" i="26" s="1"/>
  <c r="L258" i="26" s="1"/>
  <c r="L259" i="26" s="1"/>
  <c r="L260" i="26" s="1"/>
  <c r="L261" i="26" s="1"/>
  <c r="L262" i="26" s="1"/>
  <c r="L263" i="26" s="1"/>
  <c r="L264" i="26" s="1"/>
  <c r="L265" i="26" s="1"/>
  <c r="L266" i="26" s="1"/>
  <c r="L267" i="26" s="1"/>
  <c r="L268" i="26" s="1"/>
  <c r="L269" i="26" s="1"/>
  <c r="L270" i="26" s="1"/>
  <c r="L271" i="26" s="1"/>
  <c r="L272" i="26" s="1"/>
  <c r="L273" i="26" s="1"/>
  <c r="L274" i="26" s="1"/>
  <c r="L275" i="26" s="1"/>
  <c r="L276" i="26" s="1"/>
  <c r="L277" i="26" s="1"/>
  <c r="L278" i="26" s="1"/>
  <c r="L279" i="26" s="1"/>
  <c r="L280" i="26" s="1"/>
  <c r="L281" i="26" s="1"/>
  <c r="L282" i="26" s="1"/>
  <c r="L3" i="26"/>
  <c r="L4" i="26" s="1"/>
  <c r="L5" i="26" s="1"/>
  <c r="L6" i="26" s="1"/>
  <c r="L7" i="26" s="1"/>
  <c r="L8" i="26" s="1"/>
  <c r="L9" i="26" s="1"/>
  <c r="L10" i="26" s="1"/>
  <c r="L11" i="26" s="1"/>
  <c r="L12" i="26" s="1"/>
  <c r="L13" i="26" s="1"/>
  <c r="L14" i="26" s="1"/>
  <c r="L15" i="26" s="1"/>
  <c r="L16" i="26" s="1"/>
  <c r="L17" i="26" s="1"/>
  <c r="L18" i="26" s="1"/>
  <c r="L19" i="26" s="1"/>
  <c r="L20" i="26" s="1"/>
  <c r="L21" i="26" s="1"/>
  <c r="L22" i="26" s="1"/>
  <c r="L23" i="26" s="1"/>
  <c r="L24" i="26" s="1"/>
  <c r="L25" i="26" s="1"/>
  <c r="L26" i="26" s="1"/>
  <c r="L27" i="26" s="1"/>
  <c r="L28" i="26" s="1"/>
  <c r="L29" i="26" s="1"/>
  <c r="L30" i="26" s="1"/>
  <c r="L31" i="26" s="1"/>
  <c r="L32" i="26" s="1"/>
  <c r="L33" i="26" s="1"/>
  <c r="L34" i="26" s="1"/>
  <c r="L35" i="26" s="1"/>
  <c r="L36" i="26" s="1"/>
  <c r="L37" i="26" s="1"/>
  <c r="L38" i="26" s="1"/>
  <c r="L39" i="26" s="1"/>
  <c r="L123" i="26"/>
  <c r="L124" i="26" s="1"/>
  <c r="L125" i="26" s="1"/>
  <c r="L126" i="26" s="1"/>
  <c r="L127" i="26" s="1"/>
  <c r="L128" i="26" s="1"/>
  <c r="L129" i="26" s="1"/>
  <c r="L130" i="26" s="1"/>
  <c r="L131" i="26" s="1"/>
  <c r="L132" i="26" s="1"/>
  <c r="L133" i="26" s="1"/>
  <c r="L134" i="26" s="1"/>
  <c r="L135" i="26" s="1"/>
  <c r="L136" i="26" s="1"/>
  <c r="L137" i="26" s="1"/>
  <c r="L138" i="26" s="1"/>
  <c r="L139" i="26" s="1"/>
  <c r="L140" i="26" s="1"/>
  <c r="L141" i="26" s="1"/>
  <c r="L142" i="26" s="1"/>
  <c r="L143" i="26" s="1"/>
  <c r="L144" i="26" s="1"/>
  <c r="L145" i="26" s="1"/>
  <c r="L146" i="26" s="1"/>
  <c r="L147" i="26" s="1"/>
  <c r="L148" i="26" s="1"/>
  <c r="L149" i="26" s="1"/>
  <c r="L150" i="26" s="1"/>
  <c r="L151" i="26" s="1"/>
  <c r="L152" i="26" s="1"/>
  <c r="L153" i="26" s="1"/>
  <c r="L154" i="26" s="1"/>
  <c r="L155" i="26" s="1"/>
  <c r="L156" i="26" s="1"/>
  <c r="L157" i="26" s="1"/>
  <c r="L158" i="26" s="1"/>
  <c r="L159" i="26" s="1"/>
  <c r="L160" i="26" s="1"/>
  <c r="L161" i="26" s="1"/>
  <c r="L162" i="26" s="1"/>
  <c r="L204" i="26"/>
  <c r="L205" i="26" s="1"/>
  <c r="L206" i="26" s="1"/>
  <c r="L207" i="26" s="1"/>
  <c r="L208" i="26" s="1"/>
  <c r="L209" i="26" s="1"/>
  <c r="L210" i="26" s="1"/>
  <c r="L211" i="26" s="1"/>
  <c r="L212" i="26" s="1"/>
  <c r="L213" i="26" s="1"/>
  <c r="L214" i="26" s="1"/>
  <c r="L215" i="26" s="1"/>
  <c r="L216" i="26" s="1"/>
  <c r="L217" i="26" s="1"/>
  <c r="L218" i="26" s="1"/>
  <c r="L219" i="26" s="1"/>
  <c r="L220" i="26" s="1"/>
  <c r="L221" i="26" s="1"/>
  <c r="L222" i="26" s="1"/>
  <c r="L223" i="26" s="1"/>
  <c r="L224" i="26" s="1"/>
  <c r="L225" i="26" s="1"/>
  <c r="L226" i="26" s="1"/>
  <c r="L227" i="26" s="1"/>
  <c r="L228" i="26" s="1"/>
  <c r="L229" i="26" s="1"/>
  <c r="L230" i="26" s="1"/>
  <c r="L231" i="26" s="1"/>
  <c r="L232" i="26" s="1"/>
  <c r="L233" i="26" s="1"/>
  <c r="L234" i="26" s="1"/>
  <c r="L235" i="26" s="1"/>
  <c r="L236" i="26" s="1"/>
  <c r="L237" i="26" s="1"/>
  <c r="L238" i="26" s="1"/>
  <c r="L239" i="26" s="1"/>
  <c r="L240" i="26" s="1"/>
  <c r="L275" i="23"/>
  <c r="L276" i="23" s="1"/>
  <c r="L277" i="23" s="1"/>
  <c r="L278" i="23" s="1"/>
  <c r="L279" i="23" s="1"/>
  <c r="L280" i="23" s="1"/>
  <c r="L281" i="23" s="1"/>
  <c r="L282" i="23" s="1"/>
  <c r="L283" i="23" s="1"/>
  <c r="L284" i="23" s="1"/>
  <c r="L285" i="23" s="1"/>
  <c r="L286" i="23" s="1"/>
  <c r="L287" i="23" s="1"/>
  <c r="L288" i="23" s="1"/>
  <c r="L289" i="23" s="1"/>
  <c r="L290" i="23" s="1"/>
  <c r="L291" i="23" s="1"/>
  <c r="L292" i="23" s="1"/>
  <c r="L293" i="23" s="1"/>
  <c r="L294" i="23" s="1"/>
  <c r="L295" i="23" s="1"/>
  <c r="L296" i="23" s="1"/>
  <c r="L297" i="23" s="1"/>
  <c r="L298" i="23" s="1"/>
  <c r="L299" i="23" s="1"/>
  <c r="L300" i="23" s="1"/>
  <c r="L301" i="23" s="1"/>
  <c r="L302" i="23" s="1"/>
  <c r="L303" i="23" s="1"/>
  <c r="L304" i="23" s="1"/>
  <c r="L305" i="23" s="1"/>
  <c r="L306" i="23" s="1"/>
  <c r="L307" i="23" s="1"/>
  <c r="L308" i="23" s="1"/>
  <c r="L309" i="23" s="1"/>
  <c r="L310" i="23" s="1"/>
  <c r="L197" i="23"/>
  <c r="L198" i="23" s="1"/>
  <c r="L199" i="23" s="1"/>
  <c r="L200" i="23" s="1"/>
  <c r="L201" i="23" s="1"/>
  <c r="L202" i="23" s="1"/>
  <c r="L203" i="23" s="1"/>
  <c r="L204" i="23" s="1"/>
  <c r="L205" i="23" s="1"/>
  <c r="L206" i="23" s="1"/>
  <c r="L207" i="23" s="1"/>
  <c r="L208" i="23" s="1"/>
  <c r="L209" i="23" s="1"/>
  <c r="L210" i="23" s="1"/>
  <c r="L211" i="23" s="1"/>
  <c r="L212" i="23" s="1"/>
  <c r="L213" i="23" s="1"/>
  <c r="L214" i="23" s="1"/>
  <c r="L215" i="23" s="1"/>
  <c r="L216" i="23" s="1"/>
  <c r="L217" i="23" s="1"/>
  <c r="L218" i="23" s="1"/>
  <c r="L219" i="23" s="1"/>
  <c r="L220" i="23" s="1"/>
  <c r="L221" i="23" s="1"/>
  <c r="L222" i="23" s="1"/>
  <c r="L223" i="23" s="1"/>
  <c r="L224" i="23" s="1"/>
  <c r="L225" i="23" s="1"/>
  <c r="L226" i="23" s="1"/>
  <c r="L227" i="23" s="1"/>
  <c r="L228" i="23" s="1"/>
  <c r="L229" i="23" s="1"/>
  <c r="L230" i="23" s="1"/>
  <c r="L231" i="23" s="1"/>
  <c r="L232" i="23" s="1"/>
  <c r="L233" i="23" s="1"/>
  <c r="L81" i="23"/>
  <c r="L82" i="23" s="1"/>
  <c r="L83" i="23" s="1"/>
  <c r="L84" i="23" s="1"/>
  <c r="L85" i="23" s="1"/>
  <c r="L86" i="23" s="1"/>
  <c r="L87" i="23" s="1"/>
  <c r="L88" i="23" s="1"/>
  <c r="L89" i="23" s="1"/>
  <c r="L90" i="23" s="1"/>
  <c r="L91" i="23" s="1"/>
  <c r="L92" i="23" s="1"/>
  <c r="L93" i="23" s="1"/>
  <c r="L94" i="23" s="1"/>
  <c r="L95" i="23" s="1"/>
  <c r="L96" i="23" s="1"/>
  <c r="L97" i="23" s="1"/>
  <c r="L98" i="23" s="1"/>
  <c r="L99" i="23" s="1"/>
  <c r="L100" i="23" s="1"/>
  <c r="L101" i="23" s="1"/>
  <c r="L102" i="23" s="1"/>
  <c r="L103" i="23" s="1"/>
  <c r="L104" i="23" s="1"/>
  <c r="L105" i="23" s="1"/>
  <c r="L106" i="23" s="1"/>
  <c r="L107" i="23" s="1"/>
  <c r="L108" i="23" s="1"/>
  <c r="L109" i="23" s="1"/>
  <c r="L110" i="23" s="1"/>
  <c r="L111" i="23" s="1"/>
  <c r="L112" i="23" s="1"/>
  <c r="L113" i="23" s="1"/>
  <c r="L114" i="23" s="1"/>
  <c r="L115" i="23" s="1"/>
  <c r="L116" i="23" s="1"/>
  <c r="L117" i="23" s="1"/>
  <c r="L120" i="23"/>
  <c r="L121" i="23" s="1"/>
  <c r="L122" i="23" s="1"/>
  <c r="L123" i="23" s="1"/>
  <c r="L124" i="23" s="1"/>
  <c r="L125" i="23" s="1"/>
  <c r="L126" i="23" s="1"/>
  <c r="L127" i="23" s="1"/>
  <c r="L128" i="23" s="1"/>
  <c r="L129" i="23" s="1"/>
  <c r="L130" i="23" s="1"/>
  <c r="L131" i="23" s="1"/>
  <c r="L132" i="23" s="1"/>
  <c r="L133" i="23" s="1"/>
  <c r="L134" i="23" s="1"/>
  <c r="L135" i="23" s="1"/>
  <c r="L136" i="23" s="1"/>
  <c r="L137" i="23" s="1"/>
  <c r="L138" i="23" s="1"/>
  <c r="L139" i="23" s="1"/>
  <c r="L140" i="23" s="1"/>
  <c r="L141" i="23" s="1"/>
  <c r="L142" i="23" s="1"/>
  <c r="L143" i="23" s="1"/>
  <c r="L144" i="23" s="1"/>
  <c r="L145" i="23" s="1"/>
  <c r="L146" i="23" s="1"/>
  <c r="L147" i="23" s="1"/>
  <c r="L148" i="23" s="1"/>
  <c r="L149" i="23" s="1"/>
  <c r="L150" i="23" s="1"/>
  <c r="L151" i="23" s="1"/>
  <c r="L152" i="23" s="1"/>
  <c r="L153" i="23" s="1"/>
  <c r="L154" i="23" s="1"/>
  <c r="L155" i="23" s="1"/>
  <c r="L158" i="23"/>
  <c r="L159" i="23" s="1"/>
  <c r="L160" i="23" s="1"/>
  <c r="L161" i="23" s="1"/>
  <c r="L162" i="23" s="1"/>
  <c r="L163" i="23" s="1"/>
  <c r="L164" i="23" s="1"/>
  <c r="L165" i="23" s="1"/>
  <c r="L166" i="23" s="1"/>
  <c r="L167" i="23" s="1"/>
  <c r="L168" i="23" s="1"/>
  <c r="L169" i="23" s="1"/>
  <c r="L170" i="23" s="1"/>
  <c r="L171" i="23" s="1"/>
  <c r="L172" i="23" s="1"/>
  <c r="L173" i="23" s="1"/>
  <c r="L174" i="23" s="1"/>
  <c r="L175" i="23" s="1"/>
  <c r="L176" i="23" s="1"/>
  <c r="L177" i="23" s="1"/>
  <c r="L178" i="23" s="1"/>
  <c r="L179" i="23" s="1"/>
  <c r="L180" i="23" s="1"/>
  <c r="L181" i="23" s="1"/>
  <c r="L182" i="23" s="1"/>
  <c r="L183" i="23" s="1"/>
  <c r="L184" i="23" s="1"/>
  <c r="L185" i="23" s="1"/>
  <c r="L186" i="23" s="1"/>
  <c r="L187" i="23" s="1"/>
  <c r="L188" i="23" s="1"/>
  <c r="L189" i="23" s="1"/>
  <c r="L190" i="23" s="1"/>
  <c r="L191" i="23" s="1"/>
  <c r="L192" i="23" s="1"/>
  <c r="L193" i="23" s="1"/>
  <c r="L194" i="23" s="1"/>
  <c r="L45" i="28"/>
  <c r="L46" i="28" s="1"/>
  <c r="L47" i="28" s="1"/>
  <c r="L48" i="28" s="1"/>
  <c r="L49" i="28" s="1"/>
  <c r="L50" i="28" s="1"/>
  <c r="L51" i="28" s="1"/>
  <c r="L52" i="28" s="1"/>
  <c r="L53" i="28" s="1"/>
  <c r="L54" i="28" s="1"/>
  <c r="L55" i="28" s="1"/>
  <c r="L56" i="28" s="1"/>
  <c r="L57" i="28" s="1"/>
  <c r="L58" i="28" s="1"/>
  <c r="L59" i="28" s="1"/>
  <c r="L60" i="28" s="1"/>
  <c r="L61" i="28" s="1"/>
  <c r="L62" i="28" s="1"/>
  <c r="L63" i="28" s="1"/>
  <c r="L64" i="28" s="1"/>
  <c r="L65" i="28" s="1"/>
  <c r="L66" i="28" s="1"/>
  <c r="L67" i="28" s="1"/>
  <c r="L68" i="28" s="1"/>
  <c r="L69" i="28" s="1"/>
  <c r="L70" i="28" s="1"/>
  <c r="L71" i="28" s="1"/>
  <c r="L72" i="28" s="1"/>
  <c r="L73" i="28" s="1"/>
  <c r="L74" i="28" s="1"/>
  <c r="L75" i="28" s="1"/>
  <c r="L76" i="28" s="1"/>
  <c r="L77" i="28" s="1"/>
  <c r="L78" i="28" s="1"/>
  <c r="L79" i="28" s="1"/>
  <c r="L80" i="28" s="1"/>
  <c r="L81" i="28" s="1"/>
  <c r="L82" i="28" s="1"/>
  <c r="L83" i="28" s="1"/>
  <c r="L84" i="28" s="1"/>
  <c r="L3" i="28"/>
  <c r="L4" i="28" s="1"/>
  <c r="L5" i="28" s="1"/>
  <c r="L6" i="28" s="1"/>
  <c r="L7" i="28" s="1"/>
  <c r="L8" i="28" s="1"/>
  <c r="L9" i="28" s="1"/>
  <c r="L10" i="28" s="1"/>
  <c r="L11" i="28" s="1"/>
  <c r="L12" i="28" s="1"/>
  <c r="L13" i="28" s="1"/>
  <c r="L14" i="28" s="1"/>
  <c r="L15" i="28" s="1"/>
  <c r="L16" i="28" s="1"/>
  <c r="L17" i="28" s="1"/>
  <c r="L18" i="28" s="1"/>
  <c r="L19" i="28" s="1"/>
  <c r="L20" i="28" s="1"/>
  <c r="L21" i="28" s="1"/>
  <c r="L22" i="28" s="1"/>
  <c r="L23" i="28" s="1"/>
  <c r="L24" i="28" s="1"/>
  <c r="L25" i="28" s="1"/>
  <c r="L26" i="28" s="1"/>
  <c r="L27" i="28" s="1"/>
  <c r="L28" i="28" s="1"/>
  <c r="L29" i="28" s="1"/>
  <c r="L30" i="28" s="1"/>
  <c r="L31" i="28" s="1"/>
  <c r="L32" i="28" s="1"/>
  <c r="L33" i="28" s="1"/>
  <c r="L34" i="28" s="1"/>
  <c r="L35" i="28" s="1"/>
  <c r="L36" i="28" s="1"/>
  <c r="L37" i="28" s="1"/>
  <c r="L38" i="28" s="1"/>
  <c r="L39" i="28" s="1"/>
  <c r="L40" i="28" s="1"/>
  <c r="L41" i="28" s="1"/>
  <c r="L42" i="28" s="1"/>
  <c r="L249" i="28"/>
  <c r="L250" i="28" s="1"/>
  <c r="L251" i="28" s="1"/>
  <c r="L252" i="28" s="1"/>
  <c r="L253" i="28" s="1"/>
  <c r="L254" i="28" s="1"/>
  <c r="L255" i="28" s="1"/>
  <c r="L256" i="28" s="1"/>
  <c r="L257" i="28" s="1"/>
  <c r="L258" i="28" s="1"/>
  <c r="L259" i="28" s="1"/>
  <c r="L260" i="28" s="1"/>
  <c r="L261" i="28" s="1"/>
  <c r="L262" i="28" s="1"/>
  <c r="L263" i="28" s="1"/>
  <c r="L264" i="28" s="1"/>
  <c r="L265" i="28" s="1"/>
  <c r="L266" i="28" s="1"/>
  <c r="L267" i="28" s="1"/>
  <c r="L268" i="28" s="1"/>
  <c r="L269" i="28" s="1"/>
  <c r="L270" i="28" s="1"/>
  <c r="L271" i="28" s="1"/>
  <c r="L272" i="28" s="1"/>
  <c r="L273" i="28" s="1"/>
  <c r="L274" i="28" s="1"/>
  <c r="L275" i="28" s="1"/>
  <c r="L276" i="28" s="1"/>
  <c r="L277" i="28" s="1"/>
  <c r="L278" i="28" s="1"/>
  <c r="L279" i="28" s="1"/>
  <c r="L280" i="28" s="1"/>
  <c r="L281" i="28" s="1"/>
  <c r="L282" i="28" s="1"/>
  <c r="L283" i="28" s="1"/>
  <c r="L284" i="28" s="1"/>
  <c r="L285" i="28" s="1"/>
  <c r="L286" i="28" s="1"/>
  <c r="L287" i="28" s="1"/>
  <c r="L288" i="28" s="1"/>
  <c r="L171" i="28"/>
  <c r="L172" i="28" s="1"/>
  <c r="L173" i="28" s="1"/>
  <c r="L174" i="28" s="1"/>
  <c r="L175" i="28" s="1"/>
  <c r="L176" i="28" s="1"/>
  <c r="L177" i="28" s="1"/>
  <c r="L178" i="28" s="1"/>
  <c r="L179" i="28" s="1"/>
  <c r="L180" i="28" s="1"/>
  <c r="L181" i="28" s="1"/>
  <c r="L182" i="28" s="1"/>
  <c r="L183" i="28" s="1"/>
  <c r="L184" i="28" s="1"/>
  <c r="L185" i="28" s="1"/>
  <c r="L186" i="28" s="1"/>
  <c r="L187" i="28" s="1"/>
  <c r="L188" i="28" s="1"/>
  <c r="L189" i="28" s="1"/>
  <c r="L190" i="28" s="1"/>
  <c r="L191" i="28" s="1"/>
  <c r="L192" i="28" s="1"/>
  <c r="L193" i="28" s="1"/>
  <c r="L194" i="28" s="1"/>
  <c r="L195" i="28" s="1"/>
  <c r="L196" i="28" s="1"/>
  <c r="L197" i="28" s="1"/>
  <c r="L198" i="28" s="1"/>
  <c r="L199" i="28" s="1"/>
  <c r="L200" i="28" s="1"/>
  <c r="L201" i="28" s="1"/>
  <c r="L202" i="28" s="1"/>
  <c r="L203" i="28" s="1"/>
  <c r="L204" i="28" s="1"/>
  <c r="L205" i="28" s="1"/>
  <c r="L206" i="28" s="1"/>
  <c r="L207" i="28" s="1"/>
  <c r="L87" i="28"/>
  <c r="L88" i="28" s="1"/>
  <c r="L89" i="28" s="1"/>
  <c r="L90" i="28" s="1"/>
  <c r="L91" i="28" s="1"/>
  <c r="L92" i="28" s="1"/>
  <c r="L93" i="28" s="1"/>
  <c r="L94" i="28" s="1"/>
  <c r="L95" i="28" s="1"/>
  <c r="L96" i="28" s="1"/>
  <c r="L97" i="28" s="1"/>
  <c r="L98" i="28" s="1"/>
  <c r="L99" i="28" s="1"/>
  <c r="L100" i="28" s="1"/>
  <c r="L101" i="28" s="1"/>
  <c r="L102" i="28" s="1"/>
  <c r="L103" i="28" s="1"/>
  <c r="L104" i="28" s="1"/>
  <c r="L105" i="28" s="1"/>
  <c r="L106" i="28" s="1"/>
  <c r="L107" i="28" s="1"/>
  <c r="L108" i="28" s="1"/>
  <c r="L109" i="28" s="1"/>
  <c r="L110" i="28" s="1"/>
  <c r="L111" i="28" s="1"/>
  <c r="L112" i="28" s="1"/>
  <c r="L113" i="28" s="1"/>
  <c r="L114" i="28" s="1"/>
  <c r="L115" i="28" s="1"/>
  <c r="L116" i="28" s="1"/>
  <c r="L117" i="28" s="1"/>
  <c r="L118" i="28" s="1"/>
  <c r="L119" i="28" s="1"/>
  <c r="L120" i="28" s="1"/>
  <c r="L121" i="28" s="1"/>
  <c r="L122" i="28" s="1"/>
  <c r="L123" i="28" s="1"/>
  <c r="L124" i="28" s="1"/>
  <c r="L125" i="28" s="1"/>
  <c r="L126" i="28" s="1"/>
  <c r="L210" i="28"/>
  <c r="L211" i="28" s="1"/>
  <c r="L212" i="28" s="1"/>
  <c r="L213" i="28" s="1"/>
  <c r="L214" i="28" s="1"/>
  <c r="L215" i="28" s="1"/>
  <c r="L216" i="28" s="1"/>
  <c r="L217" i="28" s="1"/>
  <c r="L218" i="28" s="1"/>
  <c r="L219" i="28" s="1"/>
  <c r="L220" i="28" s="1"/>
  <c r="L221" i="28" s="1"/>
  <c r="L222" i="28" s="1"/>
  <c r="L223" i="28" s="1"/>
  <c r="L224" i="28" s="1"/>
  <c r="L225" i="28" s="1"/>
  <c r="L226" i="28" s="1"/>
  <c r="L227" i="28" s="1"/>
  <c r="L228" i="28" s="1"/>
  <c r="L229" i="28" s="1"/>
  <c r="L230" i="28" s="1"/>
  <c r="L231" i="28" s="1"/>
  <c r="L232" i="28" s="1"/>
  <c r="L233" i="28" s="1"/>
  <c r="L234" i="28" s="1"/>
  <c r="L235" i="28" s="1"/>
  <c r="L236" i="28" s="1"/>
  <c r="L237" i="28" s="1"/>
  <c r="L238" i="28" s="1"/>
  <c r="L239" i="28" s="1"/>
  <c r="L240" i="28" s="1"/>
  <c r="L241" i="28" s="1"/>
  <c r="L242" i="28" s="1"/>
  <c r="L243" i="28" s="1"/>
  <c r="L244" i="28" s="1"/>
  <c r="L245" i="28" s="1"/>
  <c r="L246" i="28" s="1"/>
  <c r="L42" i="27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L55" i="27" s="1"/>
  <c r="L56" i="27" s="1"/>
  <c r="L57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L77" i="27" s="1"/>
  <c r="L78" i="27" s="1"/>
  <c r="L201" i="27"/>
  <c r="L202" i="27" s="1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84" i="26"/>
  <c r="L85" i="26" s="1"/>
  <c r="L86" i="26" s="1"/>
  <c r="L87" i="26" s="1"/>
  <c r="L88" i="26" s="1"/>
  <c r="L89" i="26" s="1"/>
  <c r="L90" i="26" s="1"/>
  <c r="L91" i="26" s="1"/>
  <c r="L92" i="26" s="1"/>
  <c r="L93" i="26" s="1"/>
  <c r="L94" i="26" s="1"/>
  <c r="L95" i="26" s="1"/>
  <c r="L96" i="26" s="1"/>
  <c r="L97" i="26" s="1"/>
  <c r="L98" i="26" s="1"/>
  <c r="L99" i="26" s="1"/>
  <c r="L100" i="26" s="1"/>
  <c r="L101" i="26" s="1"/>
  <c r="L102" i="26" s="1"/>
  <c r="L103" i="26" s="1"/>
  <c r="L104" i="26" s="1"/>
  <c r="L105" i="26" s="1"/>
  <c r="L106" i="26" s="1"/>
  <c r="L107" i="26" s="1"/>
  <c r="L108" i="26" s="1"/>
  <c r="L109" i="26" s="1"/>
  <c r="L110" i="26" s="1"/>
  <c r="L111" i="26" s="1"/>
  <c r="L112" i="26" s="1"/>
  <c r="L113" i="26" s="1"/>
  <c r="L114" i="26" s="1"/>
  <c r="L115" i="26" s="1"/>
  <c r="L116" i="26" s="1"/>
  <c r="L117" i="26" s="1"/>
  <c r="L118" i="26" s="1"/>
  <c r="L119" i="26" s="1"/>
  <c r="L120" i="26" s="1"/>
  <c r="L165" i="26"/>
  <c r="L166" i="26" s="1"/>
  <c r="L167" i="26" s="1"/>
  <c r="L168" i="26" s="1"/>
  <c r="L169" i="26" s="1"/>
  <c r="L170" i="26" s="1"/>
  <c r="L171" i="26" s="1"/>
  <c r="L172" i="26" s="1"/>
  <c r="L173" i="26" s="1"/>
  <c r="L174" i="26" s="1"/>
  <c r="L175" i="26" s="1"/>
  <c r="L176" i="26" s="1"/>
  <c r="L177" i="26" s="1"/>
  <c r="L178" i="26" s="1"/>
  <c r="L179" i="26" s="1"/>
  <c r="L180" i="26" s="1"/>
  <c r="L181" i="26" s="1"/>
  <c r="L182" i="26" s="1"/>
  <c r="L183" i="26" s="1"/>
  <c r="L184" i="26" s="1"/>
  <c r="L185" i="26" s="1"/>
  <c r="L186" i="26" s="1"/>
  <c r="L187" i="26" s="1"/>
  <c r="L188" i="26" s="1"/>
  <c r="L189" i="26" s="1"/>
  <c r="L190" i="26" s="1"/>
  <c r="L191" i="26" s="1"/>
  <c r="L192" i="26" s="1"/>
  <c r="L193" i="26" s="1"/>
  <c r="L194" i="26" s="1"/>
  <c r="L195" i="26" s="1"/>
  <c r="L196" i="26" s="1"/>
  <c r="L197" i="26" s="1"/>
  <c r="L198" i="26" s="1"/>
  <c r="L199" i="26" s="1"/>
  <c r="L200" i="26" s="1"/>
  <c r="L201" i="26" s="1"/>
  <c r="L285" i="26"/>
  <c r="L286" i="26" s="1"/>
  <c r="L287" i="26" s="1"/>
  <c r="L288" i="26" s="1"/>
  <c r="L289" i="26" s="1"/>
  <c r="L290" i="26" s="1"/>
  <c r="L291" i="26" s="1"/>
  <c r="L292" i="26" s="1"/>
  <c r="L293" i="26" s="1"/>
  <c r="L294" i="26" s="1"/>
  <c r="L295" i="26" s="1"/>
  <c r="L296" i="26" s="1"/>
  <c r="L297" i="26" s="1"/>
  <c r="L298" i="26" s="1"/>
  <c r="L299" i="26" s="1"/>
  <c r="L300" i="26" s="1"/>
  <c r="L301" i="26" s="1"/>
  <c r="L302" i="26" s="1"/>
  <c r="L303" i="26" s="1"/>
  <c r="L304" i="26" s="1"/>
  <c r="L305" i="26" s="1"/>
  <c r="L306" i="26" s="1"/>
  <c r="L307" i="26" s="1"/>
  <c r="L308" i="26" s="1"/>
  <c r="L309" i="26" s="1"/>
  <c r="L310" i="26" s="1"/>
  <c r="L311" i="26" s="1"/>
  <c r="L312" i="26" s="1"/>
  <c r="L313" i="26" s="1"/>
  <c r="L314" i="26" s="1"/>
  <c r="L315" i="26" s="1"/>
  <c r="L316" i="26" s="1"/>
  <c r="L317" i="26" s="1"/>
  <c r="L318" i="26" s="1"/>
  <c r="L319" i="26" s="1"/>
  <c r="L320" i="26" s="1"/>
  <c r="L321" i="26" s="1"/>
  <c r="L81" i="25"/>
  <c r="L82" i="25" s="1"/>
  <c r="L83" i="25" s="1"/>
  <c r="L84" i="25" s="1"/>
  <c r="L85" i="25" s="1"/>
  <c r="L86" i="25" s="1"/>
  <c r="L87" i="25" s="1"/>
  <c r="L88" i="25" s="1"/>
  <c r="L89" i="25" s="1"/>
  <c r="L90" i="25" s="1"/>
  <c r="L91" i="25" s="1"/>
  <c r="L92" i="25" s="1"/>
  <c r="L93" i="25" s="1"/>
  <c r="L94" i="25" s="1"/>
  <c r="L95" i="25" s="1"/>
  <c r="L96" i="25" s="1"/>
  <c r="L97" i="25" s="1"/>
  <c r="L98" i="25" s="1"/>
  <c r="L99" i="25" s="1"/>
  <c r="L100" i="25" s="1"/>
  <c r="L3" i="25"/>
  <c r="L4" i="25" s="1"/>
  <c r="L5" i="25" s="1"/>
  <c r="L6" i="25" s="1"/>
  <c r="L7" i="25" s="1"/>
  <c r="L8" i="25" s="1"/>
  <c r="L9" i="25" s="1"/>
  <c r="L10" i="25" s="1"/>
  <c r="L11" i="25" s="1"/>
  <c r="L12" i="25" s="1"/>
  <c r="L13" i="25" s="1"/>
  <c r="L14" i="25" s="1"/>
  <c r="L15" i="25" s="1"/>
  <c r="L16" i="25" s="1"/>
  <c r="L17" i="25" s="1"/>
  <c r="L18" i="25" s="1"/>
  <c r="L19" i="25" s="1"/>
  <c r="L20" i="25" s="1"/>
  <c r="L21" i="25" s="1"/>
  <c r="L22" i="25" s="1"/>
  <c r="L23" i="25" s="1"/>
  <c r="L24" i="25" s="1"/>
  <c r="L25" i="25" s="1"/>
  <c r="L26" i="25" s="1"/>
  <c r="L27" i="25" s="1"/>
  <c r="L28" i="25" s="1"/>
  <c r="L29" i="25" s="1"/>
  <c r="L30" i="25" s="1"/>
  <c r="L31" i="25" s="1"/>
  <c r="L32" i="25" s="1"/>
  <c r="L33" i="25" s="1"/>
  <c r="L34" i="25" s="1"/>
  <c r="L35" i="25" s="1"/>
  <c r="L36" i="25" s="1"/>
  <c r="L37" i="25" s="1"/>
  <c r="L38" i="25" s="1"/>
  <c r="L39" i="25" s="1"/>
  <c r="L201" i="25"/>
  <c r="L202" i="25" s="1"/>
  <c r="L203" i="25" s="1"/>
  <c r="L204" i="25" s="1"/>
  <c r="L205" i="25" s="1"/>
  <c r="L206" i="25" s="1"/>
  <c r="L207" i="25" s="1"/>
  <c r="L159" i="25"/>
  <c r="L160" i="25" s="1"/>
  <c r="L161" i="25" s="1"/>
  <c r="L162" i="25" s="1"/>
  <c r="L163" i="25" s="1"/>
  <c r="L164" i="25" s="1"/>
  <c r="L165" i="25" s="1"/>
  <c r="L166" i="25" s="1"/>
  <c r="L167" i="25" s="1"/>
  <c r="L168" i="25" s="1"/>
  <c r="L169" i="25" s="1"/>
  <c r="L170" i="25" s="1"/>
  <c r="L171" i="25" s="1"/>
  <c r="L172" i="25" s="1"/>
  <c r="L173" i="25" s="1"/>
  <c r="L174" i="25" s="1"/>
  <c r="L175" i="25" s="1"/>
  <c r="L176" i="25" s="1"/>
  <c r="L177" i="25" s="1"/>
  <c r="L178" i="25" s="1"/>
  <c r="L179" i="25" s="1"/>
  <c r="L180" i="25" s="1"/>
  <c r="L181" i="25" s="1"/>
  <c r="L182" i="25" s="1"/>
  <c r="L183" i="25" s="1"/>
  <c r="L184" i="25" s="1"/>
  <c r="L185" i="25" s="1"/>
  <c r="L186" i="25" s="1"/>
  <c r="L187" i="25" s="1"/>
  <c r="L188" i="25" s="1"/>
  <c r="L189" i="25" s="1"/>
  <c r="L190" i="25" s="1"/>
  <c r="L191" i="25" s="1"/>
  <c r="L192" i="25" s="1"/>
  <c r="L193" i="25" s="1"/>
  <c r="L194" i="25" s="1"/>
  <c r="L195" i="25" s="1"/>
  <c r="L196" i="25" s="1"/>
  <c r="L197" i="25" s="1"/>
  <c r="L198" i="25" s="1"/>
  <c r="L42" i="25"/>
  <c r="L43" i="25" s="1"/>
  <c r="L44" i="25" s="1"/>
  <c r="L45" i="25" s="1"/>
  <c r="L46" i="25" s="1"/>
  <c r="L47" i="25" s="1"/>
  <c r="L48" i="25" s="1"/>
  <c r="L49" i="25" s="1"/>
  <c r="L50" i="25" s="1"/>
  <c r="L51" i="25" s="1"/>
  <c r="L52" i="25" s="1"/>
  <c r="L53" i="25" s="1"/>
  <c r="L54" i="25" s="1"/>
  <c r="L55" i="25" s="1"/>
  <c r="L56" i="25" s="1"/>
  <c r="L57" i="25" s="1"/>
  <c r="L58" i="25" s="1"/>
  <c r="L59" i="25" s="1"/>
  <c r="L60" i="25" s="1"/>
  <c r="L61" i="25" s="1"/>
  <c r="L62" i="25" s="1"/>
  <c r="L63" i="25" s="1"/>
  <c r="L64" i="25" s="1"/>
  <c r="L65" i="25" s="1"/>
  <c r="L66" i="25" s="1"/>
  <c r="L67" i="25" s="1"/>
  <c r="L68" i="25" s="1"/>
  <c r="L69" i="25" s="1"/>
  <c r="L70" i="25" s="1"/>
  <c r="L71" i="25" s="1"/>
  <c r="L72" i="25" s="1"/>
  <c r="L73" i="25" s="1"/>
  <c r="L74" i="25" s="1"/>
  <c r="L75" i="25" s="1"/>
  <c r="L76" i="25" s="1"/>
  <c r="L77" i="25" s="1"/>
  <c r="L78" i="25" s="1"/>
  <c r="L120" i="25"/>
  <c r="L121" i="25" s="1"/>
  <c r="L122" i="25" s="1"/>
  <c r="L123" i="25" s="1"/>
  <c r="L124" i="25" s="1"/>
  <c r="L125" i="25" s="1"/>
  <c r="L126" i="25" s="1"/>
  <c r="L127" i="25" s="1"/>
  <c r="L128" i="25" s="1"/>
  <c r="L129" i="25" s="1"/>
  <c r="L130" i="25" s="1"/>
  <c r="L131" i="25" s="1"/>
  <c r="L132" i="25" s="1"/>
  <c r="L133" i="25" s="1"/>
  <c r="L134" i="25" s="1"/>
  <c r="L135" i="25" s="1"/>
  <c r="L136" i="25" s="1"/>
  <c r="L137" i="25" s="1"/>
  <c r="L138" i="25" s="1"/>
  <c r="L139" i="25" s="1"/>
  <c r="L140" i="25" s="1"/>
  <c r="L141" i="25" s="1"/>
  <c r="L142" i="25" s="1"/>
  <c r="L143" i="25" s="1"/>
  <c r="L144" i="25" s="1"/>
  <c r="L145" i="25" s="1"/>
  <c r="L146" i="25" s="1"/>
  <c r="L147" i="25" s="1"/>
  <c r="L148" i="25" s="1"/>
  <c r="L149" i="25" s="1"/>
  <c r="L150" i="25" s="1"/>
  <c r="L151" i="25" s="1"/>
  <c r="L152" i="25" s="1"/>
  <c r="L153" i="25" s="1"/>
  <c r="L154" i="25" s="1"/>
  <c r="L155" i="25" s="1"/>
  <c r="L156" i="25" s="1"/>
  <c r="L279" i="25"/>
  <c r="L280" i="25" s="1"/>
  <c r="L281" i="25" s="1"/>
  <c r="L282" i="25" s="1"/>
  <c r="L283" i="25" s="1"/>
  <c r="L284" i="25" s="1"/>
  <c r="L285" i="25" s="1"/>
  <c r="L286" i="25" s="1"/>
  <c r="L287" i="25" s="1"/>
  <c r="L288" i="25" s="1"/>
  <c r="L289" i="25" s="1"/>
  <c r="L290" i="25" s="1"/>
  <c r="L291" i="25" s="1"/>
  <c r="L292" i="25" s="1"/>
  <c r="L293" i="25" s="1"/>
  <c r="L294" i="25" s="1"/>
  <c r="L295" i="25" s="1"/>
  <c r="L296" i="25" s="1"/>
  <c r="L297" i="25" s="1"/>
  <c r="L298" i="25" s="1"/>
  <c r="L299" i="25" s="1"/>
  <c r="L300" i="25" s="1"/>
  <c r="L301" i="25" s="1"/>
  <c r="L302" i="25" s="1"/>
  <c r="L303" i="25" s="1"/>
  <c r="L304" i="25" s="1"/>
  <c r="L305" i="25" s="1"/>
  <c r="L306" i="25" s="1"/>
  <c r="L307" i="25" s="1"/>
  <c r="L308" i="25" s="1"/>
  <c r="L309" i="25" s="1"/>
  <c r="L240" i="25"/>
  <c r="L241" i="25" s="1"/>
  <c r="L242" i="25" s="1"/>
  <c r="L243" i="25" s="1"/>
  <c r="L244" i="25" s="1"/>
  <c r="L245" i="25" s="1"/>
  <c r="L246" i="25" s="1"/>
  <c r="L247" i="25" s="1"/>
  <c r="L248" i="25" s="1"/>
  <c r="L249" i="25" s="1"/>
  <c r="L250" i="25" s="1"/>
  <c r="L251" i="25" s="1"/>
  <c r="L252" i="25" s="1"/>
  <c r="L253" i="25" s="1"/>
  <c r="L254" i="25" s="1"/>
  <c r="L255" i="25" s="1"/>
  <c r="L256" i="25" s="1"/>
  <c r="L257" i="25" s="1"/>
  <c r="L258" i="25" s="1"/>
  <c r="L259" i="25" s="1"/>
  <c r="L260" i="25" s="1"/>
  <c r="L261" i="25" s="1"/>
  <c r="L262" i="25" s="1"/>
  <c r="L263" i="25" s="1"/>
  <c r="L264" i="25" s="1"/>
  <c r="L265" i="25" s="1"/>
  <c r="L266" i="25" s="1"/>
  <c r="L267" i="25" s="1"/>
  <c r="L268" i="25" s="1"/>
  <c r="L269" i="25" s="1"/>
  <c r="L270" i="25" s="1"/>
  <c r="L271" i="25" s="1"/>
  <c r="L272" i="25" s="1"/>
  <c r="L273" i="25" s="1"/>
  <c r="L274" i="25" s="1"/>
  <c r="L275" i="25" s="1"/>
  <c r="L276" i="25" s="1"/>
  <c r="L198" i="24"/>
  <c r="L199" i="24" s="1"/>
  <c r="L200" i="24" s="1"/>
  <c r="L201" i="24" s="1"/>
  <c r="L202" i="24" s="1"/>
  <c r="L203" i="24" s="1"/>
  <c r="L204" i="24" s="1"/>
  <c r="L205" i="24" s="1"/>
  <c r="L206" i="24" s="1"/>
  <c r="L207" i="24" s="1"/>
  <c r="L208" i="24" s="1"/>
  <c r="L209" i="24" s="1"/>
  <c r="L210" i="24" s="1"/>
  <c r="L211" i="24" s="1"/>
  <c r="L212" i="24" s="1"/>
  <c r="L213" i="24" s="1"/>
  <c r="L214" i="24" s="1"/>
  <c r="L215" i="24" s="1"/>
  <c r="L216" i="24" s="1"/>
  <c r="L217" i="24" s="1"/>
  <c r="L218" i="24" s="1"/>
  <c r="L219" i="24" s="1"/>
  <c r="L220" i="24" s="1"/>
  <c r="L221" i="24" s="1"/>
  <c r="L222" i="24" s="1"/>
  <c r="L223" i="24" s="1"/>
  <c r="L224" i="24" s="1"/>
  <c r="L225" i="24" s="1"/>
  <c r="L226" i="24" s="1"/>
  <c r="L227" i="24" s="1"/>
  <c r="L228" i="24" s="1"/>
  <c r="L229" i="24" s="1"/>
  <c r="L230" i="24" s="1"/>
  <c r="L231" i="24" s="1"/>
  <c r="L232" i="24" s="1"/>
  <c r="L233" i="24" s="1"/>
  <c r="L234" i="24" s="1"/>
  <c r="L276" i="24"/>
  <c r="L277" i="24" s="1"/>
  <c r="L278" i="24" s="1"/>
  <c r="L279" i="24" s="1"/>
  <c r="L280" i="24" s="1"/>
  <c r="L281" i="24" s="1"/>
  <c r="L282" i="24" s="1"/>
  <c r="L283" i="24" s="1"/>
  <c r="L284" i="24" s="1"/>
  <c r="L285" i="24" s="1"/>
  <c r="L286" i="24" s="1"/>
  <c r="L287" i="24" s="1"/>
  <c r="L288" i="24" s="1"/>
  <c r="L289" i="24" s="1"/>
  <c r="L290" i="24" s="1"/>
  <c r="L291" i="24" s="1"/>
  <c r="L292" i="24" s="1"/>
  <c r="L293" i="24" s="1"/>
  <c r="L294" i="24" s="1"/>
  <c r="L295" i="24" s="1"/>
  <c r="L296" i="24" s="1"/>
  <c r="L297" i="24" s="1"/>
  <c r="L298" i="24" s="1"/>
  <c r="L299" i="24" s="1"/>
  <c r="L300" i="24" s="1"/>
  <c r="L301" i="24" s="1"/>
  <c r="L302" i="24" s="1"/>
  <c r="L303" i="24" s="1"/>
  <c r="L304" i="24" s="1"/>
  <c r="L305" i="24" s="1"/>
  <c r="L306" i="24" s="1"/>
  <c r="L307" i="24" s="1"/>
  <c r="L308" i="24" s="1"/>
  <c r="L309" i="24" s="1"/>
  <c r="L310" i="24" s="1"/>
  <c r="L311" i="24" s="1"/>
  <c r="L312" i="24" s="1"/>
  <c r="L237" i="24"/>
  <c r="L238" i="24" s="1"/>
  <c r="L239" i="24" s="1"/>
  <c r="L240" i="24" s="1"/>
  <c r="L241" i="24" s="1"/>
  <c r="L242" i="24" s="1"/>
  <c r="L243" i="24" s="1"/>
  <c r="L244" i="24" s="1"/>
  <c r="L245" i="24" s="1"/>
  <c r="L246" i="24" s="1"/>
  <c r="L247" i="24" s="1"/>
  <c r="L248" i="24" s="1"/>
  <c r="L249" i="24" s="1"/>
  <c r="L250" i="24" s="1"/>
  <c r="L251" i="24" s="1"/>
  <c r="L252" i="24" s="1"/>
  <c r="L253" i="24" s="1"/>
  <c r="L254" i="24" s="1"/>
  <c r="L255" i="24" s="1"/>
  <c r="L256" i="24" s="1"/>
  <c r="L257" i="24" s="1"/>
  <c r="L258" i="24" s="1"/>
  <c r="L259" i="24" s="1"/>
  <c r="L260" i="24" s="1"/>
  <c r="L261" i="24" s="1"/>
  <c r="L262" i="24" s="1"/>
  <c r="L263" i="24" s="1"/>
  <c r="L264" i="24" s="1"/>
  <c r="L265" i="24" s="1"/>
  <c r="L266" i="24" s="1"/>
  <c r="L267" i="24" s="1"/>
  <c r="L268" i="24" s="1"/>
  <c r="L269" i="24" s="1"/>
  <c r="L270" i="24" s="1"/>
  <c r="L271" i="24" s="1"/>
  <c r="L272" i="24" s="1"/>
  <c r="L273" i="24" s="1"/>
  <c r="L42" i="24"/>
  <c r="L43" i="24" s="1"/>
  <c r="L44" i="24" s="1"/>
  <c r="L45" i="24" s="1"/>
  <c r="L46" i="24" s="1"/>
  <c r="L47" i="24" s="1"/>
  <c r="L48" i="24" s="1"/>
  <c r="L49" i="24" s="1"/>
  <c r="L50" i="24" s="1"/>
  <c r="L51" i="24" s="1"/>
  <c r="L52" i="24" s="1"/>
  <c r="L53" i="24" s="1"/>
  <c r="L54" i="24" s="1"/>
  <c r="L55" i="24" s="1"/>
  <c r="L56" i="24" s="1"/>
  <c r="L57" i="24" s="1"/>
  <c r="L58" i="24" s="1"/>
  <c r="L59" i="24" s="1"/>
  <c r="L60" i="24" s="1"/>
  <c r="L61" i="24" s="1"/>
  <c r="L62" i="24" s="1"/>
  <c r="L63" i="24" s="1"/>
  <c r="L64" i="24" s="1"/>
  <c r="L65" i="24" s="1"/>
  <c r="L66" i="24" s="1"/>
  <c r="L67" i="24" s="1"/>
  <c r="L68" i="24" s="1"/>
  <c r="L69" i="24" s="1"/>
  <c r="L70" i="24" s="1"/>
  <c r="L71" i="24" s="1"/>
  <c r="L72" i="24" s="1"/>
  <c r="L73" i="24" s="1"/>
  <c r="L74" i="24" s="1"/>
  <c r="L75" i="24" s="1"/>
  <c r="L76" i="24" s="1"/>
  <c r="L77" i="24" s="1"/>
  <c r="L78" i="24" s="1"/>
  <c r="L208" i="25" l="1"/>
  <c r="L209" i="25" s="1"/>
  <c r="L210" i="25" s="1"/>
  <c r="L211" i="25" s="1"/>
  <c r="L212" i="25" s="1"/>
  <c r="L213" i="25" s="1"/>
  <c r="L214" i="25" s="1"/>
  <c r="L215" i="25" s="1"/>
  <c r="L216" i="25" s="1"/>
  <c r="L217" i="25" s="1"/>
  <c r="L218" i="25" s="1"/>
  <c r="L219" i="25" s="1"/>
  <c r="L220" i="25" s="1"/>
  <c r="L221" i="25" s="1"/>
  <c r="L222" i="25" s="1"/>
  <c r="L223" i="25" s="1"/>
  <c r="L224" i="25" s="1"/>
  <c r="L225" i="25" s="1"/>
  <c r="L226" i="25" s="1"/>
  <c r="L227" i="25" s="1"/>
  <c r="L228" i="25" s="1"/>
  <c r="L229" i="25" s="1"/>
  <c r="L230" i="25" s="1"/>
  <c r="L231" i="25" s="1"/>
  <c r="L232" i="25" s="1"/>
  <c r="L233" i="25" s="1"/>
  <c r="L234" i="25" s="1"/>
  <c r="L235" i="25" s="1"/>
  <c r="L236" i="25" s="1"/>
  <c r="L237" i="25" s="1"/>
  <c r="R245" i="25"/>
  <c r="R246" i="25" s="1"/>
  <c r="R247" i="25" s="1"/>
  <c r="R248" i="25" s="1"/>
  <c r="R249" i="25" s="1"/>
  <c r="R250" i="25" s="1"/>
  <c r="R251" i="25" s="1"/>
  <c r="R252" i="25" s="1"/>
  <c r="R253" i="25" s="1"/>
  <c r="R254" i="25" s="1"/>
  <c r="R255" i="25" s="1"/>
  <c r="R256" i="25" s="1"/>
  <c r="R257" i="25" s="1"/>
  <c r="R258" i="25" s="1"/>
  <c r="R259" i="25" s="1"/>
  <c r="R260" i="25" s="1"/>
  <c r="R261" i="25" s="1"/>
  <c r="R262" i="25" s="1"/>
  <c r="R263" i="25" s="1"/>
  <c r="R264" i="25" s="1"/>
  <c r="R265" i="25" s="1"/>
  <c r="R266" i="25" s="1"/>
  <c r="R267" i="25" s="1"/>
  <c r="R268" i="25" s="1"/>
  <c r="R269" i="25" s="1"/>
  <c r="R270" i="25" s="1"/>
  <c r="R271" i="25" s="1"/>
  <c r="R272" i="25" s="1"/>
  <c r="R273" i="25" s="1"/>
  <c r="R274" i="25" s="1"/>
  <c r="R275" i="25" s="1"/>
  <c r="R276" i="25" s="1"/>
  <c r="L101" i="25"/>
  <c r="L102" i="25" s="1"/>
  <c r="L103" i="25" s="1"/>
  <c r="L104" i="25" s="1"/>
  <c r="L105" i="25" s="1"/>
  <c r="L106" i="25" s="1"/>
  <c r="L107" i="25" s="1"/>
  <c r="L108" i="25" s="1"/>
  <c r="L109" i="25" s="1"/>
  <c r="L110" i="25" s="1"/>
  <c r="L111" i="25" s="1"/>
  <c r="L112" i="25" s="1"/>
  <c r="L113" i="25" s="1"/>
  <c r="L114" i="25" s="1"/>
  <c r="L115" i="25" s="1"/>
  <c r="L116" i="25" s="1"/>
  <c r="L117" i="25" s="1"/>
  <c r="R86" i="25"/>
  <c r="R87" i="25" s="1"/>
  <c r="R88" i="25" s="1"/>
  <c r="R89" i="25" s="1"/>
  <c r="R90" i="25" s="1"/>
  <c r="R91" i="25" s="1"/>
  <c r="R92" i="25" s="1"/>
  <c r="R93" i="25" s="1"/>
  <c r="R94" i="25" s="1"/>
  <c r="R95" i="25" s="1"/>
  <c r="R96" i="25" s="1"/>
  <c r="R97" i="25" s="1"/>
  <c r="R98" i="25" s="1"/>
  <c r="R99" i="25" s="1"/>
  <c r="R100" i="25" s="1"/>
  <c r="R101" i="25" s="1"/>
  <c r="R102" i="25" s="1"/>
  <c r="R103" i="25" s="1"/>
  <c r="R104" i="25" s="1"/>
  <c r="R105" i="25" s="1"/>
  <c r="R106" i="25" s="1"/>
  <c r="R107" i="25" s="1"/>
  <c r="R108" i="25" s="1"/>
  <c r="R109" i="25" s="1"/>
  <c r="R110" i="25" s="1"/>
  <c r="R111" i="25" s="1"/>
  <c r="R112" i="25" s="1"/>
  <c r="R113" i="25" s="1"/>
  <c r="R114" i="25" s="1"/>
  <c r="R115" i="25" s="1"/>
  <c r="R116" i="25" s="1"/>
  <c r="R117" i="25" s="1"/>
  <c r="R145" i="25"/>
  <c r="R146" i="25" s="1"/>
  <c r="R147" i="25" s="1"/>
  <c r="R148" i="25" s="1"/>
  <c r="R149" i="25" s="1"/>
  <c r="R150" i="25" s="1"/>
  <c r="R151" i="25" s="1"/>
  <c r="R152" i="25" s="1"/>
  <c r="R153" i="25" s="1"/>
  <c r="R154" i="25" s="1"/>
  <c r="R155" i="25" s="1"/>
  <c r="R156" i="25" s="1"/>
  <c r="R175" i="25"/>
  <c r="R176" i="25" s="1"/>
  <c r="R177" i="25" s="1"/>
  <c r="R178" i="25" s="1"/>
  <c r="R179" i="25" s="1"/>
  <c r="R180" i="25" s="1"/>
  <c r="R181" i="25" s="1"/>
  <c r="R182" i="25" s="1"/>
  <c r="R183" i="25" s="1"/>
  <c r="R184" i="25" s="1"/>
  <c r="R185" i="25" s="1"/>
  <c r="R186" i="25" s="1"/>
  <c r="R187" i="25" s="1"/>
  <c r="R188" i="25" s="1"/>
  <c r="R189" i="25" s="1"/>
  <c r="R190" i="25" s="1"/>
  <c r="R191" i="25" s="1"/>
  <c r="R192" i="25" s="1"/>
  <c r="R193" i="25" s="1"/>
  <c r="R194" i="25" s="1"/>
  <c r="R195" i="25" s="1"/>
  <c r="R196" i="25" s="1"/>
  <c r="R197" i="25" s="1"/>
  <c r="R198" i="25" s="1"/>
  <c r="R23" i="25"/>
  <c r="R24" i="25" s="1"/>
  <c r="R25" i="25" s="1"/>
  <c r="R26" i="25" s="1"/>
  <c r="R27" i="25" s="1"/>
  <c r="R28" i="25" s="1"/>
  <c r="R29" i="25" s="1"/>
  <c r="R30" i="25" s="1"/>
  <c r="R31" i="25" s="1"/>
  <c r="R32" i="25" s="1"/>
  <c r="R33" i="25" s="1"/>
  <c r="R34" i="25" s="1"/>
  <c r="R35" i="25" s="1"/>
  <c r="R36" i="25" s="1"/>
  <c r="R37" i="25" s="1"/>
  <c r="R38" i="25" s="1"/>
  <c r="R39" i="25" s="1"/>
  <c r="R204" i="25"/>
  <c r="R205" i="25" s="1"/>
  <c r="R206" i="25" s="1"/>
  <c r="R207" i="25" s="1"/>
  <c r="R208" i="25" s="1"/>
  <c r="R209" i="25" s="1"/>
  <c r="R210" i="25" s="1"/>
  <c r="R211" i="25" s="1"/>
  <c r="R212" i="25" s="1"/>
  <c r="R213" i="25" s="1"/>
  <c r="R214" i="25" s="1"/>
  <c r="R215" i="25" s="1"/>
  <c r="R216" i="25" s="1"/>
  <c r="R217" i="25" s="1"/>
  <c r="R218" i="25" s="1"/>
  <c r="R219" i="25" s="1"/>
  <c r="R220" i="25" s="1"/>
  <c r="R221" i="25" s="1"/>
  <c r="R222" i="25" s="1"/>
  <c r="R223" i="25" s="1"/>
  <c r="R224" i="25" s="1"/>
  <c r="R225" i="25" s="1"/>
  <c r="R226" i="25" s="1"/>
  <c r="R227" i="25" s="1"/>
  <c r="R228" i="25" s="1"/>
  <c r="R229" i="25" s="1"/>
  <c r="R230" i="25" s="1"/>
  <c r="R231" i="25" s="1"/>
  <c r="R232" i="25" s="1"/>
  <c r="R233" i="25" s="1"/>
  <c r="R234" i="25" s="1"/>
  <c r="R235" i="25" s="1"/>
  <c r="R236" i="25" s="1"/>
  <c r="R237" i="25" s="1"/>
  <c r="R49" i="25"/>
  <c r="R50" i="25" s="1"/>
  <c r="R51" i="25" s="1"/>
  <c r="R52" i="25" s="1"/>
  <c r="R53" i="25" s="1"/>
  <c r="R54" i="25" s="1"/>
  <c r="R55" i="25" s="1"/>
  <c r="R56" i="25" s="1"/>
  <c r="R57" i="25" s="1"/>
  <c r="R58" i="25" s="1"/>
  <c r="R59" i="25" s="1"/>
  <c r="R60" i="25" s="1"/>
  <c r="R61" i="25" s="1"/>
  <c r="R62" i="25" s="1"/>
  <c r="R63" i="25" s="1"/>
  <c r="R64" i="25" s="1"/>
  <c r="R65" i="25" s="1"/>
  <c r="R66" i="25" s="1"/>
  <c r="R67" i="25" s="1"/>
  <c r="R68" i="25" s="1"/>
  <c r="R69" i="25" s="1"/>
  <c r="R70" i="25" s="1"/>
  <c r="R71" i="25" s="1"/>
  <c r="R72" i="25" s="1"/>
  <c r="R73" i="25" s="1"/>
  <c r="R74" i="25" s="1"/>
  <c r="R75" i="25" s="1"/>
  <c r="R76" i="25" s="1"/>
  <c r="R77" i="25" s="1"/>
  <c r="R78" i="25" s="1"/>
  <c r="L310" i="25"/>
  <c r="L311" i="25" s="1"/>
  <c r="L312" i="25" s="1"/>
  <c r="L313" i="25" s="1"/>
  <c r="L314" i="25" s="1"/>
  <c r="L315" i="25" s="1"/>
  <c r="L308" i="27"/>
  <c r="L309" i="27" s="1"/>
  <c r="L310" i="27" s="1"/>
  <c r="L311" i="27" s="1"/>
  <c r="L312" i="27" s="1"/>
  <c r="L313" i="27" s="1"/>
  <c r="L314" i="27" s="1"/>
  <c r="L315" i="27" s="1"/>
  <c r="L316" i="27" s="1"/>
  <c r="L317" i="27" s="1"/>
  <c r="L318" i="27" s="1"/>
  <c r="R110" i="27"/>
  <c r="R111" i="27" s="1"/>
  <c r="R112" i="27" s="1"/>
  <c r="R113" i="27" s="1"/>
  <c r="R114" i="27" s="1"/>
  <c r="R115" i="27" s="1"/>
  <c r="R116" i="27" s="1"/>
  <c r="R117" i="27" s="1"/>
  <c r="R118" i="27" s="1"/>
  <c r="R119" i="27" s="1"/>
  <c r="R120" i="27" s="1"/>
  <c r="L110" i="27"/>
  <c r="L111" i="27" s="1"/>
  <c r="L112" i="27" s="1"/>
  <c r="L113" i="27" s="1"/>
  <c r="L114" i="27" s="1"/>
  <c r="L115" i="27" s="1"/>
  <c r="L116" i="27" s="1"/>
  <c r="L117" i="27" s="1"/>
  <c r="L118" i="27" s="1"/>
  <c r="L119" i="27" s="1"/>
  <c r="L120" i="27" s="1"/>
  <c r="R308" i="27"/>
  <c r="R309" i="27" s="1"/>
  <c r="R310" i="27" s="1"/>
  <c r="R311" i="27" s="1"/>
  <c r="R312" i="27" s="1"/>
  <c r="R313" i="27" s="1"/>
  <c r="R314" i="27" s="1"/>
  <c r="R315" i="27" s="1"/>
  <c r="R316" i="27" s="1"/>
  <c r="R317" i="27" s="1"/>
  <c r="R318" i="27" s="1"/>
  <c r="O8" i="25"/>
  <c r="P7" i="25"/>
  <c r="O297" i="28"/>
  <c r="P296" i="28"/>
  <c r="O255" i="28"/>
  <c r="P254" i="28"/>
  <c r="P215" i="28"/>
  <c r="O216" i="28"/>
  <c r="O176" i="28"/>
  <c r="P175" i="28"/>
  <c r="P134" i="28"/>
  <c r="O135" i="28"/>
  <c r="P92" i="28"/>
  <c r="O93" i="28"/>
  <c r="P50" i="28"/>
  <c r="O51" i="28"/>
  <c r="O9" i="28"/>
  <c r="P8" i="28"/>
  <c r="P290" i="26"/>
  <c r="O291" i="26"/>
  <c r="P248" i="26"/>
  <c r="O249" i="26"/>
  <c r="O210" i="26"/>
  <c r="P209" i="26"/>
  <c r="O171" i="26"/>
  <c r="P170" i="26"/>
  <c r="O128" i="26"/>
  <c r="P127" i="26"/>
  <c r="O89" i="26"/>
  <c r="P88" i="26"/>
  <c r="O48" i="26"/>
  <c r="P47" i="26"/>
  <c r="O9" i="26"/>
  <c r="P8" i="26"/>
  <c r="O282" i="24"/>
  <c r="P281" i="24"/>
  <c r="O243" i="24"/>
  <c r="P242" i="24"/>
  <c r="P203" i="24"/>
  <c r="O204" i="24"/>
  <c r="O165" i="24"/>
  <c r="P164" i="24"/>
  <c r="O125" i="24"/>
  <c r="P124" i="24"/>
  <c r="O87" i="24"/>
  <c r="P86" i="24"/>
  <c r="O48" i="24"/>
  <c r="P47" i="24"/>
  <c r="O9" i="24"/>
  <c r="P9" i="24" s="1"/>
  <c r="O285" i="27"/>
  <c r="P284" i="27"/>
  <c r="P244" i="27"/>
  <c r="O245" i="27"/>
  <c r="O207" i="27"/>
  <c r="P206" i="27"/>
  <c r="O168" i="27"/>
  <c r="P167" i="27"/>
  <c r="O129" i="27"/>
  <c r="P128" i="27"/>
  <c r="P85" i="27"/>
  <c r="O86" i="27"/>
  <c r="P47" i="27"/>
  <c r="O48" i="27"/>
  <c r="O9" i="27"/>
  <c r="P8" i="27"/>
  <c r="O285" i="25"/>
  <c r="P284" i="25"/>
  <c r="O246" i="25"/>
  <c r="P245" i="25"/>
  <c r="O207" i="25"/>
  <c r="P206" i="25"/>
  <c r="O165" i="25"/>
  <c r="P164" i="25"/>
  <c r="O126" i="25"/>
  <c r="P125" i="25"/>
  <c r="O87" i="25"/>
  <c r="P86" i="25"/>
  <c r="O48" i="25"/>
  <c r="P47" i="25"/>
  <c r="O9" i="25" l="1"/>
  <c r="P8" i="25"/>
  <c r="O298" i="28"/>
  <c r="P297" i="28"/>
  <c r="P255" i="28"/>
  <c r="O256" i="28"/>
  <c r="P216" i="28"/>
  <c r="O217" i="28"/>
  <c r="O177" i="28"/>
  <c r="P176" i="28"/>
  <c r="O136" i="28"/>
  <c r="P135" i="28"/>
  <c r="O94" i="28"/>
  <c r="P93" i="28"/>
  <c r="O52" i="28"/>
  <c r="P51" i="28"/>
  <c r="P9" i="28"/>
  <c r="O10" i="28"/>
  <c r="P291" i="26"/>
  <c r="O292" i="26"/>
  <c r="O250" i="26"/>
  <c r="P249" i="26"/>
  <c r="P210" i="26"/>
  <c r="O211" i="26"/>
  <c r="P171" i="26"/>
  <c r="O172" i="26"/>
  <c r="O129" i="26"/>
  <c r="P128" i="26"/>
  <c r="O90" i="26"/>
  <c r="P89" i="26"/>
  <c r="P48" i="26"/>
  <c r="O49" i="26"/>
  <c r="P9" i="26"/>
  <c r="O10" i="26"/>
  <c r="P282" i="24"/>
  <c r="O283" i="24"/>
  <c r="O244" i="24"/>
  <c r="P243" i="24"/>
  <c r="P204" i="24"/>
  <c r="O205" i="24"/>
  <c r="P165" i="24"/>
  <c r="O166" i="24"/>
  <c r="O126" i="24"/>
  <c r="P125" i="24"/>
  <c r="P87" i="24"/>
  <c r="O88" i="24"/>
  <c r="P48" i="24"/>
  <c r="O49" i="24"/>
  <c r="O10" i="24"/>
  <c r="P10" i="24" s="1"/>
  <c r="P285" i="27"/>
  <c r="O286" i="27"/>
  <c r="O246" i="27"/>
  <c r="P245" i="27"/>
  <c r="P207" i="27"/>
  <c r="O208" i="27"/>
  <c r="P168" i="27"/>
  <c r="O169" i="27"/>
  <c r="P129" i="27"/>
  <c r="O130" i="27"/>
  <c r="O87" i="27"/>
  <c r="P86" i="27"/>
  <c r="P48" i="27"/>
  <c r="O49" i="27"/>
  <c r="P9" i="27"/>
  <c r="O10" i="27"/>
  <c r="P285" i="25"/>
  <c r="O286" i="25"/>
  <c r="P246" i="25"/>
  <c r="O247" i="25"/>
  <c r="P207" i="25"/>
  <c r="O208" i="25"/>
  <c r="O166" i="25"/>
  <c r="P165" i="25"/>
  <c r="P126" i="25"/>
  <c r="O127" i="25"/>
  <c r="P87" i="25"/>
  <c r="O88" i="25"/>
  <c r="P48" i="25"/>
  <c r="O49" i="25"/>
  <c r="O10" i="25" l="1"/>
  <c r="P9" i="25"/>
  <c r="O299" i="28"/>
  <c r="P298" i="28"/>
  <c r="O257" i="28"/>
  <c r="P256" i="28"/>
  <c r="O218" i="28"/>
  <c r="P217" i="28"/>
  <c r="P177" i="28"/>
  <c r="O178" i="28"/>
  <c r="P136" i="28"/>
  <c r="O137" i="28"/>
  <c r="O95" i="28"/>
  <c r="P94" i="28"/>
  <c r="P52" i="28"/>
  <c r="O53" i="28"/>
  <c r="O11" i="28"/>
  <c r="P10" i="28"/>
  <c r="O293" i="26"/>
  <c r="P292" i="26"/>
  <c r="O251" i="26"/>
  <c r="P250" i="26"/>
  <c r="O212" i="26"/>
  <c r="P211" i="26"/>
  <c r="O173" i="26"/>
  <c r="P172" i="26"/>
  <c r="P129" i="26"/>
  <c r="O130" i="26"/>
  <c r="P90" i="26"/>
  <c r="O91" i="26"/>
  <c r="O50" i="26"/>
  <c r="P49" i="26"/>
  <c r="O11" i="26"/>
  <c r="P10" i="26"/>
  <c r="O284" i="24"/>
  <c r="P283" i="24"/>
  <c r="O245" i="24"/>
  <c r="P244" i="24"/>
  <c r="O206" i="24"/>
  <c r="P205" i="24"/>
  <c r="P166" i="24"/>
  <c r="O167" i="24"/>
  <c r="P126" i="24"/>
  <c r="O127" i="24"/>
  <c r="O89" i="24"/>
  <c r="P88" i="24"/>
  <c r="O50" i="24"/>
  <c r="P49" i="24"/>
  <c r="O11" i="24"/>
  <c r="P11" i="24" s="1"/>
  <c r="O287" i="27"/>
  <c r="P286" i="27"/>
  <c r="P246" i="27"/>
  <c r="O247" i="27"/>
  <c r="O209" i="27"/>
  <c r="P208" i="27"/>
  <c r="O170" i="27"/>
  <c r="P169" i="27"/>
  <c r="O131" i="27"/>
  <c r="P130" i="27"/>
  <c r="P87" i="27"/>
  <c r="O88" i="27"/>
  <c r="O50" i="27"/>
  <c r="P49" i="27"/>
  <c r="O11" i="27"/>
  <c r="P10" i="27"/>
  <c r="P286" i="25"/>
  <c r="O287" i="25"/>
  <c r="O248" i="25"/>
  <c r="P247" i="25"/>
  <c r="O209" i="25"/>
  <c r="P208" i="25"/>
  <c r="O167" i="25"/>
  <c r="P166" i="25"/>
  <c r="O128" i="25"/>
  <c r="P127" i="25"/>
  <c r="P88" i="25"/>
  <c r="O89" i="25"/>
  <c r="O50" i="25"/>
  <c r="P49" i="25"/>
  <c r="P10" i="25" l="1"/>
  <c r="O11" i="25"/>
  <c r="O300" i="28"/>
  <c r="P299" i="28"/>
  <c r="P257" i="28"/>
  <c r="O258" i="28"/>
  <c r="O219" i="28"/>
  <c r="P218" i="28"/>
  <c r="O179" i="28"/>
  <c r="P178" i="28"/>
  <c r="O138" i="28"/>
  <c r="P137" i="28"/>
  <c r="O96" i="28"/>
  <c r="P95" i="28"/>
  <c r="O54" i="28"/>
  <c r="P53" i="28"/>
  <c r="O12" i="28"/>
  <c r="P11" i="28"/>
  <c r="O294" i="26"/>
  <c r="P293" i="26"/>
  <c r="O252" i="26"/>
  <c r="P251" i="26"/>
  <c r="O213" i="26"/>
  <c r="P212" i="26"/>
  <c r="O174" i="26"/>
  <c r="P173" i="26"/>
  <c r="O131" i="26"/>
  <c r="P130" i="26"/>
  <c r="O92" i="26"/>
  <c r="P91" i="26"/>
  <c r="O51" i="26"/>
  <c r="P50" i="26"/>
  <c r="O12" i="26"/>
  <c r="P11" i="26"/>
  <c r="O285" i="24"/>
  <c r="P284" i="24"/>
  <c r="O246" i="24"/>
  <c r="P245" i="24"/>
  <c r="O207" i="24"/>
  <c r="P206" i="24"/>
  <c r="O168" i="24"/>
  <c r="P167" i="24"/>
  <c r="O128" i="24"/>
  <c r="P127" i="24"/>
  <c r="O90" i="24"/>
  <c r="P89" i="24"/>
  <c r="O51" i="24"/>
  <c r="P50" i="24"/>
  <c r="O12" i="24"/>
  <c r="P12" i="24" s="1"/>
  <c r="O288" i="27"/>
  <c r="P287" i="27"/>
  <c r="P247" i="27"/>
  <c r="O248" i="27"/>
  <c r="P209" i="27"/>
  <c r="O210" i="27"/>
  <c r="O171" i="27"/>
  <c r="P170" i="27"/>
  <c r="O132" i="27"/>
  <c r="P131" i="27"/>
  <c r="O89" i="27"/>
  <c r="P88" i="27"/>
  <c r="P50" i="27"/>
  <c r="O51" i="27"/>
  <c r="P11" i="27"/>
  <c r="O12" i="27"/>
  <c r="O288" i="25"/>
  <c r="P287" i="25"/>
  <c r="O249" i="25"/>
  <c r="P248" i="25"/>
  <c r="O210" i="25"/>
  <c r="P209" i="25"/>
  <c r="O168" i="25"/>
  <c r="P167" i="25"/>
  <c r="O129" i="25"/>
  <c r="P128" i="25"/>
  <c r="O90" i="25"/>
  <c r="P89" i="25"/>
  <c r="O51" i="25"/>
  <c r="P50" i="25"/>
  <c r="O12" i="25" l="1"/>
  <c r="P11" i="25"/>
  <c r="O301" i="28"/>
  <c r="P300" i="28"/>
  <c r="O259" i="28"/>
  <c r="P258" i="28"/>
  <c r="P219" i="28"/>
  <c r="O220" i="28"/>
  <c r="P179" i="28"/>
  <c r="O180" i="28"/>
  <c r="P138" i="28"/>
  <c r="O139" i="28"/>
  <c r="P96" i="28"/>
  <c r="O97" i="28"/>
  <c r="P54" i="28"/>
  <c r="O55" i="28"/>
  <c r="O13" i="28"/>
  <c r="P12" i="28"/>
  <c r="O295" i="26"/>
  <c r="P294" i="26"/>
  <c r="O253" i="26"/>
  <c r="P252" i="26"/>
  <c r="P213" i="26"/>
  <c r="O214" i="26"/>
  <c r="O175" i="26"/>
  <c r="P174" i="26"/>
  <c r="P131" i="26"/>
  <c r="O132" i="26"/>
  <c r="P92" i="26"/>
  <c r="O93" i="26"/>
  <c r="O52" i="26"/>
  <c r="P51" i="26"/>
  <c r="O13" i="26"/>
  <c r="P12" i="26"/>
  <c r="P285" i="24"/>
  <c r="O286" i="24"/>
  <c r="O247" i="24"/>
  <c r="P246" i="24"/>
  <c r="O208" i="24"/>
  <c r="P207" i="24"/>
  <c r="O169" i="24"/>
  <c r="P168" i="24"/>
  <c r="O129" i="24"/>
  <c r="P128" i="24"/>
  <c r="O91" i="24"/>
  <c r="P90" i="24"/>
  <c r="O52" i="24"/>
  <c r="P51" i="24"/>
  <c r="O13" i="24"/>
  <c r="P13" i="24" s="1"/>
  <c r="O289" i="27"/>
  <c r="P288" i="27"/>
  <c r="O249" i="27"/>
  <c r="P248" i="27"/>
  <c r="O211" i="27"/>
  <c r="P210" i="27"/>
  <c r="O172" i="27"/>
  <c r="P171" i="27"/>
  <c r="O133" i="27"/>
  <c r="P132" i="27"/>
  <c r="O90" i="27"/>
  <c r="P89" i="27"/>
  <c r="O52" i="27"/>
  <c r="P51" i="27"/>
  <c r="P12" i="27"/>
  <c r="O13" i="27"/>
  <c r="O289" i="25"/>
  <c r="P288" i="25"/>
  <c r="O250" i="25"/>
  <c r="P249" i="25"/>
  <c r="O211" i="25"/>
  <c r="P210" i="25"/>
  <c r="O169" i="25"/>
  <c r="P168" i="25"/>
  <c r="O130" i="25"/>
  <c r="P129" i="25"/>
  <c r="O91" i="25"/>
  <c r="P90" i="25"/>
  <c r="O52" i="25"/>
  <c r="P51" i="25"/>
  <c r="O13" i="25" l="1"/>
  <c r="P12" i="25"/>
  <c r="O302" i="28"/>
  <c r="P301" i="28"/>
  <c r="O260" i="28"/>
  <c r="P259" i="28"/>
  <c r="O221" i="28"/>
  <c r="P220" i="28"/>
  <c r="P180" i="28"/>
  <c r="O181" i="28"/>
  <c r="P139" i="28"/>
  <c r="O140" i="28"/>
  <c r="O98" i="28"/>
  <c r="P97" i="28"/>
  <c r="O56" i="28"/>
  <c r="P55" i="28"/>
  <c r="O14" i="28"/>
  <c r="P13" i="28"/>
  <c r="O296" i="26"/>
  <c r="P295" i="26"/>
  <c r="O254" i="26"/>
  <c r="P253" i="26"/>
  <c r="O215" i="26"/>
  <c r="P214" i="26"/>
  <c r="O176" i="26"/>
  <c r="P175" i="26"/>
  <c r="O133" i="26"/>
  <c r="P132" i="26"/>
  <c r="O94" i="26"/>
  <c r="P93" i="26"/>
  <c r="O53" i="26"/>
  <c r="P52" i="26"/>
  <c r="O14" i="26"/>
  <c r="P13" i="26"/>
  <c r="O287" i="24"/>
  <c r="P286" i="24"/>
  <c r="O248" i="24"/>
  <c r="P247" i="24"/>
  <c r="O209" i="24"/>
  <c r="P208" i="24"/>
  <c r="O170" i="24"/>
  <c r="P169" i="24"/>
  <c r="P129" i="24"/>
  <c r="O130" i="24"/>
  <c r="O92" i="24"/>
  <c r="P91" i="24"/>
  <c r="O53" i="24"/>
  <c r="P52" i="24"/>
  <c r="O14" i="24"/>
  <c r="P14" i="24" s="1"/>
  <c r="O290" i="27"/>
  <c r="P289" i="27"/>
  <c r="P249" i="27"/>
  <c r="O250" i="27"/>
  <c r="O212" i="27"/>
  <c r="P211" i="27"/>
  <c r="O173" i="27"/>
  <c r="P172" i="27"/>
  <c r="O134" i="27"/>
  <c r="P133" i="27"/>
  <c r="O91" i="27"/>
  <c r="P90" i="27"/>
  <c r="O53" i="27"/>
  <c r="P52" i="27"/>
  <c r="O14" i="27"/>
  <c r="P13" i="27"/>
  <c r="O290" i="25"/>
  <c r="P289" i="25"/>
  <c r="O251" i="25"/>
  <c r="P250" i="25"/>
  <c r="O212" i="25"/>
  <c r="P211" i="25"/>
  <c r="O170" i="25"/>
  <c r="P169" i="25"/>
  <c r="O131" i="25"/>
  <c r="P130" i="25"/>
  <c r="O92" i="25"/>
  <c r="P91" i="25"/>
  <c r="O53" i="25"/>
  <c r="P52" i="25"/>
  <c r="O14" i="25" l="1"/>
  <c r="P13" i="25"/>
  <c r="O303" i="28"/>
  <c r="P302" i="28"/>
  <c r="P260" i="28"/>
  <c r="O261" i="28"/>
  <c r="P221" i="28"/>
  <c r="O222" i="28"/>
  <c r="O182" i="28"/>
  <c r="P181" i="28"/>
  <c r="P140" i="28"/>
  <c r="O141" i="28"/>
  <c r="O99" i="28"/>
  <c r="P98" i="28"/>
  <c r="P56" i="28"/>
  <c r="O57" i="28"/>
  <c r="O15" i="28"/>
  <c r="P14" i="28"/>
  <c r="O297" i="26"/>
  <c r="P296" i="26"/>
  <c r="O255" i="26"/>
  <c r="P254" i="26"/>
  <c r="O216" i="26"/>
  <c r="P215" i="26"/>
  <c r="O177" i="26"/>
  <c r="P176" i="26"/>
  <c r="P133" i="26"/>
  <c r="O134" i="26"/>
  <c r="O95" i="26"/>
  <c r="P94" i="26"/>
  <c r="O54" i="26"/>
  <c r="P53" i="26"/>
  <c r="P14" i="26"/>
  <c r="O15" i="26"/>
  <c r="P287" i="24"/>
  <c r="O288" i="24"/>
  <c r="O249" i="24"/>
  <c r="P248" i="24"/>
  <c r="O210" i="24"/>
  <c r="P209" i="24"/>
  <c r="O171" i="24"/>
  <c r="P170" i="24"/>
  <c r="O131" i="24"/>
  <c r="P130" i="24"/>
  <c r="P92" i="24"/>
  <c r="O93" i="24"/>
  <c r="O54" i="24"/>
  <c r="P53" i="24"/>
  <c r="O15" i="24"/>
  <c r="P15" i="24" s="1"/>
  <c r="O291" i="27"/>
  <c r="P290" i="27"/>
  <c r="P250" i="27"/>
  <c r="O251" i="27"/>
  <c r="O213" i="27"/>
  <c r="P212" i="27"/>
  <c r="O174" i="27"/>
  <c r="P173" i="27"/>
  <c r="P134" i="27"/>
  <c r="O135" i="27"/>
  <c r="O92" i="27"/>
  <c r="P91" i="27"/>
  <c r="O54" i="27"/>
  <c r="P53" i="27"/>
  <c r="O15" i="27"/>
  <c r="P14" i="27"/>
  <c r="O291" i="25"/>
  <c r="P290" i="25"/>
  <c r="O252" i="25"/>
  <c r="P251" i="25"/>
  <c r="O213" i="25"/>
  <c r="P212" i="25"/>
  <c r="O171" i="25"/>
  <c r="P170" i="25"/>
  <c r="O132" i="25"/>
  <c r="P131" i="25"/>
  <c r="O93" i="25"/>
  <c r="P92" i="25"/>
  <c r="O54" i="25"/>
  <c r="P53" i="25"/>
  <c r="O15" i="25" l="1"/>
  <c r="P14" i="25"/>
  <c r="O304" i="28"/>
  <c r="P303" i="28"/>
  <c r="O262" i="28"/>
  <c r="P261" i="28"/>
  <c r="O223" i="28"/>
  <c r="P222" i="28"/>
  <c r="O183" i="28"/>
  <c r="P182" i="28"/>
  <c r="P141" i="28"/>
  <c r="O142" i="28"/>
  <c r="P99" i="28"/>
  <c r="O100" i="28"/>
  <c r="O58" i="28"/>
  <c r="P57" i="28"/>
  <c r="O16" i="28"/>
  <c r="P15" i="28"/>
  <c r="O298" i="26"/>
  <c r="P297" i="26"/>
  <c r="O256" i="26"/>
  <c r="P255" i="26"/>
  <c r="O217" i="26"/>
  <c r="P216" i="26"/>
  <c r="O178" i="26"/>
  <c r="P177" i="26"/>
  <c r="P134" i="26"/>
  <c r="O135" i="26"/>
  <c r="O96" i="26"/>
  <c r="P95" i="26"/>
  <c r="O55" i="26"/>
  <c r="P54" i="26"/>
  <c r="O16" i="26"/>
  <c r="P15" i="26"/>
  <c r="O289" i="24"/>
  <c r="P288" i="24"/>
  <c r="O250" i="24"/>
  <c r="P249" i="24"/>
  <c r="O211" i="24"/>
  <c r="P210" i="24"/>
  <c r="O172" i="24"/>
  <c r="P171" i="24"/>
  <c r="O132" i="24"/>
  <c r="P131" i="24"/>
  <c r="O94" i="24"/>
  <c r="P93" i="24"/>
  <c r="O55" i="24"/>
  <c r="P54" i="24"/>
  <c r="O16" i="24"/>
  <c r="P16" i="24" s="1"/>
  <c r="O292" i="27"/>
  <c r="P291" i="27"/>
  <c r="P251" i="27"/>
  <c r="O252" i="27"/>
  <c r="O214" i="27"/>
  <c r="P213" i="27"/>
  <c r="O175" i="27"/>
  <c r="P174" i="27"/>
  <c r="O136" i="27"/>
  <c r="P135" i="27"/>
  <c r="P92" i="27"/>
  <c r="O93" i="27"/>
  <c r="P54" i="27"/>
  <c r="O55" i="27"/>
  <c r="O16" i="27"/>
  <c r="P15" i="27"/>
  <c r="O292" i="25"/>
  <c r="P291" i="25"/>
  <c r="O253" i="25"/>
  <c r="P252" i="25"/>
  <c r="O214" i="25"/>
  <c r="P213" i="25"/>
  <c r="P171" i="25"/>
  <c r="O172" i="25"/>
  <c r="O133" i="25"/>
  <c r="P132" i="25"/>
  <c r="O94" i="25"/>
  <c r="P93" i="25"/>
  <c r="O55" i="25"/>
  <c r="P54" i="25"/>
  <c r="O16" i="25" l="1"/>
  <c r="P15" i="25"/>
  <c r="O305" i="28"/>
  <c r="P304" i="28"/>
  <c r="O263" i="28"/>
  <c r="P262" i="28"/>
  <c r="P223" i="28"/>
  <c r="O224" i="28"/>
  <c r="P183" i="28"/>
  <c r="O184" i="28"/>
  <c r="O143" i="28"/>
  <c r="P142" i="28"/>
  <c r="O101" i="28"/>
  <c r="P100" i="28"/>
  <c r="P58" i="28"/>
  <c r="O59" i="28"/>
  <c r="O17" i="28"/>
  <c r="P16" i="28"/>
  <c r="O299" i="26"/>
  <c r="P298" i="26"/>
  <c r="O257" i="26"/>
  <c r="P256" i="26"/>
  <c r="O218" i="26"/>
  <c r="P217" i="26"/>
  <c r="O179" i="26"/>
  <c r="P178" i="26"/>
  <c r="O136" i="26"/>
  <c r="P135" i="26"/>
  <c r="O97" i="26"/>
  <c r="P96" i="26"/>
  <c r="O56" i="26"/>
  <c r="P55" i="26"/>
  <c r="O17" i="26"/>
  <c r="P16" i="26"/>
  <c r="O290" i="24"/>
  <c r="P289" i="24"/>
  <c r="O251" i="24"/>
  <c r="P250" i="24"/>
  <c r="O212" i="24"/>
  <c r="P211" i="24"/>
  <c r="O173" i="24"/>
  <c r="P172" i="24"/>
  <c r="O133" i="24"/>
  <c r="P132" i="24"/>
  <c r="P94" i="24"/>
  <c r="O95" i="24"/>
  <c r="O56" i="24"/>
  <c r="P55" i="24"/>
  <c r="O17" i="24"/>
  <c r="P17" i="24" s="1"/>
  <c r="O293" i="27"/>
  <c r="P292" i="27"/>
  <c r="O253" i="27"/>
  <c r="P252" i="27"/>
  <c r="O215" i="27"/>
  <c r="P214" i="27"/>
  <c r="O176" i="27"/>
  <c r="P175" i="27"/>
  <c r="O137" i="27"/>
  <c r="P136" i="27"/>
  <c r="O94" i="27"/>
  <c r="P93" i="27"/>
  <c r="P55" i="27"/>
  <c r="O56" i="27"/>
  <c r="O17" i="27"/>
  <c r="P16" i="27"/>
  <c r="O293" i="25"/>
  <c r="P292" i="25"/>
  <c r="O254" i="25"/>
  <c r="P253" i="25"/>
  <c r="O215" i="25"/>
  <c r="P214" i="25"/>
  <c r="P172" i="25"/>
  <c r="O173" i="25"/>
  <c r="O134" i="25"/>
  <c r="P133" i="25"/>
  <c r="O95" i="25"/>
  <c r="P94" i="25"/>
  <c r="O56" i="25"/>
  <c r="P55" i="25"/>
  <c r="O17" i="25" l="1"/>
  <c r="P16" i="25"/>
  <c r="O306" i="28"/>
  <c r="P305" i="28"/>
  <c r="O264" i="28"/>
  <c r="P263" i="28"/>
  <c r="P224" i="28"/>
  <c r="O225" i="28"/>
  <c r="P184" i="28"/>
  <c r="O185" i="28"/>
  <c r="O144" i="28"/>
  <c r="P143" i="28"/>
  <c r="P101" i="28"/>
  <c r="O102" i="28"/>
  <c r="O60" i="28"/>
  <c r="P59" i="28"/>
  <c r="O18" i="28"/>
  <c r="P17" i="28"/>
  <c r="O300" i="26"/>
  <c r="P299" i="26"/>
  <c r="O258" i="26"/>
  <c r="P257" i="26"/>
  <c r="O219" i="26"/>
  <c r="P218" i="26"/>
  <c r="O180" i="26"/>
  <c r="P179" i="26"/>
  <c r="O137" i="26"/>
  <c r="P136" i="26"/>
  <c r="O98" i="26"/>
  <c r="P97" i="26"/>
  <c r="O57" i="26"/>
  <c r="P56" i="26"/>
  <c r="O18" i="26"/>
  <c r="P17" i="26"/>
  <c r="O291" i="24"/>
  <c r="P290" i="24"/>
  <c r="O252" i="24"/>
  <c r="P251" i="24"/>
  <c r="O213" i="24"/>
  <c r="P212" i="24"/>
  <c r="O174" i="24"/>
  <c r="P173" i="24"/>
  <c r="O134" i="24"/>
  <c r="P133" i="24"/>
  <c r="O96" i="24"/>
  <c r="P95" i="24"/>
  <c r="O57" i="24"/>
  <c r="P56" i="24"/>
  <c r="O18" i="24"/>
  <c r="P18" i="24" s="1"/>
  <c r="O294" i="27"/>
  <c r="P293" i="27"/>
  <c r="O254" i="27"/>
  <c r="P253" i="27"/>
  <c r="O216" i="27"/>
  <c r="P215" i="27"/>
  <c r="O177" i="27"/>
  <c r="P176" i="27"/>
  <c r="O138" i="27"/>
  <c r="P137" i="27"/>
  <c r="O95" i="27"/>
  <c r="P94" i="27"/>
  <c r="O57" i="27"/>
  <c r="P56" i="27"/>
  <c r="O18" i="27"/>
  <c r="P17" i="27"/>
  <c r="O294" i="25"/>
  <c r="P293" i="25"/>
  <c r="O255" i="25"/>
  <c r="P254" i="25"/>
  <c r="O216" i="25"/>
  <c r="P215" i="25"/>
  <c r="O174" i="25"/>
  <c r="P173" i="25"/>
  <c r="O135" i="25"/>
  <c r="P134" i="25"/>
  <c r="O96" i="25"/>
  <c r="P95" i="25"/>
  <c r="O57" i="25"/>
  <c r="P56" i="25"/>
  <c r="O18" i="25" l="1"/>
  <c r="P17" i="25"/>
  <c r="O307" i="28"/>
  <c r="P306" i="28"/>
  <c r="O265" i="28"/>
  <c r="P264" i="28"/>
  <c r="O226" i="28"/>
  <c r="P225" i="28"/>
  <c r="P185" i="28"/>
  <c r="O186" i="28"/>
  <c r="P144" i="28"/>
  <c r="O145" i="28"/>
  <c r="O103" i="28"/>
  <c r="P102" i="28"/>
  <c r="O61" i="28"/>
  <c r="P60" i="28"/>
  <c r="O19" i="28"/>
  <c r="P18" i="28"/>
  <c r="P300" i="26"/>
  <c r="O301" i="26"/>
  <c r="P258" i="26"/>
  <c r="O259" i="26"/>
  <c r="O220" i="26"/>
  <c r="P219" i="26"/>
  <c r="O181" i="26"/>
  <c r="P180" i="26"/>
  <c r="O138" i="26"/>
  <c r="P137" i="26"/>
  <c r="P98" i="26"/>
  <c r="O99" i="26"/>
  <c r="O58" i="26"/>
  <c r="P57" i="26"/>
  <c r="O19" i="26"/>
  <c r="P18" i="26"/>
  <c r="O292" i="24"/>
  <c r="P291" i="24"/>
  <c r="O253" i="24"/>
  <c r="P252" i="24"/>
  <c r="O214" i="24"/>
  <c r="P213" i="24"/>
  <c r="O175" i="24"/>
  <c r="P174" i="24"/>
  <c r="O135" i="24"/>
  <c r="P134" i="24"/>
  <c r="O97" i="24"/>
  <c r="P96" i="24"/>
  <c r="P57" i="24"/>
  <c r="O58" i="24"/>
  <c r="O19" i="24"/>
  <c r="P19" i="24" s="1"/>
  <c r="O295" i="27"/>
  <c r="P294" i="27"/>
  <c r="O255" i="27"/>
  <c r="P254" i="27"/>
  <c r="O217" i="27"/>
  <c r="P216" i="27"/>
  <c r="O178" i="27"/>
  <c r="P177" i="27"/>
  <c r="O139" i="27"/>
  <c r="P138" i="27"/>
  <c r="O96" i="27"/>
  <c r="P95" i="27"/>
  <c r="O58" i="27"/>
  <c r="P57" i="27"/>
  <c r="O19" i="27"/>
  <c r="P18" i="27"/>
  <c r="O295" i="25"/>
  <c r="P294" i="25"/>
  <c r="O256" i="25"/>
  <c r="P255" i="25"/>
  <c r="O217" i="25"/>
  <c r="P216" i="25"/>
  <c r="O175" i="25"/>
  <c r="P174" i="25"/>
  <c r="O136" i="25"/>
  <c r="P135" i="25"/>
  <c r="O97" i="25"/>
  <c r="P96" i="25"/>
  <c r="P57" i="25"/>
  <c r="O58" i="25"/>
  <c r="O19" i="25" l="1"/>
  <c r="P18" i="25"/>
  <c r="O308" i="28"/>
  <c r="P307" i="28"/>
  <c r="P265" i="28"/>
  <c r="O266" i="28"/>
  <c r="P226" i="28"/>
  <c r="O227" i="28"/>
  <c r="O187" i="28"/>
  <c r="P186" i="28"/>
  <c r="P145" i="28"/>
  <c r="O146" i="28"/>
  <c r="O104" i="28"/>
  <c r="P103" i="28"/>
  <c r="O62" i="28"/>
  <c r="P61" i="28"/>
  <c r="P19" i="28"/>
  <c r="O20" i="28"/>
  <c r="O302" i="26"/>
  <c r="P301" i="26"/>
  <c r="O260" i="26"/>
  <c r="P259" i="26"/>
  <c r="P220" i="26"/>
  <c r="O221" i="26"/>
  <c r="P181" i="26"/>
  <c r="O182" i="26"/>
  <c r="O139" i="26"/>
  <c r="P138" i="26"/>
  <c r="O100" i="26"/>
  <c r="P99" i="26"/>
  <c r="P58" i="26"/>
  <c r="O59" i="26"/>
  <c r="P19" i="26"/>
  <c r="O20" i="26"/>
  <c r="P292" i="24"/>
  <c r="O293" i="24"/>
  <c r="O254" i="24"/>
  <c r="P253" i="24"/>
  <c r="P214" i="24"/>
  <c r="O215" i="24"/>
  <c r="P175" i="24"/>
  <c r="O176" i="24"/>
  <c r="P135" i="24"/>
  <c r="O136" i="24"/>
  <c r="P97" i="24"/>
  <c r="O98" i="24"/>
  <c r="P58" i="24"/>
  <c r="O59" i="24"/>
  <c r="O20" i="24"/>
  <c r="P20" i="24" s="1"/>
  <c r="P295" i="27"/>
  <c r="O296" i="27"/>
  <c r="O256" i="27"/>
  <c r="P255" i="27"/>
  <c r="P217" i="27"/>
  <c r="O218" i="27"/>
  <c r="P178" i="27"/>
  <c r="O179" i="27"/>
  <c r="P139" i="27"/>
  <c r="O140" i="27"/>
  <c r="O97" i="27"/>
  <c r="P96" i="27"/>
  <c r="P58" i="27"/>
  <c r="O59" i="27"/>
  <c r="P19" i="27"/>
  <c r="O20" i="27"/>
  <c r="P295" i="25"/>
  <c r="O296" i="25"/>
  <c r="P256" i="25"/>
  <c r="O257" i="25"/>
  <c r="P217" i="25"/>
  <c r="O218" i="25"/>
  <c r="O176" i="25"/>
  <c r="P175" i="25"/>
  <c r="P136" i="25"/>
  <c r="O137" i="25"/>
  <c r="P97" i="25"/>
  <c r="O98" i="25"/>
  <c r="P58" i="25"/>
  <c r="O59" i="25"/>
  <c r="O20" i="25" l="1"/>
  <c r="P19" i="25"/>
  <c r="O309" i="28"/>
  <c r="P308" i="28"/>
  <c r="P266" i="28"/>
  <c r="O267" i="28"/>
  <c r="O228" i="28"/>
  <c r="P227" i="28"/>
  <c r="P187" i="28"/>
  <c r="O188" i="28"/>
  <c r="O147" i="28"/>
  <c r="P146" i="28"/>
  <c r="O105" i="28"/>
  <c r="P104" i="28"/>
  <c r="P62" i="28"/>
  <c r="O63" i="28"/>
  <c r="O21" i="28"/>
  <c r="P20" i="28"/>
  <c r="O303" i="26"/>
  <c r="P302" i="26"/>
  <c r="O261" i="26"/>
  <c r="P260" i="26"/>
  <c r="O222" i="26"/>
  <c r="P221" i="26"/>
  <c r="P182" i="26"/>
  <c r="O183" i="26"/>
  <c r="P139" i="26"/>
  <c r="O140" i="26"/>
  <c r="P100" i="26"/>
  <c r="O101" i="26"/>
  <c r="O60" i="26"/>
  <c r="P59" i="26"/>
  <c r="O21" i="26"/>
  <c r="P20" i="26"/>
  <c r="P293" i="24"/>
  <c r="O294" i="24"/>
  <c r="O255" i="24"/>
  <c r="P254" i="24"/>
  <c r="P215" i="24"/>
  <c r="O216" i="24"/>
  <c r="O177" i="24"/>
  <c r="P176" i="24"/>
  <c r="P136" i="24"/>
  <c r="O137" i="24"/>
  <c r="P98" i="24"/>
  <c r="O99" i="24"/>
  <c r="O60" i="24"/>
  <c r="P59" i="24"/>
  <c r="O21" i="24"/>
  <c r="P21" i="24" s="1"/>
  <c r="O297" i="27"/>
  <c r="P296" i="27"/>
  <c r="P256" i="27"/>
  <c r="O257" i="27"/>
  <c r="O219" i="27"/>
  <c r="P218" i="27"/>
  <c r="O180" i="27"/>
  <c r="P179" i="27"/>
  <c r="O141" i="27"/>
  <c r="P140" i="27"/>
  <c r="P97" i="27"/>
  <c r="O98" i="27"/>
  <c r="O60" i="27"/>
  <c r="P59" i="27"/>
  <c r="O21" i="27"/>
  <c r="P20" i="27"/>
  <c r="P296" i="25"/>
  <c r="O297" i="25"/>
  <c r="O258" i="25"/>
  <c r="P257" i="25"/>
  <c r="O219" i="25"/>
  <c r="P218" i="25"/>
  <c r="O177" i="25"/>
  <c r="P176" i="25"/>
  <c r="O138" i="25"/>
  <c r="P137" i="25"/>
  <c r="O99" i="25"/>
  <c r="P98" i="25"/>
  <c r="P59" i="25"/>
  <c r="O60" i="25"/>
  <c r="O21" i="25" l="1"/>
  <c r="P20" i="25"/>
  <c r="O310" i="28"/>
  <c r="P309" i="28"/>
  <c r="O268" i="28"/>
  <c r="P267" i="28"/>
  <c r="O229" i="28"/>
  <c r="P228" i="28"/>
  <c r="O189" i="28"/>
  <c r="P188" i="28"/>
  <c r="O148" i="28"/>
  <c r="P147" i="28"/>
  <c r="O106" i="28"/>
  <c r="P105" i="28"/>
  <c r="O64" i="28"/>
  <c r="P63" i="28"/>
  <c r="O22" i="28"/>
  <c r="P21" i="28"/>
  <c r="O304" i="26"/>
  <c r="P303" i="26"/>
  <c r="O262" i="26"/>
  <c r="P261" i="26"/>
  <c r="O223" i="26"/>
  <c r="P222" i="26"/>
  <c r="O184" i="26"/>
  <c r="P183" i="26"/>
  <c r="P140" i="26"/>
  <c r="O141" i="26"/>
  <c r="P101" i="26"/>
  <c r="O102" i="26"/>
  <c r="O61" i="26"/>
  <c r="P60" i="26"/>
  <c r="P21" i="26"/>
  <c r="O22" i="26"/>
  <c r="O295" i="24"/>
  <c r="P294" i="24"/>
  <c r="O256" i="24"/>
  <c r="P255" i="24"/>
  <c r="O217" i="24"/>
  <c r="P216" i="24"/>
  <c r="O178" i="24"/>
  <c r="P177" i="24"/>
  <c r="O138" i="24"/>
  <c r="P137" i="24"/>
  <c r="O100" i="24"/>
  <c r="P99" i="24"/>
  <c r="P60" i="24"/>
  <c r="O61" i="24"/>
  <c r="O22" i="24"/>
  <c r="P22" i="24" s="1"/>
  <c r="O298" i="27"/>
  <c r="P297" i="27"/>
  <c r="O258" i="27"/>
  <c r="P257" i="27"/>
  <c r="O220" i="27"/>
  <c r="P219" i="27"/>
  <c r="O181" i="27"/>
  <c r="P180" i="27"/>
  <c r="P141" i="27"/>
  <c r="O142" i="27"/>
  <c r="O99" i="27"/>
  <c r="P98" i="27"/>
  <c r="O61" i="27"/>
  <c r="P60" i="27"/>
  <c r="O22" i="27"/>
  <c r="P21" i="27"/>
  <c r="O298" i="25"/>
  <c r="P297" i="25"/>
  <c r="O259" i="25"/>
  <c r="P258" i="25"/>
  <c r="O220" i="25"/>
  <c r="P219" i="25"/>
  <c r="O178" i="25"/>
  <c r="P177" i="25"/>
  <c r="O139" i="25"/>
  <c r="P138" i="25"/>
  <c r="O100" i="25"/>
  <c r="P99" i="25"/>
  <c r="P60" i="25"/>
  <c r="O61" i="25"/>
  <c r="O22" i="25" l="1"/>
  <c r="P21" i="25"/>
  <c r="O311" i="28"/>
  <c r="P310" i="28"/>
  <c r="O269" i="28"/>
  <c r="P268" i="28"/>
  <c r="O230" i="28"/>
  <c r="P229" i="28"/>
  <c r="P189" i="28"/>
  <c r="O190" i="28"/>
  <c r="P148" i="28"/>
  <c r="O149" i="28"/>
  <c r="P106" i="28"/>
  <c r="O107" i="28"/>
  <c r="P64" i="28"/>
  <c r="O65" i="28"/>
  <c r="O23" i="28"/>
  <c r="P22" i="28"/>
  <c r="O305" i="26"/>
  <c r="P304" i="26"/>
  <c r="O263" i="26"/>
  <c r="P262" i="26"/>
  <c r="P223" i="26"/>
  <c r="O224" i="26"/>
  <c r="O185" i="26"/>
  <c r="P184" i="26"/>
  <c r="O142" i="26"/>
  <c r="P141" i="26"/>
  <c r="O103" i="26"/>
  <c r="P102" i="26"/>
  <c r="O62" i="26"/>
  <c r="P61" i="26"/>
  <c r="O23" i="26"/>
  <c r="P22" i="26"/>
  <c r="P295" i="24"/>
  <c r="O296" i="24"/>
  <c r="O257" i="24"/>
  <c r="P256" i="24"/>
  <c r="O218" i="24"/>
  <c r="P217" i="24"/>
  <c r="O179" i="24"/>
  <c r="P178" i="24"/>
  <c r="O139" i="24"/>
  <c r="P138" i="24"/>
  <c r="O101" i="24"/>
  <c r="P100" i="24"/>
  <c r="O62" i="24"/>
  <c r="P61" i="24"/>
  <c r="O23" i="24"/>
  <c r="P23" i="24" s="1"/>
  <c r="O299" i="27"/>
  <c r="P298" i="27"/>
  <c r="O259" i="27"/>
  <c r="P258" i="27"/>
  <c r="O221" i="27"/>
  <c r="P220" i="27"/>
  <c r="O182" i="27"/>
  <c r="P181" i="27"/>
  <c r="O143" i="27"/>
  <c r="P142" i="27"/>
  <c r="O100" i="27"/>
  <c r="P99" i="27"/>
  <c r="O62" i="27"/>
  <c r="P61" i="27"/>
  <c r="P22" i="27"/>
  <c r="O23" i="27"/>
  <c r="P298" i="25"/>
  <c r="O299" i="25"/>
  <c r="O260" i="25"/>
  <c r="P259" i="25"/>
  <c r="O221" i="25"/>
  <c r="P220" i="25"/>
  <c r="O179" i="25"/>
  <c r="P178" i="25"/>
  <c r="O140" i="25"/>
  <c r="P139" i="25"/>
  <c r="O101" i="25"/>
  <c r="P100" i="25"/>
  <c r="P61" i="25"/>
  <c r="O62" i="25"/>
  <c r="O23" i="25" l="1"/>
  <c r="P22" i="25"/>
  <c r="O312" i="28"/>
  <c r="P311" i="28"/>
  <c r="O270" i="28"/>
  <c r="P269" i="28"/>
  <c r="O231" i="28"/>
  <c r="P230" i="28"/>
  <c r="P190" i="28"/>
  <c r="O191" i="28"/>
  <c r="O150" i="28"/>
  <c r="P149" i="28"/>
  <c r="P107" i="28"/>
  <c r="O108" i="28"/>
  <c r="O66" i="28"/>
  <c r="P65" i="28"/>
  <c r="O24" i="28"/>
  <c r="P23" i="28"/>
  <c r="O306" i="26"/>
  <c r="P305" i="26"/>
  <c r="O264" i="26"/>
  <c r="P263" i="26"/>
  <c r="O225" i="26"/>
  <c r="P224" i="26"/>
  <c r="O186" i="26"/>
  <c r="P185" i="26"/>
  <c r="O143" i="26"/>
  <c r="P142" i="26"/>
  <c r="O104" i="26"/>
  <c r="P103" i="26"/>
  <c r="O63" i="26"/>
  <c r="P62" i="26"/>
  <c r="O24" i="26"/>
  <c r="P23" i="26"/>
  <c r="O297" i="24"/>
  <c r="P296" i="24"/>
  <c r="O258" i="24"/>
  <c r="P257" i="24"/>
  <c r="O219" i="24"/>
  <c r="P218" i="24"/>
  <c r="O180" i="24"/>
  <c r="P179" i="24"/>
  <c r="P139" i="24"/>
  <c r="O140" i="24"/>
  <c r="O102" i="24"/>
  <c r="P101" i="24"/>
  <c r="O63" i="24"/>
  <c r="P62" i="24"/>
  <c r="O24" i="24"/>
  <c r="P24" i="24" s="1"/>
  <c r="O300" i="27"/>
  <c r="P299" i="27"/>
  <c r="O260" i="27"/>
  <c r="P259" i="27"/>
  <c r="P221" i="27"/>
  <c r="O222" i="27"/>
  <c r="O183" i="27"/>
  <c r="P182" i="27"/>
  <c r="P143" i="27"/>
  <c r="O144" i="27"/>
  <c r="O101" i="27"/>
  <c r="P100" i="27"/>
  <c r="O63" i="27"/>
  <c r="P62" i="27"/>
  <c r="O24" i="27"/>
  <c r="P23" i="27"/>
  <c r="O300" i="25"/>
  <c r="P299" i="25"/>
  <c r="O261" i="25"/>
  <c r="P260" i="25"/>
  <c r="O222" i="25"/>
  <c r="P221" i="25"/>
  <c r="O180" i="25"/>
  <c r="P179" i="25"/>
  <c r="O141" i="25"/>
  <c r="P140" i="25"/>
  <c r="O102" i="25"/>
  <c r="P101" i="25"/>
  <c r="P62" i="25"/>
  <c r="O63" i="25"/>
  <c r="O24" i="25" l="1"/>
  <c r="P23" i="25"/>
  <c r="O313" i="28"/>
  <c r="P312" i="28"/>
  <c r="O271" i="28"/>
  <c r="P270" i="28"/>
  <c r="O232" i="28"/>
  <c r="P231" i="28"/>
  <c r="O192" i="28"/>
  <c r="P191" i="28"/>
  <c r="O151" i="28"/>
  <c r="P150" i="28"/>
  <c r="O109" i="28"/>
  <c r="P108" i="28"/>
  <c r="O67" i="28"/>
  <c r="P66" i="28"/>
  <c r="O25" i="28"/>
  <c r="P24" i="28"/>
  <c r="O307" i="26"/>
  <c r="P306" i="26"/>
  <c r="O265" i="26"/>
  <c r="P264" i="26"/>
  <c r="O226" i="26"/>
  <c r="P225" i="26"/>
  <c r="O187" i="26"/>
  <c r="P186" i="26"/>
  <c r="O144" i="26"/>
  <c r="P143" i="26"/>
  <c r="O105" i="26"/>
  <c r="P104" i="26"/>
  <c r="O64" i="26"/>
  <c r="P63" i="26"/>
  <c r="O25" i="26"/>
  <c r="P24" i="26"/>
  <c r="P297" i="24"/>
  <c r="O298" i="24"/>
  <c r="O259" i="24"/>
  <c r="P258" i="24"/>
  <c r="O220" i="24"/>
  <c r="P219" i="24"/>
  <c r="O181" i="24"/>
  <c r="P180" i="24"/>
  <c r="O141" i="24"/>
  <c r="P140" i="24"/>
  <c r="O103" i="24"/>
  <c r="P102" i="24"/>
  <c r="O64" i="24"/>
  <c r="P63" i="24"/>
  <c r="O25" i="24"/>
  <c r="P25" i="24" s="1"/>
  <c r="O301" i="27"/>
  <c r="P300" i="27"/>
  <c r="O261" i="27"/>
  <c r="P260" i="27"/>
  <c r="O223" i="27"/>
  <c r="P222" i="27"/>
  <c r="O184" i="27"/>
  <c r="P183" i="27"/>
  <c r="P144" i="27"/>
  <c r="O145" i="27"/>
  <c r="O102" i="27"/>
  <c r="P101" i="27"/>
  <c r="O64" i="27"/>
  <c r="P63" i="27"/>
  <c r="O25" i="27"/>
  <c r="P24" i="27"/>
  <c r="O301" i="25"/>
  <c r="P300" i="25"/>
  <c r="O262" i="25"/>
  <c r="P261" i="25"/>
  <c r="O223" i="25"/>
  <c r="P222" i="25"/>
  <c r="O181" i="25"/>
  <c r="P180" i="25"/>
  <c r="O142" i="25"/>
  <c r="P141" i="25"/>
  <c r="O103" i="25"/>
  <c r="P102" i="25"/>
  <c r="O64" i="25"/>
  <c r="P63" i="25"/>
  <c r="O25" i="25" l="1"/>
  <c r="P24" i="25"/>
  <c r="O314" i="28"/>
  <c r="P313" i="28"/>
  <c r="O272" i="28"/>
  <c r="P271" i="28"/>
  <c r="O233" i="28"/>
  <c r="P232" i="28"/>
  <c r="O193" i="28"/>
  <c r="P192" i="28"/>
  <c r="O152" i="28"/>
  <c r="P151" i="28"/>
  <c r="O110" i="28"/>
  <c r="P109" i="28"/>
  <c r="O68" i="28"/>
  <c r="P67" i="28"/>
  <c r="O26" i="28"/>
  <c r="P25" i="28"/>
  <c r="O308" i="26"/>
  <c r="P307" i="26"/>
  <c r="O266" i="26"/>
  <c r="P265" i="26"/>
  <c r="O227" i="26"/>
  <c r="P226" i="26"/>
  <c r="O188" i="26"/>
  <c r="P187" i="26"/>
  <c r="O145" i="26"/>
  <c r="P144" i="26"/>
  <c r="O106" i="26"/>
  <c r="P105" i="26"/>
  <c r="O65" i="26"/>
  <c r="P64" i="26"/>
  <c r="O26" i="26"/>
  <c r="P25" i="26"/>
  <c r="O299" i="24"/>
  <c r="P298" i="24"/>
  <c r="O260" i="24"/>
  <c r="P259" i="24"/>
  <c r="O221" i="24"/>
  <c r="P220" i="24"/>
  <c r="O182" i="24"/>
  <c r="P181" i="24"/>
  <c r="O142" i="24"/>
  <c r="P141" i="24"/>
  <c r="O104" i="24"/>
  <c r="P103" i="24"/>
  <c r="O65" i="24"/>
  <c r="P64" i="24"/>
  <c r="O26" i="24"/>
  <c r="P26" i="24" s="1"/>
  <c r="P301" i="27"/>
  <c r="O302" i="27"/>
  <c r="O262" i="27"/>
  <c r="P261" i="27"/>
  <c r="O224" i="27"/>
  <c r="P223" i="27"/>
  <c r="O185" i="27"/>
  <c r="P184" i="27"/>
  <c r="P145" i="27"/>
  <c r="O146" i="27"/>
  <c r="O103" i="27"/>
  <c r="P102" i="27"/>
  <c r="O65" i="27"/>
  <c r="P64" i="27"/>
  <c r="O26" i="27"/>
  <c r="P25" i="27"/>
  <c r="O302" i="25"/>
  <c r="P301" i="25"/>
  <c r="O263" i="25"/>
  <c r="P262" i="25"/>
  <c r="O224" i="25"/>
  <c r="P223" i="25"/>
  <c r="P181" i="25"/>
  <c r="O182" i="25"/>
  <c r="O143" i="25"/>
  <c r="P142" i="25"/>
  <c r="O104" i="25"/>
  <c r="P103" i="25"/>
  <c r="O65" i="25"/>
  <c r="P64" i="25"/>
  <c r="O26" i="25" l="1"/>
  <c r="P25" i="25"/>
  <c r="O315" i="28"/>
  <c r="P314" i="28"/>
  <c r="O273" i="28"/>
  <c r="P272" i="28"/>
  <c r="O234" i="28"/>
  <c r="P233" i="28"/>
  <c r="P193" i="28"/>
  <c r="O194" i="28"/>
  <c r="P152" i="28"/>
  <c r="O153" i="28"/>
  <c r="P110" i="28"/>
  <c r="O111" i="28"/>
  <c r="O69" i="28"/>
  <c r="P68" i="28"/>
  <c r="O27" i="28"/>
  <c r="P26" i="28"/>
  <c r="O309" i="26"/>
  <c r="P308" i="26"/>
  <c r="O267" i="26"/>
  <c r="P266" i="26"/>
  <c r="O228" i="26"/>
  <c r="P227" i="26"/>
  <c r="O189" i="26"/>
  <c r="P188" i="26"/>
  <c r="O146" i="26"/>
  <c r="P145" i="26"/>
  <c r="O107" i="26"/>
  <c r="P106" i="26"/>
  <c r="O66" i="26"/>
  <c r="P65" i="26"/>
  <c r="O27" i="26"/>
  <c r="P26" i="26"/>
  <c r="O300" i="24"/>
  <c r="P299" i="24"/>
  <c r="O261" i="24"/>
  <c r="P260" i="24"/>
  <c r="O222" i="24"/>
  <c r="P221" i="24"/>
  <c r="O183" i="24"/>
  <c r="P182" i="24"/>
  <c r="O143" i="24"/>
  <c r="P142" i="24"/>
  <c r="P104" i="24"/>
  <c r="O105" i="24"/>
  <c r="O66" i="24"/>
  <c r="P65" i="24"/>
  <c r="O27" i="24"/>
  <c r="P27" i="24" s="1"/>
  <c r="O303" i="27"/>
  <c r="P302" i="27"/>
  <c r="P262" i="27"/>
  <c r="O263" i="27"/>
  <c r="P224" i="27"/>
  <c r="O225" i="27"/>
  <c r="O186" i="27"/>
  <c r="P185" i="27"/>
  <c r="P146" i="27"/>
  <c r="O147" i="27"/>
  <c r="O104" i="27"/>
  <c r="P103" i="27"/>
  <c r="P65" i="27"/>
  <c r="O66" i="27"/>
  <c r="O27" i="27"/>
  <c r="P26" i="27"/>
  <c r="O303" i="25"/>
  <c r="P302" i="25"/>
  <c r="O264" i="25"/>
  <c r="P263" i="25"/>
  <c r="O225" i="25"/>
  <c r="P224" i="25"/>
  <c r="O183" i="25"/>
  <c r="P182" i="25"/>
  <c r="O144" i="25"/>
  <c r="P143" i="25"/>
  <c r="O105" i="25"/>
  <c r="P104" i="25"/>
  <c r="O66" i="25"/>
  <c r="P65" i="25"/>
  <c r="O27" i="25" l="1"/>
  <c r="P26" i="25"/>
  <c r="O316" i="28"/>
  <c r="P315" i="28"/>
  <c r="O274" i="28"/>
  <c r="P273" i="28"/>
  <c r="P234" i="28"/>
  <c r="O235" i="28"/>
  <c r="O195" i="28"/>
  <c r="P194" i="28"/>
  <c r="O154" i="28"/>
  <c r="P153" i="28"/>
  <c r="O112" i="28"/>
  <c r="P111" i="28"/>
  <c r="O70" i="28"/>
  <c r="P69" i="28"/>
  <c r="O28" i="28"/>
  <c r="P27" i="28"/>
  <c r="O310" i="26"/>
  <c r="P309" i="26"/>
  <c r="O268" i="26"/>
  <c r="P267" i="26"/>
  <c r="O229" i="26"/>
  <c r="P228" i="26"/>
  <c r="O190" i="26"/>
  <c r="P189" i="26"/>
  <c r="O147" i="26"/>
  <c r="P146" i="26"/>
  <c r="O108" i="26"/>
  <c r="P107" i="26"/>
  <c r="O67" i="26"/>
  <c r="P66" i="26"/>
  <c r="O28" i="26"/>
  <c r="P27" i="26"/>
  <c r="O301" i="24"/>
  <c r="P300" i="24"/>
  <c r="O262" i="24"/>
  <c r="P261" i="24"/>
  <c r="O223" i="24"/>
  <c r="P222" i="24"/>
  <c r="O184" i="24"/>
  <c r="P183" i="24"/>
  <c r="O144" i="24"/>
  <c r="P143" i="24"/>
  <c r="O106" i="24"/>
  <c r="P105" i="24"/>
  <c r="O67" i="24"/>
  <c r="P66" i="24"/>
  <c r="O28" i="24"/>
  <c r="P28" i="24" s="1"/>
  <c r="O304" i="27"/>
  <c r="P303" i="27"/>
  <c r="O264" i="27"/>
  <c r="P263" i="27"/>
  <c r="O226" i="27"/>
  <c r="P225" i="27"/>
  <c r="O187" i="27"/>
  <c r="P186" i="27"/>
  <c r="O148" i="27"/>
  <c r="P147" i="27"/>
  <c r="P104" i="27"/>
  <c r="O105" i="27"/>
  <c r="O67" i="27"/>
  <c r="P66" i="27"/>
  <c r="O28" i="27"/>
  <c r="P27" i="27"/>
  <c r="O304" i="25"/>
  <c r="P303" i="25"/>
  <c r="O265" i="25"/>
  <c r="P264" i="25"/>
  <c r="O226" i="25"/>
  <c r="P225" i="25"/>
  <c r="O184" i="25"/>
  <c r="P183" i="25"/>
  <c r="O145" i="25"/>
  <c r="P144" i="25"/>
  <c r="O106" i="25"/>
  <c r="P105" i="25"/>
  <c r="O67" i="25"/>
  <c r="P66" i="25"/>
  <c r="O28" i="25" l="1"/>
  <c r="P27" i="25"/>
  <c r="O317" i="28"/>
  <c r="P316" i="28"/>
  <c r="P274" i="28"/>
  <c r="O275" i="28"/>
  <c r="P235" i="28"/>
  <c r="O236" i="28"/>
  <c r="P195" i="28"/>
  <c r="O196" i="28"/>
  <c r="O155" i="28"/>
  <c r="P154" i="28"/>
  <c r="O113" i="28"/>
  <c r="P112" i="28"/>
  <c r="P70" i="28"/>
  <c r="O71" i="28"/>
  <c r="O29" i="28"/>
  <c r="P28" i="28"/>
  <c r="P310" i="26"/>
  <c r="O311" i="26"/>
  <c r="P268" i="26"/>
  <c r="O269" i="26"/>
  <c r="O230" i="26"/>
  <c r="P229" i="26"/>
  <c r="O191" i="26"/>
  <c r="P190" i="26"/>
  <c r="O148" i="26"/>
  <c r="P147" i="26"/>
  <c r="O109" i="26"/>
  <c r="P108" i="26"/>
  <c r="O68" i="26"/>
  <c r="P67" i="26"/>
  <c r="O29" i="26"/>
  <c r="P28" i="26"/>
  <c r="O302" i="24"/>
  <c r="P301" i="24"/>
  <c r="O263" i="24"/>
  <c r="P262" i="24"/>
  <c r="P223" i="24"/>
  <c r="O224" i="24"/>
  <c r="O185" i="24"/>
  <c r="P184" i="24"/>
  <c r="O145" i="24"/>
  <c r="P144" i="24"/>
  <c r="P106" i="24"/>
  <c r="O107" i="24"/>
  <c r="P67" i="24"/>
  <c r="O68" i="24"/>
  <c r="O29" i="24"/>
  <c r="P29" i="24" s="1"/>
  <c r="O305" i="27"/>
  <c r="P304" i="27"/>
  <c r="P264" i="27"/>
  <c r="O265" i="27"/>
  <c r="O227" i="27"/>
  <c r="P226" i="27"/>
  <c r="O188" i="27"/>
  <c r="P187" i="27"/>
  <c r="O149" i="27"/>
  <c r="P148" i="27"/>
  <c r="O106" i="27"/>
  <c r="P105" i="27"/>
  <c r="P67" i="27"/>
  <c r="O68" i="27"/>
  <c r="O29" i="27"/>
  <c r="P28" i="27"/>
  <c r="O305" i="25"/>
  <c r="P304" i="25"/>
  <c r="O266" i="25"/>
  <c r="P265" i="25"/>
  <c r="O227" i="25"/>
  <c r="P226" i="25"/>
  <c r="O185" i="25"/>
  <c r="P184" i="25"/>
  <c r="O146" i="25"/>
  <c r="P145" i="25"/>
  <c r="O107" i="25"/>
  <c r="P106" i="25"/>
  <c r="O68" i="25"/>
  <c r="P67" i="25"/>
  <c r="O29" i="25" l="1"/>
  <c r="P28" i="25"/>
  <c r="O318" i="28"/>
  <c r="P317" i="28"/>
  <c r="P275" i="28"/>
  <c r="O276" i="28"/>
  <c r="P236" i="28"/>
  <c r="O237" i="28"/>
  <c r="O197" i="28"/>
  <c r="P196" i="28"/>
  <c r="P155" i="28"/>
  <c r="O156" i="28"/>
  <c r="O114" i="28"/>
  <c r="P113" i="28"/>
  <c r="O72" i="28"/>
  <c r="P71" i="28"/>
  <c r="P29" i="28"/>
  <c r="O30" i="28"/>
  <c r="O312" i="26"/>
  <c r="P311" i="26"/>
  <c r="P269" i="26"/>
  <c r="O270" i="26"/>
  <c r="P230" i="26"/>
  <c r="O231" i="26"/>
  <c r="P191" i="26"/>
  <c r="O192" i="26"/>
  <c r="O149" i="26"/>
  <c r="P148" i="26"/>
  <c r="O110" i="26"/>
  <c r="P109" i="26"/>
  <c r="P68" i="26"/>
  <c r="O69" i="26"/>
  <c r="P29" i="26"/>
  <c r="O30" i="26"/>
  <c r="P302" i="24"/>
  <c r="O303" i="24"/>
  <c r="O264" i="24"/>
  <c r="P263" i="24"/>
  <c r="P224" i="24"/>
  <c r="O225" i="24"/>
  <c r="P185" i="24"/>
  <c r="O186" i="24"/>
  <c r="P145" i="24"/>
  <c r="O146" i="24"/>
  <c r="P107" i="24"/>
  <c r="O108" i="24"/>
  <c r="P68" i="24"/>
  <c r="O69" i="24"/>
  <c r="O30" i="24"/>
  <c r="P30" i="24" s="1"/>
  <c r="P305" i="27"/>
  <c r="O306" i="27"/>
  <c r="O266" i="27"/>
  <c r="P265" i="27"/>
  <c r="P227" i="27"/>
  <c r="O228" i="27"/>
  <c r="P188" i="27"/>
  <c r="O189" i="27"/>
  <c r="P149" i="27"/>
  <c r="O150" i="27"/>
  <c r="O107" i="27"/>
  <c r="P106" i="27"/>
  <c r="P68" i="27"/>
  <c r="O69" i="27"/>
  <c r="P29" i="27"/>
  <c r="O30" i="27"/>
  <c r="P305" i="25"/>
  <c r="O306" i="25"/>
  <c r="P266" i="25"/>
  <c r="O267" i="25"/>
  <c r="P227" i="25"/>
  <c r="O228" i="25"/>
  <c r="O186" i="25"/>
  <c r="P185" i="25"/>
  <c r="P146" i="25"/>
  <c r="O147" i="25"/>
  <c r="P107" i="25"/>
  <c r="O108" i="25"/>
  <c r="P68" i="25"/>
  <c r="O69" i="25"/>
  <c r="O30" i="25" l="1"/>
  <c r="P29" i="25"/>
  <c r="O319" i="28"/>
  <c r="P318" i="28"/>
  <c r="O277" i="28"/>
  <c r="P276" i="28"/>
  <c r="P237" i="28"/>
  <c r="O238" i="28"/>
  <c r="P197" i="28"/>
  <c r="O198" i="28"/>
  <c r="P156" i="28"/>
  <c r="O157" i="28"/>
  <c r="O115" i="28"/>
  <c r="P114" i="28"/>
  <c r="O73" i="28"/>
  <c r="P72" i="28"/>
  <c r="O31" i="28"/>
  <c r="P30" i="28"/>
  <c r="O313" i="26"/>
  <c r="P312" i="26"/>
  <c r="O271" i="26"/>
  <c r="P270" i="26"/>
  <c r="O232" i="26"/>
  <c r="P231" i="26"/>
  <c r="O193" i="26"/>
  <c r="P192" i="26"/>
  <c r="P149" i="26"/>
  <c r="O150" i="26"/>
  <c r="P110" i="26"/>
  <c r="O111" i="26"/>
  <c r="O70" i="26"/>
  <c r="P69" i="26"/>
  <c r="O31" i="26"/>
  <c r="P30" i="26"/>
  <c r="P303" i="24"/>
  <c r="O304" i="24"/>
  <c r="O265" i="24"/>
  <c r="P264" i="24"/>
  <c r="O226" i="24"/>
  <c r="P225" i="24"/>
  <c r="O187" i="24"/>
  <c r="P186" i="24"/>
  <c r="P146" i="24"/>
  <c r="O147" i="24"/>
  <c r="O109" i="24"/>
  <c r="P108" i="24"/>
  <c r="P69" i="24"/>
  <c r="O70" i="24"/>
  <c r="O31" i="24"/>
  <c r="P31" i="24" s="1"/>
  <c r="P306" i="27"/>
  <c r="O307" i="27"/>
  <c r="P266" i="27"/>
  <c r="O267" i="27"/>
  <c r="O229" i="27"/>
  <c r="P228" i="27"/>
  <c r="O190" i="27"/>
  <c r="P189" i="27"/>
  <c r="O151" i="27"/>
  <c r="P150" i="27"/>
  <c r="P107" i="27"/>
  <c r="O108" i="27"/>
  <c r="P69" i="27"/>
  <c r="O70" i="27"/>
  <c r="P30" i="27"/>
  <c r="O31" i="27"/>
  <c r="O307" i="25"/>
  <c r="P306" i="25"/>
  <c r="O268" i="25"/>
  <c r="P267" i="25"/>
  <c r="O229" i="25"/>
  <c r="P228" i="25"/>
  <c r="O187" i="25"/>
  <c r="P186" i="25"/>
  <c r="O148" i="25"/>
  <c r="P147" i="25"/>
  <c r="P108" i="25"/>
  <c r="O109" i="25"/>
  <c r="P69" i="25"/>
  <c r="O70" i="25"/>
  <c r="O31" i="25" l="1"/>
  <c r="P30" i="25"/>
  <c r="O320" i="28"/>
  <c r="P319" i="28"/>
  <c r="P277" i="28"/>
  <c r="O278" i="28"/>
  <c r="P238" i="28"/>
  <c r="O239" i="28"/>
  <c r="O199" i="28"/>
  <c r="P198" i="28"/>
  <c r="P157" i="28"/>
  <c r="O158" i="28"/>
  <c r="O116" i="28"/>
  <c r="P115" i="28"/>
  <c r="O74" i="28"/>
  <c r="P73" i="28"/>
  <c r="O32" i="28"/>
  <c r="P31" i="28"/>
  <c r="O314" i="26"/>
  <c r="P313" i="26"/>
  <c r="O272" i="26"/>
  <c r="P271" i="26"/>
  <c r="O233" i="26"/>
  <c r="P232" i="26"/>
  <c r="O194" i="26"/>
  <c r="P193" i="26"/>
  <c r="O151" i="26"/>
  <c r="P150" i="26"/>
  <c r="O112" i="26"/>
  <c r="P111" i="26"/>
  <c r="O71" i="26"/>
  <c r="P70" i="26"/>
  <c r="O32" i="26"/>
  <c r="P31" i="26"/>
  <c r="P304" i="24"/>
  <c r="O305" i="24"/>
  <c r="O266" i="24"/>
  <c r="P265" i="24"/>
  <c r="P226" i="24"/>
  <c r="O227" i="24"/>
  <c r="O188" i="24"/>
  <c r="P187" i="24"/>
  <c r="P147" i="24"/>
  <c r="O148" i="24"/>
  <c r="P109" i="24"/>
  <c r="O110" i="24"/>
  <c r="O71" i="24"/>
  <c r="P70" i="24"/>
  <c r="O32" i="24"/>
  <c r="P32" i="24" s="1"/>
  <c r="O308" i="27"/>
  <c r="P307" i="27"/>
  <c r="P267" i="27"/>
  <c r="O268" i="27"/>
  <c r="P229" i="27"/>
  <c r="O230" i="27"/>
  <c r="O191" i="27"/>
  <c r="P190" i="27"/>
  <c r="O152" i="27"/>
  <c r="P151" i="27"/>
  <c r="O109" i="27"/>
  <c r="P108" i="27"/>
  <c r="P70" i="27"/>
  <c r="O71" i="27"/>
  <c r="O32" i="27"/>
  <c r="P31" i="27"/>
  <c r="O308" i="25"/>
  <c r="P307" i="25"/>
  <c r="O269" i="25"/>
  <c r="P268" i="25"/>
  <c r="O230" i="25"/>
  <c r="P229" i="25"/>
  <c r="O188" i="25"/>
  <c r="P187" i="25"/>
  <c r="O149" i="25"/>
  <c r="P148" i="25"/>
  <c r="O110" i="25"/>
  <c r="P109" i="25"/>
  <c r="O71" i="25"/>
  <c r="P70" i="25"/>
  <c r="O32" i="25" l="1"/>
  <c r="P31" i="25"/>
  <c r="O321" i="28"/>
  <c r="P320" i="28"/>
  <c r="O279" i="28"/>
  <c r="P278" i="28"/>
  <c r="P239" i="28"/>
  <c r="O240" i="28"/>
  <c r="P199" i="28"/>
  <c r="O200" i="28"/>
  <c r="P158" i="28"/>
  <c r="O159" i="28"/>
  <c r="P116" i="28"/>
  <c r="O117" i="28"/>
  <c r="P74" i="28"/>
  <c r="O75" i="28"/>
  <c r="O33" i="28"/>
  <c r="P32" i="28"/>
  <c r="O315" i="26"/>
  <c r="P314" i="26"/>
  <c r="O273" i="26"/>
  <c r="P272" i="26"/>
  <c r="O234" i="26"/>
  <c r="P233" i="26"/>
  <c r="O195" i="26"/>
  <c r="P194" i="26"/>
  <c r="O152" i="26"/>
  <c r="P151" i="26"/>
  <c r="O113" i="26"/>
  <c r="P112" i="26"/>
  <c r="O72" i="26"/>
  <c r="P71" i="26"/>
  <c r="O33" i="26"/>
  <c r="P32" i="26"/>
  <c r="O306" i="24"/>
  <c r="P305" i="24"/>
  <c r="O267" i="24"/>
  <c r="P266" i="24"/>
  <c r="O228" i="24"/>
  <c r="P227" i="24"/>
  <c r="O189" i="24"/>
  <c r="P188" i="24"/>
  <c r="O149" i="24"/>
  <c r="P148" i="24"/>
  <c r="O111" i="24"/>
  <c r="P110" i="24"/>
  <c r="O72" i="24"/>
  <c r="P71" i="24"/>
  <c r="O33" i="24"/>
  <c r="P33" i="24" s="1"/>
  <c r="O309" i="27"/>
  <c r="P308" i="27"/>
  <c r="O269" i="27"/>
  <c r="P268" i="27"/>
  <c r="O231" i="27"/>
  <c r="P230" i="27"/>
  <c r="O192" i="27"/>
  <c r="P191" i="27"/>
  <c r="O153" i="27"/>
  <c r="P152" i="27"/>
  <c r="O110" i="27"/>
  <c r="P109" i="27"/>
  <c r="O72" i="27"/>
  <c r="P71" i="27"/>
  <c r="O33" i="27"/>
  <c r="P32" i="27"/>
  <c r="P308" i="25"/>
  <c r="O309" i="25"/>
  <c r="O270" i="25"/>
  <c r="P269" i="25"/>
  <c r="O231" i="25"/>
  <c r="P230" i="25"/>
  <c r="O189" i="25"/>
  <c r="P188" i="25"/>
  <c r="O150" i="25"/>
  <c r="P149" i="25"/>
  <c r="O111" i="25"/>
  <c r="P110" i="25"/>
  <c r="P71" i="25"/>
  <c r="O72" i="25"/>
  <c r="O33" i="25" l="1"/>
  <c r="P32" i="25"/>
  <c r="O322" i="28"/>
  <c r="P321" i="28"/>
  <c r="O280" i="28"/>
  <c r="P279" i="28"/>
  <c r="O241" i="28"/>
  <c r="P240" i="28"/>
  <c r="P200" i="28"/>
  <c r="O201" i="28"/>
  <c r="O160" i="28"/>
  <c r="P159" i="28"/>
  <c r="P117" i="28"/>
  <c r="O118" i="28"/>
  <c r="O76" i="28"/>
  <c r="P75" i="28"/>
  <c r="O34" i="28"/>
  <c r="P33" i="28"/>
  <c r="O316" i="26"/>
  <c r="P315" i="26"/>
  <c r="O274" i="26"/>
  <c r="P273" i="26"/>
  <c r="O235" i="26"/>
  <c r="P234" i="26"/>
  <c r="O196" i="26"/>
  <c r="P195" i="26"/>
  <c r="O153" i="26"/>
  <c r="P152" i="26"/>
  <c r="O114" i="26"/>
  <c r="P113" i="26"/>
  <c r="O73" i="26"/>
  <c r="P72" i="26"/>
  <c r="O34" i="26"/>
  <c r="P33" i="26"/>
  <c r="O307" i="24"/>
  <c r="P306" i="24"/>
  <c r="O268" i="24"/>
  <c r="P267" i="24"/>
  <c r="O229" i="24"/>
  <c r="P228" i="24"/>
  <c r="O190" i="24"/>
  <c r="P189" i="24"/>
  <c r="P149" i="24"/>
  <c r="O150" i="24"/>
  <c r="O112" i="24"/>
  <c r="P111" i="24"/>
  <c r="O73" i="24"/>
  <c r="P72" i="24"/>
  <c r="O34" i="24"/>
  <c r="P34" i="24" s="1"/>
  <c r="O310" i="27"/>
  <c r="P309" i="27"/>
  <c r="O270" i="27"/>
  <c r="P269" i="27"/>
  <c r="O232" i="27"/>
  <c r="P231" i="27"/>
  <c r="O193" i="27"/>
  <c r="P192" i="27"/>
  <c r="O154" i="27"/>
  <c r="P153" i="27"/>
  <c r="O111" i="27"/>
  <c r="P110" i="27"/>
  <c r="O73" i="27"/>
  <c r="P72" i="27"/>
  <c r="O34" i="27"/>
  <c r="P33" i="27"/>
  <c r="O310" i="25"/>
  <c r="P309" i="25"/>
  <c r="O271" i="25"/>
  <c r="P270" i="25"/>
  <c r="O232" i="25"/>
  <c r="P231" i="25"/>
  <c r="O190" i="25"/>
  <c r="P189" i="25"/>
  <c r="O151" i="25"/>
  <c r="P150" i="25"/>
  <c r="O112" i="25"/>
  <c r="P111" i="25"/>
  <c r="P72" i="25"/>
  <c r="O73" i="25"/>
  <c r="O34" i="25" l="1"/>
  <c r="P33" i="25"/>
  <c r="O323" i="28"/>
  <c r="P322" i="28"/>
  <c r="P280" i="28"/>
  <c r="O281" i="28"/>
  <c r="P241" i="28"/>
  <c r="O242" i="28"/>
  <c r="O202" i="28"/>
  <c r="P201" i="28"/>
  <c r="O161" i="28"/>
  <c r="P160" i="28"/>
  <c r="P118" i="28"/>
  <c r="O119" i="28"/>
  <c r="O77" i="28"/>
  <c r="P76" i="28"/>
  <c r="O35" i="28"/>
  <c r="P34" i="28"/>
  <c r="O317" i="26"/>
  <c r="P316" i="26"/>
  <c r="O275" i="26"/>
  <c r="P274" i="26"/>
  <c r="O236" i="26"/>
  <c r="P235" i="26"/>
  <c r="O197" i="26"/>
  <c r="P196" i="26"/>
  <c r="P153" i="26"/>
  <c r="O154" i="26"/>
  <c r="P114" i="26"/>
  <c r="O115" i="26"/>
  <c r="O74" i="26"/>
  <c r="P73" i="26"/>
  <c r="P34" i="26"/>
  <c r="O35" i="26"/>
  <c r="P307" i="24"/>
  <c r="O308" i="24"/>
  <c r="O269" i="24"/>
  <c r="P268" i="24"/>
  <c r="O230" i="24"/>
  <c r="P229" i="24"/>
  <c r="O191" i="24"/>
  <c r="P190" i="24"/>
  <c r="P150" i="24"/>
  <c r="O151" i="24"/>
  <c r="P112" i="24"/>
  <c r="O113" i="24"/>
  <c r="O74" i="24"/>
  <c r="P73" i="24"/>
  <c r="O35" i="24"/>
  <c r="P35" i="24" s="1"/>
  <c r="P310" i="27"/>
  <c r="O311" i="27"/>
  <c r="O271" i="27"/>
  <c r="P270" i="27"/>
  <c r="O233" i="27"/>
  <c r="P232" i="27"/>
  <c r="O194" i="27"/>
  <c r="P193" i="27"/>
  <c r="O155" i="27"/>
  <c r="P154" i="27"/>
  <c r="P111" i="27"/>
  <c r="O112" i="27"/>
  <c r="O74" i="27"/>
  <c r="P73" i="27"/>
  <c r="O35" i="27"/>
  <c r="P34" i="27"/>
  <c r="O311" i="25"/>
  <c r="P310" i="25"/>
  <c r="O272" i="25"/>
  <c r="P271" i="25"/>
  <c r="O233" i="25"/>
  <c r="P232" i="25"/>
  <c r="O191" i="25"/>
  <c r="P190" i="25"/>
  <c r="O152" i="25"/>
  <c r="P151" i="25"/>
  <c r="O113" i="25"/>
  <c r="P112" i="25"/>
  <c r="O74" i="25"/>
  <c r="P73" i="25"/>
  <c r="O35" i="25" l="1"/>
  <c r="P34" i="25"/>
  <c r="O324" i="28"/>
  <c r="P323" i="28"/>
  <c r="O282" i="28"/>
  <c r="P281" i="28"/>
  <c r="O243" i="28"/>
  <c r="P242" i="28"/>
  <c r="P202" i="28"/>
  <c r="O203" i="28"/>
  <c r="P161" i="28"/>
  <c r="O162" i="28"/>
  <c r="O120" i="28"/>
  <c r="P119" i="28"/>
  <c r="O78" i="28"/>
  <c r="P77" i="28"/>
  <c r="O36" i="28"/>
  <c r="P35" i="28"/>
  <c r="O318" i="26"/>
  <c r="P317" i="26"/>
  <c r="O276" i="26"/>
  <c r="P275" i="26"/>
  <c r="O237" i="26"/>
  <c r="P236" i="26"/>
  <c r="O198" i="26"/>
  <c r="P197" i="26"/>
  <c r="O155" i="26"/>
  <c r="P154" i="26"/>
  <c r="O116" i="26"/>
  <c r="P115" i="26"/>
  <c r="O75" i="26"/>
  <c r="P74" i="26"/>
  <c r="O36" i="26"/>
  <c r="P35" i="26"/>
  <c r="O309" i="24"/>
  <c r="P308" i="24"/>
  <c r="O270" i="24"/>
  <c r="P269" i="24"/>
  <c r="O231" i="24"/>
  <c r="P230" i="24"/>
  <c r="O192" i="24"/>
  <c r="P191" i="24"/>
  <c r="O152" i="24"/>
  <c r="P151" i="24"/>
  <c r="P113" i="24"/>
  <c r="O114" i="24"/>
  <c r="O75" i="24"/>
  <c r="P74" i="24"/>
  <c r="O36" i="24"/>
  <c r="P36" i="24" s="1"/>
  <c r="O312" i="27"/>
  <c r="P311" i="27"/>
  <c r="O272" i="27"/>
  <c r="P271" i="27"/>
  <c r="P233" i="27"/>
  <c r="O234" i="27"/>
  <c r="O195" i="27"/>
  <c r="P194" i="27"/>
  <c r="O156" i="27"/>
  <c r="P155" i="27"/>
  <c r="O113" i="27"/>
  <c r="P112" i="27"/>
  <c r="P74" i="27"/>
  <c r="O75" i="27"/>
  <c r="O36" i="27"/>
  <c r="P35" i="27"/>
  <c r="O312" i="25"/>
  <c r="P311" i="25"/>
  <c r="O273" i="25"/>
  <c r="P272" i="25"/>
  <c r="O234" i="25"/>
  <c r="P233" i="25"/>
  <c r="O192" i="25"/>
  <c r="P191" i="25"/>
  <c r="O153" i="25"/>
  <c r="P152" i="25"/>
  <c r="O114" i="25"/>
  <c r="P113" i="25"/>
  <c r="O75" i="25"/>
  <c r="P74" i="25"/>
  <c r="O36" i="25" l="1"/>
  <c r="P35" i="25"/>
  <c r="O325" i="28"/>
  <c r="P324" i="28"/>
  <c r="O283" i="28"/>
  <c r="P282" i="28"/>
  <c r="P243" i="28"/>
  <c r="O244" i="28"/>
  <c r="O204" i="28"/>
  <c r="P203" i="28"/>
  <c r="O163" i="28"/>
  <c r="P162" i="28"/>
  <c r="P120" i="28"/>
  <c r="O121" i="28"/>
  <c r="P78" i="28"/>
  <c r="O79" i="28"/>
  <c r="O37" i="28"/>
  <c r="P36" i="28"/>
  <c r="O319" i="26"/>
  <c r="P318" i="26"/>
  <c r="O277" i="26"/>
  <c r="P276" i="26"/>
  <c r="O238" i="26"/>
  <c r="P237" i="26"/>
  <c r="O199" i="26"/>
  <c r="P198" i="26"/>
  <c r="O156" i="26"/>
  <c r="P155" i="26"/>
  <c r="P116" i="26"/>
  <c r="O117" i="26"/>
  <c r="O76" i="26"/>
  <c r="P75" i="26"/>
  <c r="O37" i="26"/>
  <c r="P36" i="26"/>
  <c r="O310" i="24"/>
  <c r="P309" i="24"/>
  <c r="O271" i="24"/>
  <c r="P270" i="24"/>
  <c r="O232" i="24"/>
  <c r="P231" i="24"/>
  <c r="O193" i="24"/>
  <c r="P192" i="24"/>
  <c r="P152" i="24"/>
  <c r="O153" i="24"/>
  <c r="O115" i="24"/>
  <c r="P114" i="24"/>
  <c r="O76" i="24"/>
  <c r="P75" i="24"/>
  <c r="O37" i="24"/>
  <c r="P37" i="24" s="1"/>
  <c r="O313" i="27"/>
  <c r="P312" i="27"/>
  <c r="O273" i="27"/>
  <c r="P272" i="27"/>
  <c r="O235" i="27"/>
  <c r="P234" i="27"/>
  <c r="O196" i="27"/>
  <c r="P195" i="27"/>
  <c r="O157" i="27"/>
  <c r="P156" i="27"/>
  <c r="O114" i="27"/>
  <c r="P113" i="27"/>
  <c r="O76" i="27"/>
  <c r="P75" i="27"/>
  <c r="O37" i="27"/>
  <c r="P36" i="27"/>
  <c r="O313" i="25"/>
  <c r="P312" i="25"/>
  <c r="O274" i="25"/>
  <c r="P273" i="25"/>
  <c r="O235" i="25"/>
  <c r="P234" i="25"/>
  <c r="O193" i="25"/>
  <c r="P192" i="25"/>
  <c r="O154" i="25"/>
  <c r="P153" i="25"/>
  <c r="O115" i="25"/>
  <c r="P114" i="25"/>
  <c r="O76" i="25"/>
  <c r="P75" i="25"/>
  <c r="O37" i="25" l="1"/>
  <c r="P36" i="25"/>
  <c r="O326" i="28"/>
  <c r="P325" i="28"/>
  <c r="O284" i="28"/>
  <c r="P283" i="28"/>
  <c r="O245" i="28"/>
  <c r="P244" i="28"/>
  <c r="P204" i="28"/>
  <c r="O205" i="28"/>
  <c r="O164" i="28"/>
  <c r="P163" i="28"/>
  <c r="O122" i="28"/>
  <c r="P121" i="28"/>
  <c r="P79" i="28"/>
  <c r="O80" i="28"/>
  <c r="O38" i="28"/>
  <c r="P37" i="28"/>
  <c r="O320" i="26"/>
  <c r="P319" i="26"/>
  <c r="O278" i="26"/>
  <c r="P277" i="26"/>
  <c r="O239" i="26"/>
  <c r="P238" i="26"/>
  <c r="O200" i="26"/>
  <c r="P199" i="26"/>
  <c r="O157" i="26"/>
  <c r="P156" i="26"/>
  <c r="O118" i="26"/>
  <c r="P117" i="26"/>
  <c r="O77" i="26"/>
  <c r="P76" i="26"/>
  <c r="O38" i="26"/>
  <c r="P37" i="26"/>
  <c r="O311" i="24"/>
  <c r="P310" i="24"/>
  <c r="O272" i="24"/>
  <c r="P271" i="24"/>
  <c r="O233" i="24"/>
  <c r="P232" i="24"/>
  <c r="O194" i="24"/>
  <c r="P193" i="24"/>
  <c r="O154" i="24"/>
  <c r="P153" i="24"/>
  <c r="O116" i="24"/>
  <c r="P115" i="24"/>
  <c r="O77" i="24"/>
  <c r="P76" i="24"/>
  <c r="O38" i="24"/>
  <c r="P38" i="24" s="1"/>
  <c r="O314" i="27"/>
  <c r="P313" i="27"/>
  <c r="O274" i="27"/>
  <c r="P273" i="27"/>
  <c r="O236" i="27"/>
  <c r="P235" i="27"/>
  <c r="O197" i="27"/>
  <c r="P196" i="27"/>
  <c r="O158" i="27"/>
  <c r="P157" i="27"/>
  <c r="O115" i="27"/>
  <c r="P114" i="27"/>
  <c r="O77" i="27"/>
  <c r="P76" i="27"/>
  <c r="O38" i="27"/>
  <c r="P37" i="27"/>
  <c r="O314" i="25"/>
  <c r="P313" i="25"/>
  <c r="O275" i="25"/>
  <c r="P274" i="25"/>
  <c r="O236" i="25"/>
  <c r="P235" i="25"/>
  <c r="O194" i="25"/>
  <c r="P193" i="25"/>
  <c r="O155" i="25"/>
  <c r="P154" i="25"/>
  <c r="O116" i="25"/>
  <c r="P115" i="25"/>
  <c r="O77" i="25"/>
  <c r="P76" i="25"/>
  <c r="P37" i="25" l="1"/>
  <c r="O38" i="25"/>
  <c r="O327" i="28"/>
  <c r="P326" i="28"/>
  <c r="O285" i="28"/>
  <c r="P284" i="28"/>
  <c r="O246" i="28"/>
  <c r="P246" i="28" s="1"/>
  <c r="P245" i="28"/>
  <c r="O206" i="28"/>
  <c r="P205" i="28"/>
  <c r="P164" i="28"/>
  <c r="O165" i="28"/>
  <c r="O123" i="28"/>
  <c r="P122" i="28"/>
  <c r="O81" i="28"/>
  <c r="P80" i="28"/>
  <c r="O39" i="28"/>
  <c r="P38" i="28"/>
  <c r="P320" i="26"/>
  <c r="O321" i="26"/>
  <c r="P321" i="26" s="1"/>
  <c r="P278" i="26"/>
  <c r="O279" i="26"/>
  <c r="O240" i="26"/>
  <c r="P240" i="26" s="1"/>
  <c r="P239" i="26"/>
  <c r="O201" i="26"/>
  <c r="P201" i="26" s="1"/>
  <c r="P200" i="26"/>
  <c r="O158" i="26"/>
  <c r="P157" i="26"/>
  <c r="P118" i="26"/>
  <c r="O119" i="26"/>
  <c r="O78" i="26"/>
  <c r="P77" i="26"/>
  <c r="O39" i="26"/>
  <c r="P39" i="26" s="1"/>
  <c r="P38" i="26"/>
  <c r="O312" i="24"/>
  <c r="P312" i="24" s="1"/>
  <c r="P311" i="24"/>
  <c r="O273" i="24"/>
  <c r="P273" i="24" s="1"/>
  <c r="P272" i="24"/>
  <c r="O234" i="24"/>
  <c r="P234" i="24" s="1"/>
  <c r="P233" i="24"/>
  <c r="O195" i="24"/>
  <c r="P195" i="24" s="1"/>
  <c r="P194" i="24"/>
  <c r="O155" i="24"/>
  <c r="P154" i="24"/>
  <c r="O117" i="24"/>
  <c r="P117" i="24" s="1"/>
  <c r="P116" i="24"/>
  <c r="O78" i="24"/>
  <c r="P78" i="24" s="1"/>
  <c r="P77" i="24"/>
  <c r="O39" i="24"/>
  <c r="P39" i="24" s="1"/>
  <c r="P314" i="27"/>
  <c r="O315" i="27"/>
  <c r="O275" i="27"/>
  <c r="P274" i="27"/>
  <c r="O237" i="27"/>
  <c r="P237" i="27" s="1"/>
  <c r="P236" i="27"/>
  <c r="O198" i="27"/>
  <c r="P198" i="27" s="1"/>
  <c r="P197" i="27"/>
  <c r="O159" i="27"/>
  <c r="P159" i="27" s="1"/>
  <c r="P158" i="27"/>
  <c r="O116" i="27"/>
  <c r="P115" i="27"/>
  <c r="O78" i="27"/>
  <c r="P78" i="27" s="1"/>
  <c r="P77" i="27"/>
  <c r="O39" i="27"/>
  <c r="P39" i="27" s="1"/>
  <c r="P38" i="27"/>
  <c r="O315" i="25"/>
  <c r="P315" i="25" s="1"/>
  <c r="P314" i="25"/>
  <c r="O276" i="25"/>
  <c r="P276" i="25" s="1"/>
  <c r="P275" i="25"/>
  <c r="O237" i="25"/>
  <c r="P237" i="25" s="1"/>
  <c r="P236" i="25"/>
  <c r="O195" i="25"/>
  <c r="P194" i="25"/>
  <c r="O156" i="25"/>
  <c r="P156" i="25" s="1"/>
  <c r="P155" i="25"/>
  <c r="O117" i="25"/>
  <c r="P117" i="25" s="1"/>
  <c r="P116" i="25"/>
  <c r="P77" i="25"/>
  <c r="O78" i="25"/>
  <c r="P78" i="25" s="1"/>
  <c r="P285" i="28" l="1"/>
  <c r="O286" i="28"/>
  <c r="P327" i="28"/>
  <c r="O328" i="28"/>
  <c r="P78" i="26"/>
  <c r="O79" i="26"/>
  <c r="P279" i="26"/>
  <c r="O280" i="26"/>
  <c r="P195" i="25"/>
  <c r="O196" i="25"/>
  <c r="P38" i="25"/>
  <c r="O39" i="25"/>
  <c r="P39" i="25" s="1"/>
  <c r="P315" i="27"/>
  <c r="O316" i="27"/>
  <c r="P39" i="28"/>
  <c r="O40" i="28"/>
  <c r="O207" i="28"/>
  <c r="P206" i="28"/>
  <c r="O166" i="28"/>
  <c r="P165" i="28"/>
  <c r="O124" i="28"/>
  <c r="P123" i="28"/>
  <c r="O82" i="28"/>
  <c r="P81" i="28"/>
  <c r="O159" i="26"/>
  <c r="P158" i="26"/>
  <c r="O120" i="26"/>
  <c r="P120" i="26" s="1"/>
  <c r="P119" i="26"/>
  <c r="O156" i="24"/>
  <c r="P156" i="24" s="1"/>
  <c r="P155" i="24"/>
  <c r="O276" i="27"/>
  <c r="P276" i="27" s="1"/>
  <c r="P275" i="27"/>
  <c r="P116" i="27"/>
  <c r="O117" i="27"/>
  <c r="P328" i="28" l="1"/>
  <c r="O329" i="28"/>
  <c r="P286" i="28"/>
  <c r="O287" i="28"/>
  <c r="P280" i="26"/>
  <c r="O281" i="26"/>
  <c r="P79" i="26"/>
  <c r="O80" i="26"/>
  <c r="P159" i="26"/>
  <c r="O160" i="26"/>
  <c r="P196" i="25"/>
  <c r="O197" i="25"/>
  <c r="P316" i="27"/>
  <c r="O317" i="27"/>
  <c r="P117" i="27"/>
  <c r="O118" i="27"/>
  <c r="P40" i="28"/>
  <c r="O41" i="28"/>
  <c r="P207" i="28"/>
  <c r="O167" i="28"/>
  <c r="P166" i="28"/>
  <c r="O125" i="28"/>
  <c r="P124" i="28"/>
  <c r="P82" i="28"/>
  <c r="O83" i="28"/>
  <c r="P287" i="28" l="1"/>
  <c r="O288" i="28"/>
  <c r="P288" i="28" s="1"/>
  <c r="P329" i="28"/>
  <c r="O330" i="28"/>
  <c r="P330" i="28" s="1"/>
  <c r="P160" i="26"/>
  <c r="O161" i="26"/>
  <c r="P80" i="26"/>
  <c r="O81" i="26"/>
  <c r="P81" i="26" s="1"/>
  <c r="P281" i="26"/>
  <c r="O282" i="26"/>
  <c r="P282" i="26" s="1"/>
  <c r="P197" i="25"/>
  <c r="O198" i="25"/>
  <c r="P198" i="25" s="1"/>
  <c r="P118" i="27"/>
  <c r="O119" i="27"/>
  <c r="O318" i="27"/>
  <c r="P318" i="27" s="1"/>
  <c r="P317" i="27"/>
  <c r="P41" i="28"/>
  <c r="O42" i="28"/>
  <c r="P42" i="28" s="1"/>
  <c r="O168" i="28"/>
  <c r="P168" i="28" s="1"/>
  <c r="P167" i="28"/>
  <c r="O126" i="28"/>
  <c r="P126" i="28" s="1"/>
  <c r="P125" i="28"/>
  <c r="O84" i="28"/>
  <c r="P84" i="28" s="1"/>
  <c r="P83" i="28"/>
  <c r="P161" i="26" l="1"/>
  <c r="O162" i="26"/>
  <c r="P162" i="26" s="1"/>
  <c r="O120" i="27"/>
  <c r="P120" i="27" s="1"/>
  <c r="P119" i="27"/>
</calcChain>
</file>

<file path=xl/sharedStrings.xml><?xml version="1.0" encoding="utf-8"?>
<sst xmlns="http://schemas.openxmlformats.org/spreadsheetml/2006/main" count="5922" uniqueCount="90">
  <si>
    <t>Friday</t>
  </si>
  <si>
    <t>Saturday</t>
  </si>
  <si>
    <t>Sunday</t>
  </si>
  <si>
    <t>Monday</t>
  </si>
  <si>
    <t>Tuesday</t>
  </si>
  <si>
    <t>Wednesday</t>
  </si>
  <si>
    <t>Thursday</t>
  </si>
  <si>
    <t>LN</t>
  </si>
  <si>
    <t>HN</t>
  </si>
  <si>
    <t>date</t>
  </si>
  <si>
    <t>FDD</t>
  </si>
  <si>
    <t>SPD</t>
  </si>
  <si>
    <t>day</t>
  </si>
  <si>
    <t>n_trt</t>
  </si>
  <si>
    <t>WW</t>
  </si>
  <si>
    <t>DAD</t>
  </si>
  <si>
    <t>Cumulative_N_mg</t>
  </si>
  <si>
    <t>Drought_trt</t>
  </si>
  <si>
    <t>Plant_id</t>
  </si>
  <si>
    <t>Wt</t>
  </si>
  <si>
    <t>transpiration_daily_L</t>
  </si>
  <si>
    <t>transpiration_cumul_L</t>
  </si>
  <si>
    <t>SWCref</t>
  </si>
  <si>
    <t>Cumulative_N_L</t>
  </si>
  <si>
    <t>Mass</t>
  </si>
  <si>
    <t>kg</t>
  </si>
  <si>
    <t>Measured</t>
  </si>
  <si>
    <t>Measured/recorded</t>
  </si>
  <si>
    <t>Volume</t>
  </si>
  <si>
    <t>L</t>
  </si>
  <si>
    <t>water_added_L + nutrients_added_L</t>
  </si>
  <si>
    <t>weight + total liquid added</t>
  </si>
  <si>
    <t>Wt on day t - measured weight on day t+1</t>
  </si>
  <si>
    <t>Volume equivalent</t>
  </si>
  <si>
    <t>Running sum of transpiration_daily_L</t>
  </si>
  <si>
    <t>SWC%FC</t>
  </si>
  <si>
    <t>Fraction displayed/interpreted as % FC</t>
  </si>
  <si>
    <t>Fraction / % FC</t>
  </si>
  <si>
    <t>1, 2, 3, ... within each plant</t>
  </si>
  <si>
    <t>Count of days</t>
  </si>
  <si>
    <t>d</t>
  </si>
  <si>
    <t>DS_daily</t>
  </si>
  <si>
    <t>0.98 - SWC%FC</t>
  </si>
  <si>
    <t>Sum(DS_daily)</t>
  </si>
  <si>
    <t>Running cumulative sum of daily drought deficits.</t>
  </si>
  <si>
    <t>Running sum of DS_daily from the first nonblank deficit value</t>
  </si>
  <si>
    <t>Sum of fractional deficits over daily observations</t>
  </si>
  <si>
    <t>Cumulative volume of nutrient solution supplied.</t>
  </si>
  <si>
    <t>Running sum of nutrients_added_L plus initial value</t>
  </si>
  <si>
    <t>Cumulative N amount calculated from nutrient-solution volume and treatment concentration.</t>
  </si>
  <si>
    <t>Cumulative_N_L × 210 (HN) or × 70 (LN)</t>
  </si>
  <si>
    <t>mg N</t>
  </si>
  <si>
    <t>Definition</t>
  </si>
  <si>
    <t xml:space="preserve">Variable </t>
  </si>
  <si>
    <t>Formula</t>
  </si>
  <si>
    <t>unit</t>
  </si>
  <si>
    <t xml:space="preserve">Nitrogen treatment </t>
  </si>
  <si>
    <t>day of weighing/water and nutrient addition after drought treatment application</t>
  </si>
  <si>
    <t>date of weighing/water and nutrient addition  after drought treatment application</t>
  </si>
  <si>
    <t>Drought treatment</t>
  </si>
  <si>
    <t>categorical: HN: High nitrogen, LN: Low nitrogen</t>
  </si>
  <si>
    <t>categorical: WW: Well Watred, SPD: Slow Progressive Drougth, FDD: Fast Developing Drought</t>
  </si>
  <si>
    <t>plant_id</t>
  </si>
  <si>
    <t xml:space="preserve">Plant Identity </t>
  </si>
  <si>
    <t>Volume of nutrient solution added on that day</t>
  </si>
  <si>
    <t>Water_to_add =Target Weight-Wt-nutrients_added_L</t>
  </si>
  <si>
    <t>Total liquid addition used in the daily mass balance</t>
  </si>
  <si>
    <t>Measured pot/mixture weight recorded before any watering or nutrient additon</t>
  </si>
  <si>
    <t>Pot mass after that day's water/nutrient additions</t>
  </si>
  <si>
    <t>Daily water loss inferred gravimetrically between successive observations</t>
  </si>
  <si>
    <t>Cumulative inferred transpiration for a plant</t>
  </si>
  <si>
    <t xml:space="preserve">Soil/potting-mixture water status relative to the reference field-capacity </t>
  </si>
  <si>
    <t>Reference SWC used for daily drought-deficit calculations</t>
  </si>
  <si>
    <t>Day count used as the denominator/time index after drought application</t>
  </si>
  <si>
    <t>Daily drought deficit relative to SWCref</t>
  </si>
  <si>
    <t xml:space="preserve">DS_daily </t>
  </si>
  <si>
    <t>Sum_DS_daily</t>
  </si>
  <si>
    <t>Running sum of nutrients_added_L plus initial value. The initial value (2.5 L) is the sum of all nutirent volume added before drought treatment application</t>
  </si>
  <si>
    <t>Cumulative volume of nutrient solution supplied</t>
  </si>
  <si>
    <t>Cumulative N amount calculated from nutrient-solution volume and treatment concentration</t>
  </si>
  <si>
    <t>comment</t>
  </si>
  <si>
    <t>Wpre</t>
  </si>
  <si>
    <t>L d-1</t>
  </si>
  <si>
    <t>Vwater</t>
  </si>
  <si>
    <t>Vnutrient</t>
  </si>
  <si>
    <t>Vtot</t>
  </si>
  <si>
    <t xml:space="preserve">(Wt - Wi / (Wfc-Wi), with Wi=11 Kg, and WFC = 17.1 </t>
  </si>
  <si>
    <t>Fractional  difference</t>
  </si>
  <si>
    <t>unitless</t>
  </si>
  <si>
    <t>Calculated volume of  water required to bring an individual pot from its current weight to the target pot weight corresponding to the prescribed SWC%FC after accounting for the volume of nutrient solution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</si>
</sst>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7849-722F-4E3B-B3A5-3F07C59F58ED}">
  <dimension ref="A1:E22"/>
  <sheetViews>
    <sheetView tabSelected="1" workbookViewId="0">
      <selection activeCell="E7" sqref="E7"/>
    </sheetView>
  </sheetViews>
  <sheetFormatPr defaultRowHeight="13.8" x14ac:dyDescent="0.25"/>
  <cols>
    <col min="1" max="1" width="22" style="7" customWidth="1"/>
    <col min="2" max="2" width="42" style="7" customWidth="1"/>
    <col min="3" max="3" width="40" style="7" customWidth="1"/>
    <col min="4" max="5" width="28" style="7" customWidth="1"/>
    <col min="6" max="16384" width="8.88671875" style="7"/>
  </cols>
  <sheetData>
    <row r="1" spans="1:5" x14ac:dyDescent="0.25">
      <c r="A1" s="6" t="s">
        <v>53</v>
      </c>
      <c r="B1" s="6" t="s">
        <v>52</v>
      </c>
      <c r="C1" s="6" t="s">
        <v>54</v>
      </c>
      <c r="D1" s="6" t="s">
        <v>80</v>
      </c>
      <c r="E1" s="6" t="s">
        <v>55</v>
      </c>
    </row>
    <row r="2" spans="1:5" ht="27.6" x14ac:dyDescent="0.25">
      <c r="A2" s="8" t="s">
        <v>12</v>
      </c>
      <c r="B2" s="8" t="s">
        <v>57</v>
      </c>
      <c r="C2" s="8"/>
      <c r="D2" s="8"/>
      <c r="E2" s="8"/>
    </row>
    <row r="3" spans="1:5" ht="27.6" x14ac:dyDescent="0.25">
      <c r="A3" s="8" t="s">
        <v>9</v>
      </c>
      <c r="B3" s="8" t="s">
        <v>58</v>
      </c>
      <c r="C3" s="8"/>
      <c r="D3" s="8"/>
      <c r="E3" s="8"/>
    </row>
    <row r="4" spans="1:5" ht="27.6" x14ac:dyDescent="0.25">
      <c r="A4" s="8" t="s">
        <v>13</v>
      </c>
      <c r="B4" s="8" t="s">
        <v>56</v>
      </c>
      <c r="C4" s="8" t="s">
        <v>60</v>
      </c>
      <c r="D4" s="8"/>
      <c r="E4" s="8"/>
    </row>
    <row r="5" spans="1:5" ht="41.4" x14ac:dyDescent="0.25">
      <c r="A5" s="8" t="s">
        <v>17</v>
      </c>
      <c r="B5" s="8" t="s">
        <v>59</v>
      </c>
      <c r="C5" s="8" t="s">
        <v>61</v>
      </c>
      <c r="D5" s="8"/>
      <c r="E5" s="8"/>
    </row>
    <row r="6" spans="1:5" x14ac:dyDescent="0.25">
      <c r="A6" s="8" t="s">
        <v>62</v>
      </c>
      <c r="B6" s="8" t="s">
        <v>63</v>
      </c>
      <c r="C6" s="8"/>
      <c r="D6" s="8"/>
      <c r="E6" s="8"/>
    </row>
    <row r="7" spans="1:5" ht="27.6" x14ac:dyDescent="0.25">
      <c r="A7" s="8" t="s">
        <v>81</v>
      </c>
      <c r="B7" s="8" t="s">
        <v>67</v>
      </c>
      <c r="C7" s="8" t="s">
        <v>26</v>
      </c>
      <c r="D7" s="8" t="s">
        <v>24</v>
      </c>
      <c r="E7" s="8" t="s">
        <v>25</v>
      </c>
    </row>
    <row r="8" spans="1:5" x14ac:dyDescent="0.25">
      <c r="A8" s="8" t="s">
        <v>84</v>
      </c>
      <c r="B8" s="8" t="s">
        <v>64</v>
      </c>
      <c r="C8" s="8" t="s">
        <v>27</v>
      </c>
      <c r="D8" s="8" t="s">
        <v>28</v>
      </c>
      <c r="E8" s="8" t="s">
        <v>29</v>
      </c>
    </row>
    <row r="9" spans="1:5" ht="69" x14ac:dyDescent="0.25">
      <c r="A9" s="8" t="s">
        <v>83</v>
      </c>
      <c r="B9" s="8" t="s">
        <v>89</v>
      </c>
      <c r="C9" s="8" t="s">
        <v>65</v>
      </c>
      <c r="D9" s="8" t="s">
        <v>28</v>
      </c>
      <c r="E9" s="8" t="s">
        <v>29</v>
      </c>
    </row>
    <row r="10" spans="1:5" ht="27.6" x14ac:dyDescent="0.25">
      <c r="A10" s="8" t="s">
        <v>85</v>
      </c>
      <c r="B10" s="8" t="s">
        <v>66</v>
      </c>
      <c r="C10" s="8" t="s">
        <v>30</v>
      </c>
      <c r="D10" s="8" t="s">
        <v>28</v>
      </c>
      <c r="E10" s="8" t="s">
        <v>29</v>
      </c>
    </row>
    <row r="11" spans="1:5" x14ac:dyDescent="0.25">
      <c r="A11" s="8" t="s">
        <v>19</v>
      </c>
      <c r="B11" s="8" t="s">
        <v>68</v>
      </c>
      <c r="C11" s="8" t="s">
        <v>31</v>
      </c>
      <c r="D11" s="8" t="s">
        <v>24</v>
      </c>
      <c r="E11" s="8" t="s">
        <v>25</v>
      </c>
    </row>
    <row r="12" spans="1:5" ht="27.6" x14ac:dyDescent="0.25">
      <c r="A12" s="8" t="s">
        <v>20</v>
      </c>
      <c r="B12" s="8" t="s">
        <v>69</v>
      </c>
      <c r="C12" s="8" t="s">
        <v>32</v>
      </c>
      <c r="D12" s="8" t="s">
        <v>33</v>
      </c>
      <c r="E12" s="8" t="s">
        <v>82</v>
      </c>
    </row>
    <row r="13" spans="1:5" x14ac:dyDescent="0.25">
      <c r="A13" s="8" t="s">
        <v>21</v>
      </c>
      <c r="B13" s="8" t="s">
        <v>70</v>
      </c>
      <c r="C13" s="8" t="s">
        <v>34</v>
      </c>
      <c r="D13" s="8" t="s">
        <v>28</v>
      </c>
      <c r="E13" s="8" t="s">
        <v>29</v>
      </c>
    </row>
    <row r="14" spans="1:5" ht="27.6" x14ac:dyDescent="0.25">
      <c r="A14" s="8" t="s">
        <v>35</v>
      </c>
      <c r="B14" s="8" t="s">
        <v>71</v>
      </c>
      <c r="C14" s="8" t="s">
        <v>86</v>
      </c>
      <c r="D14" s="8" t="s">
        <v>36</v>
      </c>
      <c r="E14" s="8" t="s">
        <v>88</v>
      </c>
    </row>
    <row r="15" spans="1:5" ht="27.6" x14ac:dyDescent="0.25">
      <c r="A15" s="8" t="s">
        <v>22</v>
      </c>
      <c r="B15" s="8" t="s">
        <v>72</v>
      </c>
      <c r="C15" s="8">
        <v>0.98</v>
      </c>
      <c r="D15" s="8" t="s">
        <v>37</v>
      </c>
      <c r="E15" s="8" t="s">
        <v>88</v>
      </c>
    </row>
    <row r="16" spans="1:5" ht="29.4" customHeight="1" x14ac:dyDescent="0.25">
      <c r="A16" s="8" t="s">
        <v>15</v>
      </c>
      <c r="B16" s="8" t="s">
        <v>73</v>
      </c>
      <c r="C16" s="8" t="s">
        <v>38</v>
      </c>
      <c r="D16" s="8" t="s">
        <v>39</v>
      </c>
      <c r="E16" s="8" t="s">
        <v>40</v>
      </c>
    </row>
    <row r="17" spans="1:5" ht="55.2" x14ac:dyDescent="0.25">
      <c r="A17" s="8" t="s">
        <v>23</v>
      </c>
      <c r="B17" s="8" t="s">
        <v>78</v>
      </c>
      <c r="C17" s="8" t="s">
        <v>77</v>
      </c>
      <c r="D17" s="8" t="s">
        <v>28</v>
      </c>
      <c r="E17" s="8" t="s">
        <v>29</v>
      </c>
    </row>
    <row r="18" spans="1:5" ht="27.6" x14ac:dyDescent="0.25">
      <c r="A18" s="8" t="s">
        <v>16</v>
      </c>
      <c r="B18" s="8" t="s">
        <v>79</v>
      </c>
      <c r="C18" s="8" t="s">
        <v>50</v>
      </c>
      <c r="D18" s="8" t="s">
        <v>24</v>
      </c>
      <c r="E18" s="8" t="s">
        <v>51</v>
      </c>
    </row>
    <row r="19" spans="1:5" x14ac:dyDescent="0.25">
      <c r="A19" s="8" t="s">
        <v>41</v>
      </c>
      <c r="B19" s="8" t="s">
        <v>74</v>
      </c>
      <c r="C19" s="8" t="s">
        <v>42</v>
      </c>
      <c r="D19" s="8" t="s">
        <v>87</v>
      </c>
      <c r="E19" s="8" t="s">
        <v>88</v>
      </c>
    </row>
    <row r="20" spans="1:5" ht="27.6" x14ac:dyDescent="0.25">
      <c r="A20" s="8" t="s">
        <v>43</v>
      </c>
      <c r="B20" s="8" t="s">
        <v>44</v>
      </c>
      <c r="C20" s="8" t="s">
        <v>45</v>
      </c>
      <c r="D20" s="8" t="s">
        <v>46</v>
      </c>
      <c r="E20" s="8" t="s">
        <v>88</v>
      </c>
    </row>
    <row r="21" spans="1:5" ht="27.6" x14ac:dyDescent="0.25">
      <c r="A21" s="8" t="s">
        <v>23</v>
      </c>
      <c r="B21" s="8" t="s">
        <v>47</v>
      </c>
      <c r="C21" s="8" t="s">
        <v>48</v>
      </c>
      <c r="D21" s="8" t="s">
        <v>28</v>
      </c>
      <c r="E21" s="8" t="s">
        <v>29</v>
      </c>
    </row>
    <row r="22" spans="1:5" ht="27.6" x14ac:dyDescent="0.25">
      <c r="A22" s="8" t="s">
        <v>16</v>
      </c>
      <c r="B22" s="8" t="s">
        <v>49</v>
      </c>
      <c r="C22" s="8" t="s">
        <v>50</v>
      </c>
      <c r="D22" s="8" t="s">
        <v>24</v>
      </c>
      <c r="E22" s="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C044-A0F8-4EB4-A509-B76ECF447068}">
  <dimension ref="A1:R318"/>
  <sheetViews>
    <sheetView topLeftCell="B1" workbookViewId="0">
      <selection activeCell="B1" sqref="A1:XFD1048576"/>
    </sheetView>
  </sheetViews>
  <sheetFormatPr defaultRowHeight="14.4" x14ac:dyDescent="0.3"/>
  <cols>
    <col min="1" max="1" width="10.44140625" bestFit="1" customWidth="1"/>
    <col min="2" max="2" width="8.33203125" bestFit="1" customWidth="1"/>
    <col min="3" max="3" width="5" bestFit="1" customWidth="1"/>
    <col min="4" max="4" width="10.5546875" bestFit="1" customWidth="1"/>
    <col min="5" max="5" width="7.5546875" bestFit="1" customWidth="1"/>
    <col min="6" max="6" width="5.44140625" bestFit="1" customWidth="1"/>
    <col min="7" max="7" width="8.5546875" bestFit="1" customWidth="1"/>
    <col min="8" max="8" width="6.88671875" bestFit="1" customWidth="1"/>
    <col min="9" max="9" width="5" bestFit="1" customWidth="1"/>
    <col min="10" max="10" width="6" bestFit="1" customWidth="1"/>
    <col min="11" max="11" width="18.33203125" bestFit="1" customWidth="1"/>
    <col min="12" max="12" width="19.44140625" customWidth="1"/>
    <col min="13" max="13" width="12" bestFit="1" customWidth="1"/>
    <col min="14" max="14" width="4.5546875" bestFit="1" customWidth="1"/>
    <col min="15" max="15" width="14.44140625" bestFit="1" customWidth="1"/>
    <col min="16" max="16" width="16" bestFit="1" customWidth="1"/>
  </cols>
  <sheetData>
    <row r="1" spans="1:18" x14ac:dyDescent="0.3">
      <c r="A1" t="s">
        <v>12</v>
      </c>
      <c r="B1" t="s">
        <v>9</v>
      </c>
      <c r="C1" t="s">
        <v>13</v>
      </c>
      <c r="D1" t="s">
        <v>17</v>
      </c>
      <c r="E1" t="s">
        <v>62</v>
      </c>
      <c r="F1" t="s">
        <v>81</v>
      </c>
      <c r="G1" s="5" t="s">
        <v>84</v>
      </c>
      <c r="H1" t="s">
        <v>83</v>
      </c>
      <c r="I1" t="s">
        <v>85</v>
      </c>
      <c r="J1" t="s">
        <v>19</v>
      </c>
      <c r="K1" t="s">
        <v>20</v>
      </c>
      <c r="L1" t="s">
        <v>21</v>
      </c>
      <c r="M1" s="4" t="s">
        <v>35</v>
      </c>
      <c r="N1" t="s">
        <v>15</v>
      </c>
      <c r="O1" s="4" t="s">
        <v>23</v>
      </c>
      <c r="P1" s="4" t="s">
        <v>16</v>
      </c>
      <c r="Q1" s="4" t="s">
        <v>75</v>
      </c>
      <c r="R1" s="4" t="s">
        <v>76</v>
      </c>
    </row>
    <row r="2" spans="1:18" x14ac:dyDescent="0.3">
      <c r="A2" t="s">
        <v>1</v>
      </c>
      <c r="B2" s="1">
        <v>45073</v>
      </c>
      <c r="C2" t="s">
        <v>8</v>
      </c>
      <c r="D2" t="s">
        <v>14</v>
      </c>
      <c r="E2">
        <v>1</v>
      </c>
      <c r="F2">
        <v>17</v>
      </c>
      <c r="G2">
        <v>0</v>
      </c>
      <c r="H2">
        <f>17-F2-G2</f>
        <v>0</v>
      </c>
      <c r="I2">
        <f>H2+G2</f>
        <v>0</v>
      </c>
      <c r="J2">
        <f>I2+F2</f>
        <v>17</v>
      </c>
      <c r="K2">
        <f>J2-F3</f>
        <v>0.5</v>
      </c>
      <c r="M2">
        <f>(J2-11)/6.1</f>
        <v>0.98360655737704927</v>
      </c>
      <c r="N2">
        <v>1</v>
      </c>
      <c r="O2">
        <v>2.5</v>
      </c>
      <c r="P2">
        <f>O2*210</f>
        <v>525</v>
      </c>
      <c r="Q2">
        <f>M2-M2</f>
        <v>0</v>
      </c>
      <c r="R2">
        <v>0</v>
      </c>
    </row>
    <row r="3" spans="1:18" x14ac:dyDescent="0.3">
      <c r="A3" t="s">
        <v>2</v>
      </c>
      <c r="B3" s="1">
        <v>45074</v>
      </c>
      <c r="C3" t="s">
        <v>8</v>
      </c>
      <c r="D3" t="s">
        <v>14</v>
      </c>
      <c r="E3">
        <v>1</v>
      </c>
      <c r="F3">
        <v>16.5</v>
      </c>
      <c r="G3">
        <v>0</v>
      </c>
      <c r="H3">
        <f t="shared" ref="H3:H66" si="0">17-F3-G3</f>
        <v>0.5</v>
      </c>
      <c r="I3">
        <f>H3+G3</f>
        <v>0.5</v>
      </c>
      <c r="J3">
        <f>I3+F3</f>
        <v>17</v>
      </c>
      <c r="K3">
        <f t="shared" ref="K3:K39" si="1">J3-F4</f>
        <v>0.5</v>
      </c>
      <c r="L3">
        <f>K2+K3</f>
        <v>1</v>
      </c>
      <c r="M3">
        <f t="shared" ref="M3:M66" si="2">(J3-11)/6.1</f>
        <v>0.98360655737704927</v>
      </c>
      <c r="N3">
        <v>2</v>
      </c>
      <c r="O3">
        <f t="shared" ref="O3:O39" si="3">O2+G3</f>
        <v>2.5</v>
      </c>
      <c r="P3">
        <f t="shared" ref="P3:P39" si="4">O3*210</f>
        <v>525</v>
      </c>
      <c r="Q3">
        <f t="shared" ref="Q3:Q66" si="5">M3-M3</f>
        <v>0</v>
      </c>
      <c r="R3">
        <v>0</v>
      </c>
    </row>
    <row r="4" spans="1:18" x14ac:dyDescent="0.3">
      <c r="A4" t="s">
        <v>3</v>
      </c>
      <c r="B4" s="1">
        <v>45075</v>
      </c>
      <c r="C4" t="s">
        <v>8</v>
      </c>
      <c r="D4" t="s">
        <v>14</v>
      </c>
      <c r="E4">
        <v>1</v>
      </c>
      <c r="F4">
        <v>16.5</v>
      </c>
      <c r="G4">
        <v>0.25</v>
      </c>
      <c r="H4">
        <f t="shared" si="0"/>
        <v>0.25</v>
      </c>
      <c r="I4">
        <f>H4+G4</f>
        <v>0.5</v>
      </c>
      <c r="J4">
        <f>I4+F4</f>
        <v>17</v>
      </c>
      <c r="K4">
        <f t="shared" si="1"/>
        <v>0.69999999999999929</v>
      </c>
      <c r="L4">
        <f>L3+K4</f>
        <v>1.6999999999999993</v>
      </c>
      <c r="M4">
        <f t="shared" si="2"/>
        <v>0.98360655737704927</v>
      </c>
      <c r="N4">
        <v>3</v>
      </c>
      <c r="O4">
        <f t="shared" si="3"/>
        <v>2.75</v>
      </c>
      <c r="P4">
        <f t="shared" si="4"/>
        <v>577.5</v>
      </c>
      <c r="Q4">
        <f t="shared" si="5"/>
        <v>0</v>
      </c>
      <c r="R4">
        <v>0</v>
      </c>
    </row>
    <row r="5" spans="1:18" x14ac:dyDescent="0.3">
      <c r="A5" t="s">
        <v>4</v>
      </c>
      <c r="B5" s="1">
        <v>45076</v>
      </c>
      <c r="C5" t="s">
        <v>8</v>
      </c>
      <c r="D5" t="s">
        <v>14</v>
      </c>
      <c r="E5">
        <v>1</v>
      </c>
      <c r="F5">
        <v>16.3</v>
      </c>
      <c r="G5">
        <v>0.25</v>
      </c>
      <c r="H5">
        <f t="shared" si="0"/>
        <v>0.44999999999999929</v>
      </c>
      <c r="I5">
        <f t="shared" ref="I5:I40" si="6">H5+G5</f>
        <v>0.69999999999999929</v>
      </c>
      <c r="J5">
        <f t="shared" ref="J5:J40" si="7">I5+F5</f>
        <v>17</v>
      </c>
      <c r="K5">
        <f t="shared" si="1"/>
        <v>0.60000000000000142</v>
      </c>
      <c r="L5">
        <f t="shared" ref="L5:L39" si="8">L4+K5</f>
        <v>2.3000000000000007</v>
      </c>
      <c r="M5">
        <f t="shared" si="2"/>
        <v>0.98360655737704927</v>
      </c>
      <c r="N5">
        <v>4</v>
      </c>
      <c r="O5">
        <f t="shared" si="3"/>
        <v>3</v>
      </c>
      <c r="P5">
        <f t="shared" si="4"/>
        <v>630</v>
      </c>
      <c r="Q5">
        <f t="shared" si="5"/>
        <v>0</v>
      </c>
      <c r="R5">
        <v>0</v>
      </c>
    </row>
    <row r="6" spans="1:18" x14ac:dyDescent="0.3">
      <c r="A6" t="s">
        <v>5</v>
      </c>
      <c r="B6" s="1">
        <v>45077</v>
      </c>
      <c r="C6" t="s">
        <v>8</v>
      </c>
      <c r="D6" t="s">
        <v>14</v>
      </c>
      <c r="E6">
        <v>1</v>
      </c>
      <c r="F6">
        <v>16.399999999999999</v>
      </c>
      <c r="G6">
        <v>0</v>
      </c>
      <c r="H6">
        <f t="shared" si="0"/>
        <v>0.60000000000000142</v>
      </c>
      <c r="I6">
        <f t="shared" si="6"/>
        <v>0.60000000000000142</v>
      </c>
      <c r="J6">
        <f t="shared" si="7"/>
        <v>17</v>
      </c>
      <c r="K6">
        <f t="shared" si="1"/>
        <v>0.60000000000000142</v>
      </c>
      <c r="L6">
        <f t="shared" si="8"/>
        <v>2.9000000000000021</v>
      </c>
      <c r="M6">
        <f t="shared" si="2"/>
        <v>0.98360655737704927</v>
      </c>
      <c r="N6">
        <v>5</v>
      </c>
      <c r="O6">
        <f t="shared" si="3"/>
        <v>3</v>
      </c>
      <c r="P6">
        <f t="shared" si="4"/>
        <v>630</v>
      </c>
      <c r="Q6">
        <f t="shared" si="5"/>
        <v>0</v>
      </c>
      <c r="R6">
        <v>0</v>
      </c>
    </row>
    <row r="7" spans="1:18" x14ac:dyDescent="0.3">
      <c r="A7" t="s">
        <v>6</v>
      </c>
      <c r="B7" s="1">
        <v>45078</v>
      </c>
      <c r="C7" t="s">
        <v>8</v>
      </c>
      <c r="D7" t="s">
        <v>14</v>
      </c>
      <c r="E7">
        <v>1</v>
      </c>
      <c r="F7">
        <v>16.399999999999999</v>
      </c>
      <c r="G7">
        <v>0.25</v>
      </c>
      <c r="H7">
        <f t="shared" si="0"/>
        <v>0.35000000000000142</v>
      </c>
      <c r="I7">
        <f t="shared" si="6"/>
        <v>0.60000000000000142</v>
      </c>
      <c r="J7">
        <f t="shared" si="7"/>
        <v>17</v>
      </c>
      <c r="K7">
        <f t="shared" si="1"/>
        <v>0.5</v>
      </c>
      <c r="L7">
        <f t="shared" si="8"/>
        <v>3.4000000000000021</v>
      </c>
      <c r="M7">
        <f t="shared" si="2"/>
        <v>0.98360655737704927</v>
      </c>
      <c r="N7">
        <v>6</v>
      </c>
      <c r="O7">
        <f t="shared" si="3"/>
        <v>3.25</v>
      </c>
      <c r="P7">
        <f t="shared" si="4"/>
        <v>682.5</v>
      </c>
      <c r="Q7">
        <f t="shared" si="5"/>
        <v>0</v>
      </c>
      <c r="R7">
        <v>0</v>
      </c>
    </row>
    <row r="8" spans="1:18" x14ac:dyDescent="0.3">
      <c r="A8" t="s">
        <v>0</v>
      </c>
      <c r="B8" s="1">
        <v>45079</v>
      </c>
      <c r="C8" t="s">
        <v>8</v>
      </c>
      <c r="D8" t="s">
        <v>14</v>
      </c>
      <c r="E8">
        <v>1</v>
      </c>
      <c r="F8">
        <v>16.5</v>
      </c>
      <c r="G8">
        <v>0.25</v>
      </c>
      <c r="H8">
        <f t="shared" si="0"/>
        <v>0.25</v>
      </c>
      <c r="I8">
        <f t="shared" si="6"/>
        <v>0.5</v>
      </c>
      <c r="J8">
        <f t="shared" si="7"/>
        <v>17</v>
      </c>
      <c r="K8">
        <f t="shared" si="1"/>
        <v>0.30000000000000071</v>
      </c>
      <c r="L8">
        <f t="shared" si="8"/>
        <v>3.7000000000000028</v>
      </c>
      <c r="M8">
        <f t="shared" si="2"/>
        <v>0.98360655737704927</v>
      </c>
      <c r="N8">
        <v>7</v>
      </c>
      <c r="O8">
        <f t="shared" si="3"/>
        <v>3.5</v>
      </c>
      <c r="P8">
        <f t="shared" si="4"/>
        <v>735</v>
      </c>
      <c r="Q8">
        <f t="shared" si="5"/>
        <v>0</v>
      </c>
      <c r="R8">
        <v>0</v>
      </c>
    </row>
    <row r="9" spans="1:18" x14ac:dyDescent="0.3">
      <c r="A9" t="s">
        <v>1</v>
      </c>
      <c r="B9" s="1">
        <v>45080</v>
      </c>
      <c r="C9" t="s">
        <v>8</v>
      </c>
      <c r="D9" t="s">
        <v>14</v>
      </c>
      <c r="E9">
        <v>1</v>
      </c>
      <c r="F9">
        <v>16.7</v>
      </c>
      <c r="G9">
        <v>0</v>
      </c>
      <c r="H9">
        <f t="shared" si="0"/>
        <v>0.30000000000000071</v>
      </c>
      <c r="I9">
        <f t="shared" si="6"/>
        <v>0.30000000000000071</v>
      </c>
      <c r="J9">
        <f t="shared" si="7"/>
        <v>17</v>
      </c>
      <c r="K9">
        <f t="shared" si="1"/>
        <v>0.60000000000000142</v>
      </c>
      <c r="L9">
        <f t="shared" si="8"/>
        <v>4.3000000000000043</v>
      </c>
      <c r="M9">
        <f t="shared" si="2"/>
        <v>0.98360655737704927</v>
      </c>
      <c r="N9">
        <v>8</v>
      </c>
      <c r="O9">
        <f t="shared" si="3"/>
        <v>3.5</v>
      </c>
      <c r="P9">
        <f t="shared" si="4"/>
        <v>735</v>
      </c>
      <c r="Q9">
        <f t="shared" si="5"/>
        <v>0</v>
      </c>
      <c r="R9">
        <v>0</v>
      </c>
    </row>
    <row r="10" spans="1:18" x14ac:dyDescent="0.3">
      <c r="A10" t="s">
        <v>2</v>
      </c>
      <c r="B10" s="1">
        <v>45081</v>
      </c>
      <c r="C10" t="s">
        <v>8</v>
      </c>
      <c r="D10" t="s">
        <v>14</v>
      </c>
      <c r="E10">
        <v>1</v>
      </c>
      <c r="F10">
        <v>16.399999999999999</v>
      </c>
      <c r="G10">
        <v>0</v>
      </c>
      <c r="H10">
        <f t="shared" si="0"/>
        <v>0.60000000000000142</v>
      </c>
      <c r="I10">
        <f t="shared" si="6"/>
        <v>0.60000000000000142</v>
      </c>
      <c r="J10">
        <f t="shared" si="7"/>
        <v>17</v>
      </c>
      <c r="K10">
        <f t="shared" si="1"/>
        <v>0.60000000000000142</v>
      </c>
      <c r="L10">
        <f t="shared" si="8"/>
        <v>4.9000000000000057</v>
      </c>
      <c r="M10">
        <f t="shared" si="2"/>
        <v>0.98360655737704927</v>
      </c>
      <c r="N10">
        <v>9</v>
      </c>
      <c r="O10">
        <f t="shared" si="3"/>
        <v>3.5</v>
      </c>
      <c r="P10">
        <f t="shared" si="4"/>
        <v>735</v>
      </c>
      <c r="Q10">
        <f t="shared" si="5"/>
        <v>0</v>
      </c>
      <c r="R10">
        <v>0</v>
      </c>
    </row>
    <row r="11" spans="1:18" x14ac:dyDescent="0.3">
      <c r="A11" t="s">
        <v>3</v>
      </c>
      <c r="B11" s="1">
        <v>45082</v>
      </c>
      <c r="C11" t="s">
        <v>8</v>
      </c>
      <c r="D11" t="s">
        <v>14</v>
      </c>
      <c r="E11">
        <v>1</v>
      </c>
      <c r="F11">
        <v>16.399999999999999</v>
      </c>
      <c r="G11">
        <v>0.25</v>
      </c>
      <c r="H11">
        <f t="shared" si="0"/>
        <v>0.35000000000000142</v>
      </c>
      <c r="I11">
        <f t="shared" si="6"/>
        <v>0.60000000000000142</v>
      </c>
      <c r="J11">
        <f t="shared" si="7"/>
        <v>17</v>
      </c>
      <c r="K11">
        <f t="shared" si="1"/>
        <v>0.5</v>
      </c>
      <c r="L11">
        <f t="shared" si="8"/>
        <v>5.4000000000000057</v>
      </c>
      <c r="M11">
        <f t="shared" si="2"/>
        <v>0.98360655737704927</v>
      </c>
      <c r="N11">
        <v>10</v>
      </c>
      <c r="O11">
        <f t="shared" si="3"/>
        <v>3.75</v>
      </c>
      <c r="P11">
        <f t="shared" si="4"/>
        <v>787.5</v>
      </c>
      <c r="Q11">
        <f t="shared" si="5"/>
        <v>0</v>
      </c>
      <c r="R11">
        <v>0</v>
      </c>
    </row>
    <row r="12" spans="1:18" x14ac:dyDescent="0.3">
      <c r="A12" t="s">
        <v>4</v>
      </c>
      <c r="B12" s="1">
        <v>45083</v>
      </c>
      <c r="C12" t="s">
        <v>8</v>
      </c>
      <c r="D12" t="s">
        <v>14</v>
      </c>
      <c r="E12">
        <v>1</v>
      </c>
      <c r="F12">
        <v>16.5</v>
      </c>
      <c r="G12">
        <v>0.25</v>
      </c>
      <c r="H12">
        <f t="shared" si="0"/>
        <v>0.25</v>
      </c>
      <c r="I12">
        <f t="shared" si="6"/>
        <v>0.5</v>
      </c>
      <c r="J12">
        <f t="shared" si="7"/>
        <v>17</v>
      </c>
      <c r="K12">
        <f t="shared" si="1"/>
        <v>1.0999999999999996</v>
      </c>
      <c r="L12">
        <f t="shared" si="8"/>
        <v>6.5000000000000053</v>
      </c>
      <c r="M12">
        <f t="shared" si="2"/>
        <v>0.98360655737704927</v>
      </c>
      <c r="N12">
        <v>11</v>
      </c>
      <c r="O12">
        <f t="shared" si="3"/>
        <v>4</v>
      </c>
      <c r="P12">
        <f t="shared" si="4"/>
        <v>840</v>
      </c>
      <c r="Q12">
        <f t="shared" si="5"/>
        <v>0</v>
      </c>
      <c r="R12">
        <v>0</v>
      </c>
    </row>
    <row r="13" spans="1:18" x14ac:dyDescent="0.3">
      <c r="A13" t="s">
        <v>5</v>
      </c>
      <c r="B13" s="1">
        <v>45084</v>
      </c>
      <c r="C13" t="s">
        <v>8</v>
      </c>
      <c r="D13" t="s">
        <v>14</v>
      </c>
      <c r="E13">
        <v>1</v>
      </c>
      <c r="F13">
        <v>15.9</v>
      </c>
      <c r="G13">
        <v>0</v>
      </c>
      <c r="H13">
        <f t="shared" si="0"/>
        <v>1.0999999999999996</v>
      </c>
      <c r="I13">
        <f t="shared" si="6"/>
        <v>1.0999999999999996</v>
      </c>
      <c r="J13">
        <f t="shared" si="7"/>
        <v>17</v>
      </c>
      <c r="K13">
        <f t="shared" si="1"/>
        <v>0.89999999999999858</v>
      </c>
      <c r="L13">
        <f t="shared" si="8"/>
        <v>7.4000000000000039</v>
      </c>
      <c r="M13">
        <f t="shared" si="2"/>
        <v>0.98360655737704927</v>
      </c>
      <c r="N13">
        <v>12</v>
      </c>
      <c r="O13">
        <f t="shared" si="3"/>
        <v>4</v>
      </c>
      <c r="P13">
        <f t="shared" si="4"/>
        <v>840</v>
      </c>
      <c r="Q13">
        <f t="shared" si="5"/>
        <v>0</v>
      </c>
      <c r="R13">
        <v>0</v>
      </c>
    </row>
    <row r="14" spans="1:18" x14ac:dyDescent="0.3">
      <c r="A14" t="s">
        <v>6</v>
      </c>
      <c r="B14" s="1">
        <v>45085</v>
      </c>
      <c r="C14" t="s">
        <v>8</v>
      </c>
      <c r="D14" t="s">
        <v>14</v>
      </c>
      <c r="E14">
        <v>1</v>
      </c>
      <c r="F14">
        <v>16.100000000000001</v>
      </c>
      <c r="G14">
        <v>0.25</v>
      </c>
      <c r="H14">
        <f t="shared" si="0"/>
        <v>0.64999999999999858</v>
      </c>
      <c r="I14">
        <f t="shared" si="6"/>
        <v>0.89999999999999858</v>
      </c>
      <c r="J14">
        <f t="shared" si="7"/>
        <v>17</v>
      </c>
      <c r="K14">
        <f t="shared" si="1"/>
        <v>0.89999999999999858</v>
      </c>
      <c r="L14">
        <f t="shared" si="8"/>
        <v>8.3000000000000025</v>
      </c>
      <c r="M14">
        <f t="shared" si="2"/>
        <v>0.98360655737704927</v>
      </c>
      <c r="N14">
        <v>13</v>
      </c>
      <c r="O14">
        <f t="shared" si="3"/>
        <v>4.25</v>
      </c>
      <c r="P14">
        <f t="shared" si="4"/>
        <v>892.5</v>
      </c>
      <c r="Q14">
        <f t="shared" si="5"/>
        <v>0</v>
      </c>
      <c r="R14">
        <v>0</v>
      </c>
    </row>
    <row r="15" spans="1:18" x14ac:dyDescent="0.3">
      <c r="A15" t="s">
        <v>0</v>
      </c>
      <c r="B15" s="1">
        <v>45086</v>
      </c>
      <c r="C15" t="s">
        <v>8</v>
      </c>
      <c r="D15" t="s">
        <v>14</v>
      </c>
      <c r="E15">
        <v>1</v>
      </c>
      <c r="F15">
        <v>16.100000000000001</v>
      </c>
      <c r="G15">
        <v>0.25</v>
      </c>
      <c r="H15">
        <f t="shared" si="0"/>
        <v>0.64999999999999858</v>
      </c>
      <c r="I15">
        <f t="shared" si="6"/>
        <v>0.89999999999999858</v>
      </c>
      <c r="J15">
        <f t="shared" si="7"/>
        <v>17</v>
      </c>
      <c r="K15">
        <f t="shared" si="1"/>
        <v>1.4000000000000004</v>
      </c>
      <c r="L15">
        <f t="shared" si="8"/>
        <v>9.7000000000000028</v>
      </c>
      <c r="M15">
        <f t="shared" si="2"/>
        <v>0.98360655737704927</v>
      </c>
      <c r="N15">
        <v>14</v>
      </c>
      <c r="O15">
        <f t="shared" si="3"/>
        <v>4.5</v>
      </c>
      <c r="P15">
        <f t="shared" si="4"/>
        <v>945</v>
      </c>
      <c r="Q15">
        <f t="shared" si="5"/>
        <v>0</v>
      </c>
      <c r="R15">
        <v>0</v>
      </c>
    </row>
    <row r="16" spans="1:18" x14ac:dyDescent="0.3">
      <c r="A16" t="s">
        <v>1</v>
      </c>
      <c r="B16" s="1">
        <v>45087</v>
      </c>
      <c r="C16" t="s">
        <v>8</v>
      </c>
      <c r="D16" t="s">
        <v>14</v>
      </c>
      <c r="E16">
        <v>1</v>
      </c>
      <c r="F16">
        <v>15.6</v>
      </c>
      <c r="G16">
        <v>0</v>
      </c>
      <c r="H16">
        <f t="shared" si="0"/>
        <v>1.4000000000000004</v>
      </c>
      <c r="I16">
        <f t="shared" si="6"/>
        <v>1.4000000000000004</v>
      </c>
      <c r="J16">
        <f t="shared" si="7"/>
        <v>17</v>
      </c>
      <c r="K16">
        <f t="shared" si="1"/>
        <v>1.5999999999999996</v>
      </c>
      <c r="L16">
        <f t="shared" si="8"/>
        <v>11.300000000000002</v>
      </c>
      <c r="M16">
        <f t="shared" si="2"/>
        <v>0.98360655737704927</v>
      </c>
      <c r="N16">
        <v>15</v>
      </c>
      <c r="O16">
        <f t="shared" si="3"/>
        <v>4.5</v>
      </c>
      <c r="P16">
        <f t="shared" si="4"/>
        <v>945</v>
      </c>
      <c r="Q16">
        <f t="shared" si="5"/>
        <v>0</v>
      </c>
      <c r="R16">
        <v>0</v>
      </c>
    </row>
    <row r="17" spans="1:18" x14ac:dyDescent="0.3">
      <c r="A17" t="s">
        <v>2</v>
      </c>
      <c r="B17" s="1">
        <v>45088</v>
      </c>
      <c r="C17" t="s">
        <v>8</v>
      </c>
      <c r="D17" t="s">
        <v>14</v>
      </c>
      <c r="E17">
        <v>1</v>
      </c>
      <c r="F17">
        <v>15.4</v>
      </c>
      <c r="G17">
        <v>0</v>
      </c>
      <c r="H17">
        <f t="shared" si="0"/>
        <v>1.5999999999999996</v>
      </c>
      <c r="I17">
        <f>H17+G17</f>
        <v>1.5999999999999996</v>
      </c>
      <c r="J17">
        <f t="shared" si="7"/>
        <v>17</v>
      </c>
      <c r="K17">
        <f t="shared" si="1"/>
        <v>1.4000000000000004</v>
      </c>
      <c r="L17">
        <f t="shared" si="8"/>
        <v>12.700000000000003</v>
      </c>
      <c r="M17">
        <f t="shared" si="2"/>
        <v>0.98360655737704927</v>
      </c>
      <c r="N17">
        <v>16</v>
      </c>
      <c r="O17">
        <f t="shared" si="3"/>
        <v>4.5</v>
      </c>
      <c r="P17">
        <f t="shared" si="4"/>
        <v>945</v>
      </c>
      <c r="Q17">
        <f t="shared" si="5"/>
        <v>0</v>
      </c>
      <c r="R17">
        <v>0</v>
      </c>
    </row>
    <row r="18" spans="1:18" x14ac:dyDescent="0.3">
      <c r="A18" t="s">
        <v>3</v>
      </c>
      <c r="B18" s="1">
        <v>45089</v>
      </c>
      <c r="C18" t="s">
        <v>8</v>
      </c>
      <c r="D18" t="s">
        <v>14</v>
      </c>
      <c r="E18">
        <v>1</v>
      </c>
      <c r="F18">
        <v>15.6</v>
      </c>
      <c r="G18">
        <v>0.5</v>
      </c>
      <c r="H18">
        <f t="shared" si="0"/>
        <v>0.90000000000000036</v>
      </c>
      <c r="I18">
        <f t="shared" si="6"/>
        <v>1.4000000000000004</v>
      </c>
      <c r="J18">
        <f t="shared" si="7"/>
        <v>17</v>
      </c>
      <c r="K18">
        <f t="shared" si="1"/>
        <v>0.39999999999999858</v>
      </c>
      <c r="L18">
        <f t="shared" si="8"/>
        <v>13.100000000000001</v>
      </c>
      <c r="M18">
        <f t="shared" si="2"/>
        <v>0.98360655737704927</v>
      </c>
      <c r="N18">
        <v>17</v>
      </c>
      <c r="O18">
        <f t="shared" si="3"/>
        <v>5</v>
      </c>
      <c r="P18">
        <f t="shared" si="4"/>
        <v>1050</v>
      </c>
      <c r="Q18">
        <f t="shared" si="5"/>
        <v>0</v>
      </c>
      <c r="R18">
        <v>0</v>
      </c>
    </row>
    <row r="19" spans="1:18" x14ac:dyDescent="0.3">
      <c r="A19" t="s">
        <v>4</v>
      </c>
      <c r="B19" s="1">
        <v>45090</v>
      </c>
      <c r="C19" t="s">
        <v>8</v>
      </c>
      <c r="D19" t="s">
        <v>14</v>
      </c>
      <c r="E19">
        <v>1</v>
      </c>
      <c r="F19">
        <v>16.600000000000001</v>
      </c>
      <c r="G19">
        <v>0</v>
      </c>
      <c r="H19">
        <f t="shared" si="0"/>
        <v>0.39999999999999858</v>
      </c>
      <c r="I19">
        <f t="shared" si="6"/>
        <v>0.39999999999999858</v>
      </c>
      <c r="J19">
        <f t="shared" si="7"/>
        <v>17</v>
      </c>
      <c r="K19">
        <f t="shared" si="1"/>
        <v>1</v>
      </c>
      <c r="L19">
        <f t="shared" si="8"/>
        <v>14.100000000000001</v>
      </c>
      <c r="M19">
        <f t="shared" si="2"/>
        <v>0.98360655737704927</v>
      </c>
      <c r="N19">
        <v>18</v>
      </c>
      <c r="O19">
        <f t="shared" si="3"/>
        <v>5</v>
      </c>
      <c r="P19">
        <f t="shared" si="4"/>
        <v>1050</v>
      </c>
      <c r="Q19">
        <f t="shared" si="5"/>
        <v>0</v>
      </c>
      <c r="R19">
        <v>0</v>
      </c>
    </row>
    <row r="20" spans="1:18" x14ac:dyDescent="0.3">
      <c r="A20" t="s">
        <v>5</v>
      </c>
      <c r="B20" s="1">
        <v>45091</v>
      </c>
      <c r="C20" t="s">
        <v>8</v>
      </c>
      <c r="D20" t="s">
        <v>14</v>
      </c>
      <c r="E20">
        <v>1</v>
      </c>
      <c r="F20">
        <v>16</v>
      </c>
      <c r="G20">
        <v>0</v>
      </c>
      <c r="H20">
        <f t="shared" si="0"/>
        <v>1</v>
      </c>
      <c r="I20">
        <f t="shared" si="6"/>
        <v>1</v>
      </c>
      <c r="J20">
        <f t="shared" si="7"/>
        <v>17</v>
      </c>
      <c r="K20">
        <f t="shared" si="1"/>
        <v>1.5999999999999996</v>
      </c>
      <c r="L20">
        <f t="shared" si="8"/>
        <v>15.700000000000001</v>
      </c>
      <c r="M20">
        <f t="shared" si="2"/>
        <v>0.98360655737704927</v>
      </c>
      <c r="N20">
        <v>19</v>
      </c>
      <c r="O20">
        <f t="shared" si="3"/>
        <v>5</v>
      </c>
      <c r="P20">
        <f t="shared" si="4"/>
        <v>1050</v>
      </c>
      <c r="Q20">
        <f t="shared" si="5"/>
        <v>0</v>
      </c>
      <c r="R20">
        <v>0</v>
      </c>
    </row>
    <row r="21" spans="1:18" x14ac:dyDescent="0.3">
      <c r="A21" t="s">
        <v>6</v>
      </c>
      <c r="B21" s="1">
        <v>45092</v>
      </c>
      <c r="C21" t="s">
        <v>8</v>
      </c>
      <c r="D21" t="s">
        <v>14</v>
      </c>
      <c r="E21">
        <v>1</v>
      </c>
      <c r="F21">
        <v>15.4</v>
      </c>
      <c r="G21">
        <v>0.5</v>
      </c>
      <c r="H21">
        <f t="shared" si="0"/>
        <v>1.0999999999999996</v>
      </c>
      <c r="I21">
        <f t="shared" si="6"/>
        <v>1.5999999999999996</v>
      </c>
      <c r="J21">
        <f t="shared" si="7"/>
        <v>17</v>
      </c>
      <c r="K21">
        <f t="shared" si="1"/>
        <v>1.5999999999999996</v>
      </c>
      <c r="L21">
        <f t="shared" si="8"/>
        <v>17.3</v>
      </c>
      <c r="M21">
        <f t="shared" si="2"/>
        <v>0.98360655737704927</v>
      </c>
      <c r="N21">
        <v>20</v>
      </c>
      <c r="O21">
        <f t="shared" si="3"/>
        <v>5.5</v>
      </c>
      <c r="P21">
        <f t="shared" si="4"/>
        <v>1155</v>
      </c>
      <c r="Q21">
        <f t="shared" si="5"/>
        <v>0</v>
      </c>
      <c r="R21">
        <v>0</v>
      </c>
    </row>
    <row r="22" spans="1:18" x14ac:dyDescent="0.3">
      <c r="A22" t="s">
        <v>0</v>
      </c>
      <c r="B22" s="1">
        <v>45093</v>
      </c>
      <c r="C22" t="s">
        <v>8</v>
      </c>
      <c r="D22" t="s">
        <v>14</v>
      </c>
      <c r="E22">
        <v>1</v>
      </c>
      <c r="F22">
        <v>15.4</v>
      </c>
      <c r="G22">
        <v>0</v>
      </c>
      <c r="H22">
        <f t="shared" si="0"/>
        <v>1.5999999999999996</v>
      </c>
      <c r="I22">
        <f t="shared" si="6"/>
        <v>1.5999999999999996</v>
      </c>
      <c r="J22">
        <f t="shared" si="7"/>
        <v>17</v>
      </c>
      <c r="K22">
        <f t="shared" si="1"/>
        <v>1.5</v>
      </c>
      <c r="L22">
        <f t="shared" si="8"/>
        <v>18.8</v>
      </c>
      <c r="M22">
        <f t="shared" si="2"/>
        <v>0.98360655737704927</v>
      </c>
      <c r="N22">
        <v>21</v>
      </c>
      <c r="O22">
        <f t="shared" si="3"/>
        <v>5.5</v>
      </c>
      <c r="P22">
        <f t="shared" si="4"/>
        <v>1155</v>
      </c>
      <c r="Q22">
        <f t="shared" si="5"/>
        <v>0</v>
      </c>
      <c r="R22">
        <v>0</v>
      </c>
    </row>
    <row r="23" spans="1:18" x14ac:dyDescent="0.3">
      <c r="A23" t="s">
        <v>1</v>
      </c>
      <c r="B23" s="1">
        <v>45094</v>
      </c>
      <c r="C23" t="s">
        <v>8</v>
      </c>
      <c r="D23" t="s">
        <v>14</v>
      </c>
      <c r="E23">
        <v>1</v>
      </c>
      <c r="F23">
        <v>15.5</v>
      </c>
      <c r="G23">
        <v>0</v>
      </c>
      <c r="H23">
        <f t="shared" si="0"/>
        <v>1.5</v>
      </c>
      <c r="I23">
        <f t="shared" si="6"/>
        <v>1.5</v>
      </c>
      <c r="J23">
        <f t="shared" si="7"/>
        <v>17</v>
      </c>
      <c r="K23">
        <f t="shared" si="1"/>
        <v>1.0999999999999996</v>
      </c>
      <c r="L23">
        <f t="shared" si="8"/>
        <v>19.899999999999999</v>
      </c>
      <c r="M23">
        <f t="shared" si="2"/>
        <v>0.98360655737704927</v>
      </c>
      <c r="N23">
        <v>22</v>
      </c>
      <c r="O23">
        <f t="shared" si="3"/>
        <v>5.5</v>
      </c>
      <c r="P23">
        <f t="shared" si="4"/>
        <v>1155</v>
      </c>
      <c r="Q23">
        <f t="shared" si="5"/>
        <v>0</v>
      </c>
      <c r="R23">
        <v>0</v>
      </c>
    </row>
    <row r="24" spans="1:18" x14ac:dyDescent="0.3">
      <c r="A24" t="s">
        <v>2</v>
      </c>
      <c r="B24" s="1">
        <v>45095</v>
      </c>
      <c r="C24" t="s">
        <v>8</v>
      </c>
      <c r="D24" t="s">
        <v>14</v>
      </c>
      <c r="E24">
        <v>1</v>
      </c>
      <c r="F24">
        <v>15.9</v>
      </c>
      <c r="G24">
        <v>0</v>
      </c>
      <c r="H24">
        <f t="shared" si="0"/>
        <v>1.0999999999999996</v>
      </c>
      <c r="I24">
        <f t="shared" si="6"/>
        <v>1.0999999999999996</v>
      </c>
      <c r="J24">
        <f t="shared" si="7"/>
        <v>17</v>
      </c>
      <c r="K24">
        <f t="shared" si="1"/>
        <v>1.5</v>
      </c>
      <c r="L24">
        <f t="shared" si="8"/>
        <v>21.4</v>
      </c>
      <c r="M24">
        <f t="shared" si="2"/>
        <v>0.98360655737704927</v>
      </c>
      <c r="N24">
        <v>23</v>
      </c>
      <c r="O24">
        <f t="shared" si="3"/>
        <v>5.5</v>
      </c>
      <c r="P24">
        <f t="shared" si="4"/>
        <v>1155</v>
      </c>
      <c r="Q24">
        <f t="shared" si="5"/>
        <v>0</v>
      </c>
      <c r="R24">
        <v>0</v>
      </c>
    </row>
    <row r="25" spans="1:18" x14ac:dyDescent="0.3">
      <c r="A25" t="s">
        <v>3</v>
      </c>
      <c r="B25" s="1">
        <v>45096</v>
      </c>
      <c r="C25" t="s">
        <v>8</v>
      </c>
      <c r="D25" t="s">
        <v>14</v>
      </c>
      <c r="E25">
        <v>1</v>
      </c>
      <c r="F25">
        <v>15.5</v>
      </c>
      <c r="G25">
        <v>0.5</v>
      </c>
      <c r="H25">
        <f t="shared" si="0"/>
        <v>1</v>
      </c>
      <c r="I25">
        <f t="shared" si="6"/>
        <v>1.5</v>
      </c>
      <c r="J25">
        <f t="shared" si="7"/>
        <v>17</v>
      </c>
      <c r="K25">
        <f t="shared" si="1"/>
        <v>1.6999999999999993</v>
      </c>
      <c r="L25">
        <f t="shared" si="8"/>
        <v>23.099999999999998</v>
      </c>
      <c r="M25">
        <f t="shared" si="2"/>
        <v>0.98360655737704927</v>
      </c>
      <c r="N25">
        <v>24</v>
      </c>
      <c r="O25">
        <f t="shared" si="3"/>
        <v>6</v>
      </c>
      <c r="P25">
        <f t="shared" si="4"/>
        <v>1260</v>
      </c>
      <c r="Q25">
        <f t="shared" si="5"/>
        <v>0</v>
      </c>
      <c r="R25">
        <v>0</v>
      </c>
    </row>
    <row r="26" spans="1:18" x14ac:dyDescent="0.3">
      <c r="A26" t="s">
        <v>4</v>
      </c>
      <c r="B26" s="1">
        <v>45097</v>
      </c>
      <c r="C26" t="s">
        <v>8</v>
      </c>
      <c r="D26" t="s">
        <v>14</v>
      </c>
      <c r="E26">
        <v>1</v>
      </c>
      <c r="F26">
        <v>15.3</v>
      </c>
      <c r="G26">
        <v>0</v>
      </c>
      <c r="H26">
        <f t="shared" si="0"/>
        <v>1.6999999999999993</v>
      </c>
      <c r="I26">
        <f t="shared" si="6"/>
        <v>1.6999999999999993</v>
      </c>
      <c r="J26">
        <f t="shared" si="7"/>
        <v>17</v>
      </c>
      <c r="K26">
        <f t="shared" si="1"/>
        <v>1.5</v>
      </c>
      <c r="L26">
        <f t="shared" si="8"/>
        <v>24.599999999999998</v>
      </c>
      <c r="M26">
        <f t="shared" si="2"/>
        <v>0.98360655737704927</v>
      </c>
      <c r="N26">
        <v>25</v>
      </c>
      <c r="O26">
        <f t="shared" si="3"/>
        <v>6</v>
      </c>
      <c r="P26">
        <f t="shared" si="4"/>
        <v>1260</v>
      </c>
      <c r="Q26">
        <f t="shared" si="5"/>
        <v>0</v>
      </c>
      <c r="R26">
        <v>0</v>
      </c>
    </row>
    <row r="27" spans="1:18" x14ac:dyDescent="0.3">
      <c r="A27" t="s">
        <v>5</v>
      </c>
      <c r="B27" s="1">
        <v>45098</v>
      </c>
      <c r="C27" t="s">
        <v>8</v>
      </c>
      <c r="D27" t="s">
        <v>14</v>
      </c>
      <c r="E27">
        <v>1</v>
      </c>
      <c r="F27">
        <v>15.5</v>
      </c>
      <c r="G27">
        <v>0</v>
      </c>
      <c r="H27">
        <f t="shared" si="0"/>
        <v>1.5</v>
      </c>
      <c r="I27">
        <f t="shared" si="6"/>
        <v>1.5</v>
      </c>
      <c r="J27">
        <f t="shared" si="7"/>
        <v>17</v>
      </c>
      <c r="K27">
        <f t="shared" si="1"/>
        <v>1.4000000000000004</v>
      </c>
      <c r="L27">
        <f t="shared" si="8"/>
        <v>26</v>
      </c>
      <c r="M27">
        <f t="shared" si="2"/>
        <v>0.98360655737704927</v>
      </c>
      <c r="N27">
        <v>26</v>
      </c>
      <c r="O27">
        <f t="shared" si="3"/>
        <v>6</v>
      </c>
      <c r="P27">
        <f t="shared" si="4"/>
        <v>1260</v>
      </c>
      <c r="Q27">
        <f t="shared" si="5"/>
        <v>0</v>
      </c>
      <c r="R27">
        <v>0</v>
      </c>
    </row>
    <row r="28" spans="1:18" x14ac:dyDescent="0.3">
      <c r="A28" t="s">
        <v>6</v>
      </c>
      <c r="B28" s="1">
        <v>45099</v>
      </c>
      <c r="C28" t="s">
        <v>8</v>
      </c>
      <c r="D28" t="s">
        <v>14</v>
      </c>
      <c r="E28">
        <v>1</v>
      </c>
      <c r="F28">
        <v>15.6</v>
      </c>
      <c r="G28">
        <v>0.5</v>
      </c>
      <c r="H28">
        <f t="shared" si="0"/>
        <v>0.90000000000000036</v>
      </c>
      <c r="I28">
        <f t="shared" si="6"/>
        <v>1.4000000000000004</v>
      </c>
      <c r="J28">
        <f t="shared" si="7"/>
        <v>17</v>
      </c>
      <c r="K28">
        <f>J28-F29</f>
        <v>1</v>
      </c>
      <c r="L28">
        <f t="shared" si="8"/>
        <v>27</v>
      </c>
      <c r="M28">
        <f t="shared" si="2"/>
        <v>0.98360655737704927</v>
      </c>
      <c r="N28">
        <v>27</v>
      </c>
      <c r="O28">
        <f t="shared" si="3"/>
        <v>6.5</v>
      </c>
      <c r="P28">
        <f t="shared" si="4"/>
        <v>1365</v>
      </c>
      <c r="Q28">
        <f t="shared" si="5"/>
        <v>0</v>
      </c>
      <c r="R28">
        <v>0</v>
      </c>
    </row>
    <row r="29" spans="1:18" x14ac:dyDescent="0.3">
      <c r="A29" t="s">
        <v>0</v>
      </c>
      <c r="B29" s="1">
        <v>45100</v>
      </c>
      <c r="C29" t="s">
        <v>8</v>
      </c>
      <c r="D29" t="s">
        <v>14</v>
      </c>
      <c r="E29">
        <v>1</v>
      </c>
      <c r="F29">
        <v>16</v>
      </c>
      <c r="G29">
        <v>0</v>
      </c>
      <c r="H29">
        <f t="shared" si="0"/>
        <v>1</v>
      </c>
      <c r="I29">
        <f>H29+G29</f>
        <v>1</v>
      </c>
      <c r="J29">
        <f t="shared" si="7"/>
        <v>17</v>
      </c>
      <c r="K29">
        <f t="shared" si="1"/>
        <v>0.89999999999999858</v>
      </c>
      <c r="L29">
        <f t="shared" si="8"/>
        <v>27.9</v>
      </c>
      <c r="M29">
        <f t="shared" si="2"/>
        <v>0.98360655737704927</v>
      </c>
      <c r="N29">
        <v>28</v>
      </c>
      <c r="O29">
        <f t="shared" si="3"/>
        <v>6.5</v>
      </c>
      <c r="P29">
        <f t="shared" si="4"/>
        <v>1365</v>
      </c>
      <c r="Q29">
        <f t="shared" si="5"/>
        <v>0</v>
      </c>
      <c r="R29">
        <v>0</v>
      </c>
    </row>
    <row r="30" spans="1:18" x14ac:dyDescent="0.3">
      <c r="A30" t="s">
        <v>1</v>
      </c>
      <c r="B30" s="1">
        <v>45101</v>
      </c>
      <c r="C30" t="s">
        <v>8</v>
      </c>
      <c r="D30" t="s">
        <v>14</v>
      </c>
      <c r="E30">
        <v>1</v>
      </c>
      <c r="F30">
        <v>16.100000000000001</v>
      </c>
      <c r="G30">
        <v>0</v>
      </c>
      <c r="H30">
        <f t="shared" si="0"/>
        <v>0.89999999999999858</v>
      </c>
      <c r="I30">
        <f t="shared" si="6"/>
        <v>0.89999999999999858</v>
      </c>
      <c r="J30">
        <f t="shared" si="7"/>
        <v>17</v>
      </c>
      <c r="K30">
        <f t="shared" si="1"/>
        <v>1</v>
      </c>
      <c r="L30">
        <f t="shared" si="8"/>
        <v>28.9</v>
      </c>
      <c r="M30">
        <f t="shared" si="2"/>
        <v>0.98360655737704927</v>
      </c>
      <c r="N30">
        <v>29</v>
      </c>
      <c r="O30">
        <f t="shared" si="3"/>
        <v>6.5</v>
      </c>
      <c r="P30">
        <f t="shared" si="4"/>
        <v>1365</v>
      </c>
      <c r="Q30">
        <f t="shared" si="5"/>
        <v>0</v>
      </c>
      <c r="R30">
        <v>0</v>
      </c>
    </row>
    <row r="31" spans="1:18" x14ac:dyDescent="0.3">
      <c r="A31" t="s">
        <v>2</v>
      </c>
      <c r="B31" s="1">
        <v>45102</v>
      </c>
      <c r="C31" t="s">
        <v>8</v>
      </c>
      <c r="D31" t="s">
        <v>14</v>
      </c>
      <c r="E31">
        <v>1</v>
      </c>
      <c r="F31">
        <v>16</v>
      </c>
      <c r="G31">
        <v>0</v>
      </c>
      <c r="H31">
        <f t="shared" si="0"/>
        <v>1</v>
      </c>
      <c r="I31">
        <f t="shared" si="6"/>
        <v>1</v>
      </c>
      <c r="J31">
        <f t="shared" si="7"/>
        <v>17</v>
      </c>
      <c r="K31">
        <f t="shared" si="1"/>
        <v>1.4000000000000004</v>
      </c>
      <c r="L31">
        <f t="shared" si="8"/>
        <v>30.299999999999997</v>
      </c>
      <c r="M31">
        <f t="shared" si="2"/>
        <v>0.98360655737704927</v>
      </c>
      <c r="N31">
        <v>30</v>
      </c>
      <c r="O31">
        <f t="shared" si="3"/>
        <v>6.5</v>
      </c>
      <c r="P31">
        <f t="shared" si="4"/>
        <v>1365</v>
      </c>
      <c r="Q31">
        <f t="shared" si="5"/>
        <v>0</v>
      </c>
      <c r="R31">
        <v>0</v>
      </c>
    </row>
    <row r="32" spans="1:18" x14ac:dyDescent="0.3">
      <c r="A32" t="s">
        <v>3</v>
      </c>
      <c r="B32" s="1">
        <v>45103</v>
      </c>
      <c r="C32" t="s">
        <v>8</v>
      </c>
      <c r="D32" t="s">
        <v>14</v>
      </c>
      <c r="E32">
        <v>1</v>
      </c>
      <c r="F32">
        <v>15.6</v>
      </c>
      <c r="G32">
        <v>0.5</v>
      </c>
      <c r="H32">
        <f t="shared" si="0"/>
        <v>0.90000000000000036</v>
      </c>
      <c r="I32">
        <f t="shared" si="6"/>
        <v>1.4000000000000004</v>
      </c>
      <c r="J32">
        <f t="shared" si="7"/>
        <v>17</v>
      </c>
      <c r="K32">
        <f t="shared" si="1"/>
        <v>0.89999999999999858</v>
      </c>
      <c r="L32">
        <f t="shared" si="8"/>
        <v>31.199999999999996</v>
      </c>
      <c r="M32">
        <f t="shared" si="2"/>
        <v>0.98360655737704927</v>
      </c>
      <c r="N32">
        <v>31</v>
      </c>
      <c r="O32">
        <f t="shared" si="3"/>
        <v>7</v>
      </c>
      <c r="P32">
        <f t="shared" si="4"/>
        <v>1470</v>
      </c>
      <c r="Q32">
        <f t="shared" si="5"/>
        <v>0</v>
      </c>
      <c r="R32">
        <v>0</v>
      </c>
    </row>
    <row r="33" spans="1:18" x14ac:dyDescent="0.3">
      <c r="A33" t="s">
        <v>4</v>
      </c>
      <c r="B33" s="1">
        <v>45104</v>
      </c>
      <c r="C33" t="s">
        <v>8</v>
      </c>
      <c r="D33" t="s">
        <v>14</v>
      </c>
      <c r="E33">
        <v>1</v>
      </c>
      <c r="F33">
        <v>16.100000000000001</v>
      </c>
      <c r="G33">
        <v>0</v>
      </c>
      <c r="H33">
        <f t="shared" si="0"/>
        <v>0.89999999999999858</v>
      </c>
      <c r="I33">
        <f t="shared" si="6"/>
        <v>0.89999999999999858</v>
      </c>
      <c r="J33">
        <f>I33+F33</f>
        <v>17</v>
      </c>
      <c r="K33">
        <f t="shared" si="1"/>
        <v>1.3000000000000007</v>
      </c>
      <c r="L33">
        <f t="shared" si="8"/>
        <v>32.5</v>
      </c>
      <c r="M33">
        <f t="shared" si="2"/>
        <v>0.98360655737704927</v>
      </c>
      <c r="N33">
        <v>32</v>
      </c>
      <c r="O33">
        <f t="shared" si="3"/>
        <v>7</v>
      </c>
      <c r="P33">
        <f t="shared" si="4"/>
        <v>1470</v>
      </c>
      <c r="Q33">
        <f t="shared" si="5"/>
        <v>0</v>
      </c>
      <c r="R33">
        <v>0</v>
      </c>
    </row>
    <row r="34" spans="1:18" x14ac:dyDescent="0.3">
      <c r="A34" t="s">
        <v>5</v>
      </c>
      <c r="B34" s="1">
        <v>45105</v>
      </c>
      <c r="C34" t="s">
        <v>8</v>
      </c>
      <c r="D34" t="s">
        <v>14</v>
      </c>
      <c r="E34">
        <v>1</v>
      </c>
      <c r="F34">
        <v>15.7</v>
      </c>
      <c r="G34">
        <v>0</v>
      </c>
      <c r="H34">
        <f t="shared" si="0"/>
        <v>1.3000000000000007</v>
      </c>
      <c r="I34">
        <f t="shared" si="6"/>
        <v>1.3000000000000007</v>
      </c>
      <c r="J34">
        <f t="shared" si="7"/>
        <v>17</v>
      </c>
      <c r="K34">
        <f t="shared" si="1"/>
        <v>1.4000000000000004</v>
      </c>
      <c r="L34">
        <f t="shared" si="8"/>
        <v>33.9</v>
      </c>
      <c r="M34">
        <f t="shared" si="2"/>
        <v>0.98360655737704927</v>
      </c>
      <c r="N34">
        <v>33</v>
      </c>
      <c r="O34">
        <f t="shared" si="3"/>
        <v>7</v>
      </c>
      <c r="P34">
        <f t="shared" si="4"/>
        <v>1470</v>
      </c>
      <c r="Q34">
        <f t="shared" si="5"/>
        <v>0</v>
      </c>
      <c r="R34">
        <v>0</v>
      </c>
    </row>
    <row r="35" spans="1:18" x14ac:dyDescent="0.3">
      <c r="A35" t="s">
        <v>6</v>
      </c>
      <c r="B35" s="1">
        <v>45106</v>
      </c>
      <c r="C35" t="s">
        <v>8</v>
      </c>
      <c r="D35" t="s">
        <v>14</v>
      </c>
      <c r="E35">
        <v>1</v>
      </c>
      <c r="F35">
        <v>15.6</v>
      </c>
      <c r="G35">
        <v>0.5</v>
      </c>
      <c r="H35">
        <f t="shared" si="0"/>
        <v>0.90000000000000036</v>
      </c>
      <c r="I35">
        <f t="shared" si="6"/>
        <v>1.4000000000000004</v>
      </c>
      <c r="J35">
        <f t="shared" si="7"/>
        <v>17</v>
      </c>
      <c r="K35">
        <f t="shared" si="1"/>
        <v>1.4000000000000004</v>
      </c>
      <c r="L35">
        <f t="shared" si="8"/>
        <v>35.299999999999997</v>
      </c>
      <c r="M35">
        <f t="shared" si="2"/>
        <v>0.98360655737704927</v>
      </c>
      <c r="N35">
        <v>34</v>
      </c>
      <c r="O35">
        <f t="shared" si="3"/>
        <v>7.5</v>
      </c>
      <c r="P35">
        <f t="shared" si="4"/>
        <v>1575</v>
      </c>
      <c r="Q35">
        <f t="shared" si="5"/>
        <v>0</v>
      </c>
      <c r="R35">
        <v>0</v>
      </c>
    </row>
    <row r="36" spans="1:18" x14ac:dyDescent="0.3">
      <c r="A36" t="s">
        <v>0</v>
      </c>
      <c r="B36" s="1">
        <v>45107</v>
      </c>
      <c r="C36" t="s">
        <v>8</v>
      </c>
      <c r="D36" t="s">
        <v>14</v>
      </c>
      <c r="E36">
        <v>1</v>
      </c>
      <c r="F36">
        <v>15.6</v>
      </c>
      <c r="G36">
        <v>0</v>
      </c>
      <c r="H36">
        <f t="shared" si="0"/>
        <v>1.4000000000000004</v>
      </c>
      <c r="I36">
        <f t="shared" si="6"/>
        <v>1.4000000000000004</v>
      </c>
      <c r="J36">
        <f t="shared" si="7"/>
        <v>17</v>
      </c>
      <c r="K36">
        <f t="shared" si="1"/>
        <v>0.60000000000000142</v>
      </c>
      <c r="L36">
        <f t="shared" si="8"/>
        <v>35.9</v>
      </c>
      <c r="M36">
        <f t="shared" si="2"/>
        <v>0.98360655737704927</v>
      </c>
      <c r="N36">
        <v>35</v>
      </c>
      <c r="O36">
        <f t="shared" si="3"/>
        <v>7.5</v>
      </c>
      <c r="P36">
        <f t="shared" si="4"/>
        <v>1575</v>
      </c>
      <c r="Q36">
        <f t="shared" si="5"/>
        <v>0</v>
      </c>
      <c r="R36">
        <v>0</v>
      </c>
    </row>
    <row r="37" spans="1:18" x14ac:dyDescent="0.3">
      <c r="A37" t="s">
        <v>1</v>
      </c>
      <c r="B37" s="1">
        <v>45108</v>
      </c>
      <c r="C37" t="s">
        <v>8</v>
      </c>
      <c r="D37" t="s">
        <v>14</v>
      </c>
      <c r="E37">
        <v>1</v>
      </c>
      <c r="F37">
        <v>16.399999999999999</v>
      </c>
      <c r="G37">
        <v>0</v>
      </c>
      <c r="H37">
        <f t="shared" si="0"/>
        <v>0.60000000000000142</v>
      </c>
      <c r="I37">
        <f t="shared" si="6"/>
        <v>0.60000000000000142</v>
      </c>
      <c r="J37">
        <f t="shared" si="7"/>
        <v>17</v>
      </c>
      <c r="K37">
        <f t="shared" si="1"/>
        <v>0.60000000000000142</v>
      </c>
      <c r="L37">
        <f t="shared" si="8"/>
        <v>36.5</v>
      </c>
      <c r="M37">
        <f t="shared" si="2"/>
        <v>0.98360655737704927</v>
      </c>
      <c r="N37">
        <v>36</v>
      </c>
      <c r="O37">
        <f t="shared" si="3"/>
        <v>7.5</v>
      </c>
      <c r="P37">
        <f t="shared" si="4"/>
        <v>1575</v>
      </c>
      <c r="Q37">
        <f t="shared" si="5"/>
        <v>0</v>
      </c>
      <c r="R37">
        <v>0</v>
      </c>
    </row>
    <row r="38" spans="1:18" x14ac:dyDescent="0.3">
      <c r="A38" t="s">
        <v>2</v>
      </c>
      <c r="B38" s="1">
        <v>45109</v>
      </c>
      <c r="C38" t="s">
        <v>8</v>
      </c>
      <c r="D38" t="s">
        <v>14</v>
      </c>
      <c r="E38">
        <v>1</v>
      </c>
      <c r="F38">
        <v>16.399999999999999</v>
      </c>
      <c r="G38">
        <v>0</v>
      </c>
      <c r="H38">
        <f t="shared" si="0"/>
        <v>0.60000000000000142</v>
      </c>
      <c r="I38">
        <f t="shared" si="6"/>
        <v>0.60000000000000142</v>
      </c>
      <c r="J38">
        <f t="shared" si="7"/>
        <v>17</v>
      </c>
      <c r="K38">
        <f t="shared" si="1"/>
        <v>1</v>
      </c>
      <c r="L38">
        <f t="shared" si="8"/>
        <v>37.5</v>
      </c>
      <c r="M38">
        <f t="shared" si="2"/>
        <v>0.98360655737704927</v>
      </c>
      <c r="N38">
        <v>37</v>
      </c>
      <c r="O38">
        <f t="shared" si="3"/>
        <v>7.5</v>
      </c>
      <c r="P38">
        <f t="shared" si="4"/>
        <v>1575</v>
      </c>
      <c r="Q38">
        <f t="shared" si="5"/>
        <v>0</v>
      </c>
      <c r="R38">
        <v>0</v>
      </c>
    </row>
    <row r="39" spans="1:18" x14ac:dyDescent="0.3">
      <c r="A39" t="s">
        <v>3</v>
      </c>
      <c r="B39" s="1">
        <v>45110</v>
      </c>
      <c r="C39" t="s">
        <v>8</v>
      </c>
      <c r="D39" t="s">
        <v>14</v>
      </c>
      <c r="E39">
        <v>1</v>
      </c>
      <c r="F39">
        <v>16</v>
      </c>
      <c r="G39">
        <v>0</v>
      </c>
      <c r="H39">
        <f t="shared" si="0"/>
        <v>1</v>
      </c>
      <c r="I39">
        <f t="shared" si="6"/>
        <v>1</v>
      </c>
      <c r="J39">
        <f t="shared" si="7"/>
        <v>17</v>
      </c>
      <c r="K39">
        <f t="shared" si="1"/>
        <v>1</v>
      </c>
      <c r="L39">
        <f t="shared" si="8"/>
        <v>38.5</v>
      </c>
      <c r="M39">
        <f t="shared" si="2"/>
        <v>0.98360655737704927</v>
      </c>
      <c r="N39">
        <v>38</v>
      </c>
      <c r="O39">
        <f t="shared" si="3"/>
        <v>7.5</v>
      </c>
      <c r="P39">
        <f t="shared" si="4"/>
        <v>1575</v>
      </c>
      <c r="Q39">
        <f t="shared" si="5"/>
        <v>0</v>
      </c>
      <c r="R39">
        <v>0</v>
      </c>
    </row>
    <row r="40" spans="1:18" s="2" customFormat="1" x14ac:dyDescent="0.3">
      <c r="A40" s="2" t="s">
        <v>4</v>
      </c>
      <c r="B40" s="3">
        <v>45111</v>
      </c>
      <c r="C40" s="2" t="s">
        <v>8</v>
      </c>
      <c r="D40" s="2" t="s">
        <v>14</v>
      </c>
      <c r="E40" s="2">
        <v>1</v>
      </c>
      <c r="F40" s="2">
        <v>16</v>
      </c>
      <c r="G40" s="2">
        <v>0</v>
      </c>
      <c r="H40" s="2">
        <f t="shared" si="0"/>
        <v>1</v>
      </c>
      <c r="I40" s="2">
        <f t="shared" si="6"/>
        <v>1</v>
      </c>
      <c r="J40" s="2">
        <f t="shared" si="7"/>
        <v>17</v>
      </c>
      <c r="P40"/>
      <c r="Q40">
        <f t="shared" si="5"/>
        <v>0</v>
      </c>
      <c r="R40">
        <v>0</v>
      </c>
    </row>
    <row r="41" spans="1:18" x14ac:dyDescent="0.3">
      <c r="A41" t="s">
        <v>1</v>
      </c>
      <c r="B41" s="1">
        <v>45073</v>
      </c>
      <c r="C41" t="s">
        <v>8</v>
      </c>
      <c r="D41" t="s">
        <v>14</v>
      </c>
      <c r="E41">
        <v>2</v>
      </c>
      <c r="F41">
        <v>17</v>
      </c>
      <c r="G41">
        <v>0</v>
      </c>
      <c r="H41">
        <f t="shared" si="0"/>
        <v>0</v>
      </c>
      <c r="I41">
        <f>H41+G41</f>
        <v>0</v>
      </c>
      <c r="J41">
        <f>I41+F41</f>
        <v>17</v>
      </c>
      <c r="K41">
        <f>J41-F42</f>
        <v>0.5</v>
      </c>
      <c r="M41">
        <f t="shared" si="2"/>
        <v>0.98360655737704927</v>
      </c>
      <c r="N41">
        <v>1</v>
      </c>
      <c r="O41">
        <v>2.5</v>
      </c>
      <c r="P41">
        <f>O41*210</f>
        <v>525</v>
      </c>
      <c r="Q41">
        <f t="shared" si="5"/>
        <v>0</v>
      </c>
      <c r="R41">
        <v>0</v>
      </c>
    </row>
    <row r="42" spans="1:18" x14ac:dyDescent="0.3">
      <c r="A42" t="s">
        <v>2</v>
      </c>
      <c r="B42" s="1">
        <v>45074</v>
      </c>
      <c r="C42" t="s">
        <v>8</v>
      </c>
      <c r="D42" t="s">
        <v>14</v>
      </c>
      <c r="E42">
        <v>2</v>
      </c>
      <c r="F42">
        <v>16.5</v>
      </c>
      <c r="G42">
        <v>0</v>
      </c>
      <c r="H42">
        <f t="shared" si="0"/>
        <v>0.5</v>
      </c>
      <c r="I42">
        <f>H42+G42</f>
        <v>0.5</v>
      </c>
      <c r="J42">
        <f>I42+F42</f>
        <v>17</v>
      </c>
      <c r="K42">
        <f t="shared" ref="K42:K78" si="9">J42-F43</f>
        <v>0.69999999999999929</v>
      </c>
      <c r="L42">
        <f>K41+K42</f>
        <v>1.1999999999999993</v>
      </c>
      <c r="M42">
        <f t="shared" si="2"/>
        <v>0.98360655737704927</v>
      </c>
      <c r="N42">
        <v>2</v>
      </c>
      <c r="O42">
        <f t="shared" ref="O42:O78" si="10">O41+G42</f>
        <v>2.5</v>
      </c>
      <c r="P42">
        <f t="shared" ref="P42:P78" si="11">O42*210</f>
        <v>525</v>
      </c>
      <c r="Q42">
        <f t="shared" si="5"/>
        <v>0</v>
      </c>
      <c r="R42">
        <v>0</v>
      </c>
    </row>
    <row r="43" spans="1:18" x14ac:dyDescent="0.3">
      <c r="A43" t="s">
        <v>3</v>
      </c>
      <c r="B43" s="1">
        <v>45075</v>
      </c>
      <c r="C43" t="s">
        <v>8</v>
      </c>
      <c r="D43" t="s">
        <v>14</v>
      </c>
      <c r="E43">
        <v>2</v>
      </c>
      <c r="F43">
        <v>16.3</v>
      </c>
      <c r="G43">
        <v>0.25</v>
      </c>
      <c r="H43">
        <f t="shared" si="0"/>
        <v>0.44999999999999929</v>
      </c>
      <c r="I43">
        <f>H43+G43</f>
        <v>0.69999999999999929</v>
      </c>
      <c r="J43">
        <f>I43+F43</f>
        <v>17</v>
      </c>
      <c r="K43">
        <f t="shared" si="9"/>
        <v>1.0999999999999996</v>
      </c>
      <c r="L43">
        <f>L42+K43</f>
        <v>2.2999999999999989</v>
      </c>
      <c r="M43">
        <f t="shared" si="2"/>
        <v>0.98360655737704927</v>
      </c>
      <c r="N43">
        <v>3</v>
      </c>
      <c r="O43">
        <f t="shared" si="10"/>
        <v>2.75</v>
      </c>
      <c r="P43">
        <f t="shared" si="11"/>
        <v>577.5</v>
      </c>
      <c r="Q43">
        <f t="shared" si="5"/>
        <v>0</v>
      </c>
      <c r="R43">
        <v>0</v>
      </c>
    </row>
    <row r="44" spans="1:18" x14ac:dyDescent="0.3">
      <c r="A44" t="s">
        <v>4</v>
      </c>
      <c r="B44" s="1">
        <v>45076</v>
      </c>
      <c r="C44" t="s">
        <v>8</v>
      </c>
      <c r="D44" t="s">
        <v>14</v>
      </c>
      <c r="E44">
        <v>2</v>
      </c>
      <c r="F44">
        <v>15.9</v>
      </c>
      <c r="G44">
        <v>0.25</v>
      </c>
      <c r="H44">
        <f t="shared" si="0"/>
        <v>0.84999999999999964</v>
      </c>
      <c r="I44">
        <f t="shared" ref="I44:I55" si="12">H44+G44</f>
        <v>1.0999999999999996</v>
      </c>
      <c r="J44">
        <f t="shared" ref="J44:J71" si="13">I44+F44</f>
        <v>17</v>
      </c>
      <c r="K44">
        <f t="shared" si="9"/>
        <v>1.4000000000000004</v>
      </c>
      <c r="L44">
        <f t="shared" ref="L44:L78" si="14">L43+K44</f>
        <v>3.6999999999999993</v>
      </c>
      <c r="M44">
        <f t="shared" si="2"/>
        <v>0.98360655737704927</v>
      </c>
      <c r="N44">
        <v>4</v>
      </c>
      <c r="O44">
        <f t="shared" si="10"/>
        <v>3</v>
      </c>
      <c r="P44">
        <f t="shared" si="11"/>
        <v>630</v>
      </c>
      <c r="Q44">
        <f t="shared" si="5"/>
        <v>0</v>
      </c>
      <c r="R44">
        <v>0</v>
      </c>
    </row>
    <row r="45" spans="1:18" x14ac:dyDescent="0.3">
      <c r="A45" t="s">
        <v>5</v>
      </c>
      <c r="B45" s="1">
        <v>45077</v>
      </c>
      <c r="C45" t="s">
        <v>8</v>
      </c>
      <c r="D45" t="s">
        <v>14</v>
      </c>
      <c r="E45">
        <v>2</v>
      </c>
      <c r="F45">
        <v>15.6</v>
      </c>
      <c r="G45">
        <v>0</v>
      </c>
      <c r="H45">
        <f t="shared" si="0"/>
        <v>1.4000000000000004</v>
      </c>
      <c r="I45">
        <f t="shared" si="12"/>
        <v>1.4000000000000004</v>
      </c>
      <c r="J45">
        <f t="shared" si="13"/>
        <v>17</v>
      </c>
      <c r="K45">
        <f t="shared" si="9"/>
        <v>1</v>
      </c>
      <c r="L45">
        <f t="shared" si="14"/>
        <v>4.6999999999999993</v>
      </c>
      <c r="M45">
        <f t="shared" si="2"/>
        <v>0.98360655737704927</v>
      </c>
      <c r="N45">
        <v>5</v>
      </c>
      <c r="O45">
        <f t="shared" si="10"/>
        <v>3</v>
      </c>
      <c r="P45">
        <f t="shared" si="11"/>
        <v>630</v>
      </c>
      <c r="Q45">
        <f t="shared" si="5"/>
        <v>0</v>
      </c>
      <c r="R45">
        <v>0</v>
      </c>
    </row>
    <row r="46" spans="1:18" x14ac:dyDescent="0.3">
      <c r="A46" t="s">
        <v>6</v>
      </c>
      <c r="B46" s="1">
        <v>45078</v>
      </c>
      <c r="C46" t="s">
        <v>8</v>
      </c>
      <c r="D46" t="s">
        <v>14</v>
      </c>
      <c r="E46">
        <v>2</v>
      </c>
      <c r="F46">
        <v>16</v>
      </c>
      <c r="G46">
        <v>0.25</v>
      </c>
      <c r="H46">
        <f t="shared" si="0"/>
        <v>0.75</v>
      </c>
      <c r="I46">
        <f t="shared" si="12"/>
        <v>1</v>
      </c>
      <c r="J46">
        <f t="shared" si="13"/>
        <v>17</v>
      </c>
      <c r="K46">
        <f t="shared" si="9"/>
        <v>0.69999999999999929</v>
      </c>
      <c r="L46">
        <f t="shared" si="14"/>
        <v>5.3999999999999986</v>
      </c>
      <c r="M46">
        <f t="shared" si="2"/>
        <v>0.98360655737704927</v>
      </c>
      <c r="N46">
        <v>6</v>
      </c>
      <c r="O46">
        <f t="shared" si="10"/>
        <v>3.25</v>
      </c>
      <c r="P46">
        <f t="shared" si="11"/>
        <v>682.5</v>
      </c>
      <c r="Q46">
        <f t="shared" si="5"/>
        <v>0</v>
      </c>
      <c r="R46">
        <v>0</v>
      </c>
    </row>
    <row r="47" spans="1:18" x14ac:dyDescent="0.3">
      <c r="A47" t="s">
        <v>0</v>
      </c>
      <c r="B47" s="1">
        <v>45079</v>
      </c>
      <c r="C47" t="s">
        <v>8</v>
      </c>
      <c r="D47" t="s">
        <v>14</v>
      </c>
      <c r="E47">
        <v>2</v>
      </c>
      <c r="F47">
        <v>16.3</v>
      </c>
      <c r="G47">
        <v>0.25</v>
      </c>
      <c r="H47">
        <f t="shared" si="0"/>
        <v>0.44999999999999929</v>
      </c>
      <c r="I47">
        <f t="shared" si="12"/>
        <v>0.69999999999999929</v>
      </c>
      <c r="J47">
        <f t="shared" si="13"/>
        <v>17</v>
      </c>
      <c r="K47">
        <f t="shared" si="9"/>
        <v>0.5</v>
      </c>
      <c r="L47">
        <f t="shared" si="14"/>
        <v>5.8999999999999986</v>
      </c>
      <c r="M47">
        <f t="shared" si="2"/>
        <v>0.98360655737704927</v>
      </c>
      <c r="N47">
        <v>7</v>
      </c>
      <c r="O47">
        <f t="shared" si="10"/>
        <v>3.5</v>
      </c>
      <c r="P47">
        <f t="shared" si="11"/>
        <v>735</v>
      </c>
      <c r="Q47">
        <f t="shared" si="5"/>
        <v>0</v>
      </c>
      <c r="R47">
        <v>0</v>
      </c>
    </row>
    <row r="48" spans="1:18" x14ac:dyDescent="0.3">
      <c r="A48" t="s">
        <v>1</v>
      </c>
      <c r="B48" s="1">
        <v>45080</v>
      </c>
      <c r="C48" t="s">
        <v>8</v>
      </c>
      <c r="D48" t="s">
        <v>14</v>
      </c>
      <c r="E48">
        <v>2</v>
      </c>
      <c r="F48">
        <v>16.5</v>
      </c>
      <c r="G48">
        <v>0</v>
      </c>
      <c r="H48">
        <f t="shared" si="0"/>
        <v>0.5</v>
      </c>
      <c r="I48">
        <f t="shared" si="12"/>
        <v>0.5</v>
      </c>
      <c r="J48">
        <f t="shared" si="13"/>
        <v>17</v>
      </c>
      <c r="K48">
        <f t="shared" si="9"/>
        <v>0.89999999999999858</v>
      </c>
      <c r="L48">
        <f t="shared" si="14"/>
        <v>6.7999999999999972</v>
      </c>
      <c r="M48">
        <f t="shared" si="2"/>
        <v>0.98360655737704927</v>
      </c>
      <c r="N48">
        <v>8</v>
      </c>
      <c r="O48">
        <f t="shared" si="10"/>
        <v>3.5</v>
      </c>
      <c r="P48">
        <f t="shared" si="11"/>
        <v>735</v>
      </c>
      <c r="Q48">
        <f t="shared" si="5"/>
        <v>0</v>
      </c>
      <c r="R48">
        <v>0</v>
      </c>
    </row>
    <row r="49" spans="1:18" x14ac:dyDescent="0.3">
      <c r="A49" t="s">
        <v>2</v>
      </c>
      <c r="B49" s="1">
        <v>45081</v>
      </c>
      <c r="C49" t="s">
        <v>8</v>
      </c>
      <c r="D49" t="s">
        <v>14</v>
      </c>
      <c r="E49">
        <v>2</v>
      </c>
      <c r="F49">
        <v>16.100000000000001</v>
      </c>
      <c r="G49">
        <v>0</v>
      </c>
      <c r="H49">
        <f t="shared" si="0"/>
        <v>0.89999999999999858</v>
      </c>
      <c r="I49">
        <f t="shared" si="12"/>
        <v>0.89999999999999858</v>
      </c>
      <c r="J49">
        <f t="shared" si="13"/>
        <v>17</v>
      </c>
      <c r="K49">
        <f t="shared" si="9"/>
        <v>1</v>
      </c>
      <c r="L49">
        <f t="shared" si="14"/>
        <v>7.7999999999999972</v>
      </c>
      <c r="M49">
        <f t="shared" si="2"/>
        <v>0.98360655737704927</v>
      </c>
      <c r="N49">
        <v>9</v>
      </c>
      <c r="O49">
        <f t="shared" si="10"/>
        <v>3.5</v>
      </c>
      <c r="P49">
        <f t="shared" si="11"/>
        <v>735</v>
      </c>
      <c r="Q49">
        <f t="shared" si="5"/>
        <v>0</v>
      </c>
      <c r="R49">
        <v>0</v>
      </c>
    </row>
    <row r="50" spans="1:18" x14ac:dyDescent="0.3">
      <c r="A50" t="s">
        <v>3</v>
      </c>
      <c r="B50" s="1">
        <v>45082</v>
      </c>
      <c r="C50" t="s">
        <v>8</v>
      </c>
      <c r="D50" t="s">
        <v>14</v>
      </c>
      <c r="E50">
        <v>2</v>
      </c>
      <c r="F50">
        <v>16</v>
      </c>
      <c r="G50">
        <v>0.25</v>
      </c>
      <c r="H50">
        <f t="shared" si="0"/>
        <v>0.75</v>
      </c>
      <c r="I50">
        <f t="shared" si="12"/>
        <v>1</v>
      </c>
      <c r="J50">
        <f t="shared" si="13"/>
        <v>17</v>
      </c>
      <c r="K50">
        <f t="shared" si="9"/>
        <v>0.80000000000000071</v>
      </c>
      <c r="L50">
        <f t="shared" si="14"/>
        <v>8.5999999999999979</v>
      </c>
      <c r="M50">
        <f t="shared" si="2"/>
        <v>0.98360655737704927</v>
      </c>
      <c r="N50">
        <v>10</v>
      </c>
      <c r="O50">
        <f t="shared" si="10"/>
        <v>3.75</v>
      </c>
      <c r="P50">
        <f t="shared" si="11"/>
        <v>787.5</v>
      </c>
      <c r="Q50">
        <f t="shared" si="5"/>
        <v>0</v>
      </c>
      <c r="R50">
        <v>0</v>
      </c>
    </row>
    <row r="51" spans="1:18" x14ac:dyDescent="0.3">
      <c r="A51" t="s">
        <v>4</v>
      </c>
      <c r="B51" s="1">
        <v>45083</v>
      </c>
      <c r="C51" t="s">
        <v>8</v>
      </c>
      <c r="D51" t="s">
        <v>14</v>
      </c>
      <c r="E51">
        <v>2</v>
      </c>
      <c r="F51">
        <v>16.2</v>
      </c>
      <c r="G51">
        <v>0.25</v>
      </c>
      <c r="H51">
        <f t="shared" si="0"/>
        <v>0.55000000000000071</v>
      </c>
      <c r="I51">
        <f t="shared" si="12"/>
        <v>0.80000000000000071</v>
      </c>
      <c r="J51">
        <f t="shared" si="13"/>
        <v>17</v>
      </c>
      <c r="K51">
        <f t="shared" si="9"/>
        <v>1.4000000000000004</v>
      </c>
      <c r="L51">
        <f t="shared" si="14"/>
        <v>9.9999999999999982</v>
      </c>
      <c r="M51">
        <f t="shared" si="2"/>
        <v>0.98360655737704927</v>
      </c>
      <c r="N51">
        <v>11</v>
      </c>
      <c r="O51">
        <f t="shared" si="10"/>
        <v>4</v>
      </c>
      <c r="P51">
        <f t="shared" si="11"/>
        <v>840</v>
      </c>
      <c r="Q51">
        <f t="shared" si="5"/>
        <v>0</v>
      </c>
      <c r="R51">
        <v>0</v>
      </c>
    </row>
    <row r="52" spans="1:18" x14ac:dyDescent="0.3">
      <c r="A52" t="s">
        <v>5</v>
      </c>
      <c r="B52" s="1">
        <v>45084</v>
      </c>
      <c r="C52" t="s">
        <v>8</v>
      </c>
      <c r="D52" t="s">
        <v>14</v>
      </c>
      <c r="E52">
        <v>2</v>
      </c>
      <c r="F52">
        <v>15.6</v>
      </c>
      <c r="G52">
        <v>0</v>
      </c>
      <c r="H52">
        <f t="shared" si="0"/>
        <v>1.4000000000000004</v>
      </c>
      <c r="I52">
        <f t="shared" si="12"/>
        <v>1.4000000000000004</v>
      </c>
      <c r="J52">
        <f t="shared" si="13"/>
        <v>17</v>
      </c>
      <c r="K52">
        <f t="shared" si="9"/>
        <v>1.0999999999999996</v>
      </c>
      <c r="L52">
        <f t="shared" si="14"/>
        <v>11.099999999999998</v>
      </c>
      <c r="M52">
        <f t="shared" si="2"/>
        <v>0.98360655737704927</v>
      </c>
      <c r="N52">
        <v>12</v>
      </c>
      <c r="O52">
        <f t="shared" si="10"/>
        <v>4</v>
      </c>
      <c r="P52">
        <f t="shared" si="11"/>
        <v>840</v>
      </c>
      <c r="Q52">
        <f t="shared" si="5"/>
        <v>0</v>
      </c>
      <c r="R52">
        <v>0</v>
      </c>
    </row>
    <row r="53" spans="1:18" x14ac:dyDescent="0.3">
      <c r="A53" t="s">
        <v>6</v>
      </c>
      <c r="B53" s="1">
        <v>45085</v>
      </c>
      <c r="C53" t="s">
        <v>8</v>
      </c>
      <c r="D53" t="s">
        <v>14</v>
      </c>
      <c r="E53">
        <v>2</v>
      </c>
      <c r="F53">
        <v>15.9</v>
      </c>
      <c r="G53">
        <v>0.25</v>
      </c>
      <c r="H53">
        <f t="shared" si="0"/>
        <v>0.84999999999999964</v>
      </c>
      <c r="I53">
        <f t="shared" si="12"/>
        <v>1.0999999999999996</v>
      </c>
      <c r="J53">
        <f t="shared" si="13"/>
        <v>17</v>
      </c>
      <c r="K53">
        <f t="shared" si="9"/>
        <v>1.5999999999999996</v>
      </c>
      <c r="L53">
        <f t="shared" si="14"/>
        <v>12.699999999999998</v>
      </c>
      <c r="M53">
        <f t="shared" si="2"/>
        <v>0.98360655737704927</v>
      </c>
      <c r="N53">
        <v>13</v>
      </c>
      <c r="O53">
        <f t="shared" si="10"/>
        <v>4.25</v>
      </c>
      <c r="P53">
        <f t="shared" si="11"/>
        <v>892.5</v>
      </c>
      <c r="Q53">
        <f t="shared" si="5"/>
        <v>0</v>
      </c>
      <c r="R53">
        <v>0</v>
      </c>
    </row>
    <row r="54" spans="1:18" x14ac:dyDescent="0.3">
      <c r="A54" t="s">
        <v>0</v>
      </c>
      <c r="B54" s="1">
        <v>45086</v>
      </c>
      <c r="C54" t="s">
        <v>8</v>
      </c>
      <c r="D54" t="s">
        <v>14</v>
      </c>
      <c r="E54">
        <v>2</v>
      </c>
      <c r="F54">
        <v>15.4</v>
      </c>
      <c r="G54">
        <v>0.25</v>
      </c>
      <c r="H54">
        <f t="shared" si="0"/>
        <v>1.3499999999999996</v>
      </c>
      <c r="I54">
        <f t="shared" si="12"/>
        <v>1.5999999999999996</v>
      </c>
      <c r="J54">
        <f t="shared" si="13"/>
        <v>17</v>
      </c>
      <c r="K54">
        <f t="shared" si="9"/>
        <v>1.8000000000000007</v>
      </c>
      <c r="L54">
        <f t="shared" si="14"/>
        <v>14.499999999999998</v>
      </c>
      <c r="M54">
        <f t="shared" si="2"/>
        <v>0.98360655737704927</v>
      </c>
      <c r="N54">
        <v>14</v>
      </c>
      <c r="O54">
        <f t="shared" si="10"/>
        <v>4.5</v>
      </c>
      <c r="P54">
        <f t="shared" si="11"/>
        <v>945</v>
      </c>
      <c r="Q54">
        <f t="shared" si="5"/>
        <v>0</v>
      </c>
      <c r="R54">
        <v>0</v>
      </c>
    </row>
    <row r="55" spans="1:18" x14ac:dyDescent="0.3">
      <c r="A55" t="s">
        <v>1</v>
      </c>
      <c r="B55" s="1">
        <v>45087</v>
      </c>
      <c r="C55" t="s">
        <v>8</v>
      </c>
      <c r="D55" t="s">
        <v>14</v>
      </c>
      <c r="E55">
        <v>2</v>
      </c>
      <c r="F55">
        <v>15.2</v>
      </c>
      <c r="G55">
        <v>0</v>
      </c>
      <c r="H55">
        <f t="shared" si="0"/>
        <v>1.8000000000000007</v>
      </c>
      <c r="I55">
        <f t="shared" si="12"/>
        <v>1.8000000000000007</v>
      </c>
      <c r="J55">
        <f t="shared" si="13"/>
        <v>17</v>
      </c>
      <c r="K55">
        <f t="shared" si="9"/>
        <v>1.9000000000000004</v>
      </c>
      <c r="L55">
        <f t="shared" si="14"/>
        <v>16.399999999999999</v>
      </c>
      <c r="M55">
        <f t="shared" si="2"/>
        <v>0.98360655737704927</v>
      </c>
      <c r="N55">
        <v>15</v>
      </c>
      <c r="O55">
        <f t="shared" si="10"/>
        <v>4.5</v>
      </c>
      <c r="P55">
        <f t="shared" si="11"/>
        <v>945</v>
      </c>
      <c r="Q55">
        <f t="shared" si="5"/>
        <v>0</v>
      </c>
      <c r="R55">
        <v>0</v>
      </c>
    </row>
    <row r="56" spans="1:18" x14ac:dyDescent="0.3">
      <c r="A56" t="s">
        <v>2</v>
      </c>
      <c r="B56" s="1">
        <v>45088</v>
      </c>
      <c r="C56" t="s">
        <v>8</v>
      </c>
      <c r="D56" t="s">
        <v>14</v>
      </c>
      <c r="E56">
        <v>2</v>
      </c>
      <c r="F56">
        <v>15.1</v>
      </c>
      <c r="G56">
        <v>0</v>
      </c>
      <c r="H56">
        <f t="shared" si="0"/>
        <v>1.9000000000000004</v>
      </c>
      <c r="I56">
        <f>H56+G56</f>
        <v>1.9000000000000004</v>
      </c>
      <c r="J56">
        <f t="shared" si="13"/>
        <v>17</v>
      </c>
      <c r="K56">
        <f t="shared" si="9"/>
        <v>1.8000000000000007</v>
      </c>
      <c r="L56">
        <f t="shared" si="14"/>
        <v>18.2</v>
      </c>
      <c r="M56">
        <f t="shared" si="2"/>
        <v>0.98360655737704927</v>
      </c>
      <c r="N56">
        <v>16</v>
      </c>
      <c r="O56">
        <f t="shared" si="10"/>
        <v>4.5</v>
      </c>
      <c r="P56">
        <f t="shared" si="11"/>
        <v>945</v>
      </c>
      <c r="Q56">
        <f t="shared" si="5"/>
        <v>0</v>
      </c>
      <c r="R56">
        <v>0</v>
      </c>
    </row>
    <row r="57" spans="1:18" x14ac:dyDescent="0.3">
      <c r="A57" t="s">
        <v>3</v>
      </c>
      <c r="B57" s="1">
        <v>45089</v>
      </c>
      <c r="C57" t="s">
        <v>8</v>
      </c>
      <c r="D57" t="s">
        <v>14</v>
      </c>
      <c r="E57">
        <v>2</v>
      </c>
      <c r="F57">
        <v>15.2</v>
      </c>
      <c r="G57">
        <v>0.5</v>
      </c>
      <c r="H57">
        <f t="shared" si="0"/>
        <v>1.3000000000000007</v>
      </c>
      <c r="I57">
        <f t="shared" ref="I57:I67" si="15">H57+G57</f>
        <v>1.8000000000000007</v>
      </c>
      <c r="J57">
        <f t="shared" si="13"/>
        <v>17</v>
      </c>
      <c r="K57">
        <f t="shared" si="9"/>
        <v>0.5</v>
      </c>
      <c r="L57">
        <f t="shared" si="14"/>
        <v>18.7</v>
      </c>
      <c r="M57">
        <f t="shared" si="2"/>
        <v>0.98360655737704927</v>
      </c>
      <c r="N57">
        <v>17</v>
      </c>
      <c r="O57">
        <f t="shared" si="10"/>
        <v>5</v>
      </c>
      <c r="P57">
        <f t="shared" si="11"/>
        <v>1050</v>
      </c>
      <c r="Q57">
        <f t="shared" si="5"/>
        <v>0</v>
      </c>
      <c r="R57">
        <v>0</v>
      </c>
    </row>
    <row r="58" spans="1:18" x14ac:dyDescent="0.3">
      <c r="A58" t="s">
        <v>4</v>
      </c>
      <c r="B58" s="1">
        <v>45090</v>
      </c>
      <c r="C58" t="s">
        <v>8</v>
      </c>
      <c r="D58" t="s">
        <v>14</v>
      </c>
      <c r="E58">
        <v>2</v>
      </c>
      <c r="F58">
        <v>16.5</v>
      </c>
      <c r="G58">
        <v>0</v>
      </c>
      <c r="H58">
        <f t="shared" si="0"/>
        <v>0.5</v>
      </c>
      <c r="I58">
        <f t="shared" si="15"/>
        <v>0.5</v>
      </c>
      <c r="J58">
        <f t="shared" si="13"/>
        <v>17</v>
      </c>
      <c r="K58">
        <f t="shared" si="9"/>
        <v>1.4000000000000004</v>
      </c>
      <c r="L58">
        <f t="shared" si="14"/>
        <v>20.100000000000001</v>
      </c>
      <c r="M58">
        <f t="shared" si="2"/>
        <v>0.98360655737704927</v>
      </c>
      <c r="N58">
        <v>18</v>
      </c>
      <c r="O58">
        <f t="shared" si="10"/>
        <v>5</v>
      </c>
      <c r="P58">
        <f t="shared" si="11"/>
        <v>1050</v>
      </c>
      <c r="Q58">
        <f t="shared" si="5"/>
        <v>0</v>
      </c>
      <c r="R58">
        <v>0</v>
      </c>
    </row>
    <row r="59" spans="1:18" x14ac:dyDescent="0.3">
      <c r="A59" t="s">
        <v>5</v>
      </c>
      <c r="B59" s="1">
        <v>45091</v>
      </c>
      <c r="C59" t="s">
        <v>8</v>
      </c>
      <c r="D59" t="s">
        <v>14</v>
      </c>
      <c r="E59">
        <v>2</v>
      </c>
      <c r="F59">
        <v>15.6</v>
      </c>
      <c r="G59">
        <v>0</v>
      </c>
      <c r="H59">
        <f t="shared" si="0"/>
        <v>1.4000000000000004</v>
      </c>
      <c r="I59">
        <f t="shared" si="15"/>
        <v>1.4000000000000004</v>
      </c>
      <c r="J59">
        <f t="shared" si="13"/>
        <v>17</v>
      </c>
      <c r="K59">
        <f t="shared" si="9"/>
        <v>2</v>
      </c>
      <c r="L59">
        <f t="shared" si="14"/>
        <v>22.1</v>
      </c>
      <c r="M59">
        <f t="shared" si="2"/>
        <v>0.98360655737704927</v>
      </c>
      <c r="N59">
        <v>19</v>
      </c>
      <c r="O59">
        <f t="shared" si="10"/>
        <v>5</v>
      </c>
      <c r="P59">
        <f t="shared" si="11"/>
        <v>1050</v>
      </c>
      <c r="Q59">
        <f t="shared" si="5"/>
        <v>0</v>
      </c>
      <c r="R59">
        <v>0</v>
      </c>
    </row>
    <row r="60" spans="1:18" x14ac:dyDescent="0.3">
      <c r="A60" t="s">
        <v>6</v>
      </c>
      <c r="B60" s="1">
        <v>45092</v>
      </c>
      <c r="C60" t="s">
        <v>8</v>
      </c>
      <c r="D60" t="s">
        <v>14</v>
      </c>
      <c r="E60">
        <v>2</v>
      </c>
      <c r="F60">
        <v>15</v>
      </c>
      <c r="G60">
        <v>0.5</v>
      </c>
      <c r="H60">
        <f t="shared" si="0"/>
        <v>1.5</v>
      </c>
      <c r="I60">
        <f t="shared" si="15"/>
        <v>2</v>
      </c>
      <c r="J60">
        <f t="shared" si="13"/>
        <v>17</v>
      </c>
      <c r="K60">
        <f t="shared" si="9"/>
        <v>2.3000000000000007</v>
      </c>
      <c r="L60">
        <f>L59+K60</f>
        <v>24.400000000000002</v>
      </c>
      <c r="M60">
        <f t="shared" si="2"/>
        <v>0.98360655737704927</v>
      </c>
      <c r="N60">
        <v>20</v>
      </c>
      <c r="O60">
        <f t="shared" si="10"/>
        <v>5.5</v>
      </c>
      <c r="P60">
        <f t="shared" si="11"/>
        <v>1155</v>
      </c>
      <c r="Q60">
        <f t="shared" si="5"/>
        <v>0</v>
      </c>
      <c r="R60">
        <v>0</v>
      </c>
    </row>
    <row r="61" spans="1:18" x14ac:dyDescent="0.3">
      <c r="A61" t="s">
        <v>0</v>
      </c>
      <c r="B61" s="1">
        <v>45093</v>
      </c>
      <c r="C61" t="s">
        <v>8</v>
      </c>
      <c r="D61" t="s">
        <v>14</v>
      </c>
      <c r="E61">
        <v>2</v>
      </c>
      <c r="F61">
        <v>14.7</v>
      </c>
      <c r="G61">
        <v>0</v>
      </c>
      <c r="H61">
        <f t="shared" si="0"/>
        <v>2.3000000000000007</v>
      </c>
      <c r="I61">
        <f t="shared" si="15"/>
        <v>2.3000000000000007</v>
      </c>
      <c r="J61">
        <f t="shared" si="13"/>
        <v>17</v>
      </c>
      <c r="K61">
        <f t="shared" si="9"/>
        <v>2</v>
      </c>
      <c r="L61">
        <f t="shared" si="14"/>
        <v>26.400000000000002</v>
      </c>
      <c r="M61">
        <f t="shared" si="2"/>
        <v>0.98360655737704927</v>
      </c>
      <c r="N61">
        <v>21</v>
      </c>
      <c r="O61">
        <f t="shared" si="10"/>
        <v>5.5</v>
      </c>
      <c r="P61">
        <f t="shared" si="11"/>
        <v>1155</v>
      </c>
      <c r="Q61">
        <f t="shared" si="5"/>
        <v>0</v>
      </c>
      <c r="R61">
        <v>0</v>
      </c>
    </row>
    <row r="62" spans="1:18" x14ac:dyDescent="0.3">
      <c r="A62" t="s">
        <v>1</v>
      </c>
      <c r="B62" s="1">
        <v>45094</v>
      </c>
      <c r="C62" t="s">
        <v>8</v>
      </c>
      <c r="D62" t="s">
        <v>14</v>
      </c>
      <c r="E62">
        <v>2</v>
      </c>
      <c r="F62">
        <v>15</v>
      </c>
      <c r="G62">
        <v>0</v>
      </c>
      <c r="H62">
        <f t="shared" si="0"/>
        <v>2</v>
      </c>
      <c r="I62">
        <f t="shared" si="15"/>
        <v>2</v>
      </c>
      <c r="J62">
        <f t="shared" si="13"/>
        <v>17</v>
      </c>
      <c r="K62">
        <f t="shared" si="9"/>
        <v>1.3000000000000007</v>
      </c>
      <c r="L62">
        <f t="shared" si="14"/>
        <v>27.700000000000003</v>
      </c>
      <c r="M62">
        <f t="shared" si="2"/>
        <v>0.98360655737704927</v>
      </c>
      <c r="N62">
        <v>22</v>
      </c>
      <c r="O62">
        <f t="shared" si="10"/>
        <v>5.5</v>
      </c>
      <c r="P62">
        <f t="shared" si="11"/>
        <v>1155</v>
      </c>
      <c r="Q62">
        <f t="shared" si="5"/>
        <v>0</v>
      </c>
      <c r="R62">
        <v>0</v>
      </c>
    </row>
    <row r="63" spans="1:18" x14ac:dyDescent="0.3">
      <c r="A63" t="s">
        <v>2</v>
      </c>
      <c r="B63" s="1">
        <v>45095</v>
      </c>
      <c r="C63" t="s">
        <v>8</v>
      </c>
      <c r="D63" t="s">
        <v>14</v>
      </c>
      <c r="E63">
        <v>2</v>
      </c>
      <c r="F63">
        <v>15.7</v>
      </c>
      <c r="G63">
        <v>0</v>
      </c>
      <c r="H63">
        <f t="shared" si="0"/>
        <v>1.3000000000000007</v>
      </c>
      <c r="I63">
        <f t="shared" si="15"/>
        <v>1.3000000000000007</v>
      </c>
      <c r="J63">
        <f t="shared" si="13"/>
        <v>17</v>
      </c>
      <c r="K63">
        <f t="shared" si="9"/>
        <v>2</v>
      </c>
      <c r="L63">
        <f t="shared" si="14"/>
        <v>29.700000000000003</v>
      </c>
      <c r="M63">
        <f t="shared" si="2"/>
        <v>0.98360655737704927</v>
      </c>
      <c r="N63">
        <v>23</v>
      </c>
      <c r="O63">
        <f t="shared" si="10"/>
        <v>5.5</v>
      </c>
      <c r="P63">
        <f t="shared" si="11"/>
        <v>1155</v>
      </c>
      <c r="Q63">
        <f t="shared" si="5"/>
        <v>0</v>
      </c>
      <c r="R63">
        <v>0</v>
      </c>
    </row>
    <row r="64" spans="1:18" x14ac:dyDescent="0.3">
      <c r="A64" t="s">
        <v>3</v>
      </c>
      <c r="B64" s="1">
        <v>45096</v>
      </c>
      <c r="C64" t="s">
        <v>8</v>
      </c>
      <c r="D64" t="s">
        <v>14</v>
      </c>
      <c r="E64">
        <v>2</v>
      </c>
      <c r="F64">
        <v>15</v>
      </c>
      <c r="G64">
        <v>0.5</v>
      </c>
      <c r="H64">
        <f t="shared" si="0"/>
        <v>1.5</v>
      </c>
      <c r="I64">
        <f t="shared" si="15"/>
        <v>2</v>
      </c>
      <c r="J64">
        <f t="shared" si="13"/>
        <v>17</v>
      </c>
      <c r="K64">
        <f t="shared" si="9"/>
        <v>2.1999999999999993</v>
      </c>
      <c r="L64">
        <f t="shared" si="14"/>
        <v>31.900000000000002</v>
      </c>
      <c r="M64">
        <f t="shared" si="2"/>
        <v>0.98360655737704927</v>
      </c>
      <c r="N64">
        <v>24</v>
      </c>
      <c r="O64">
        <f t="shared" si="10"/>
        <v>6</v>
      </c>
      <c r="P64">
        <f t="shared" si="11"/>
        <v>1260</v>
      </c>
      <c r="Q64">
        <f t="shared" si="5"/>
        <v>0</v>
      </c>
      <c r="R64">
        <v>0</v>
      </c>
    </row>
    <row r="65" spans="1:18" x14ac:dyDescent="0.3">
      <c r="A65" t="s">
        <v>4</v>
      </c>
      <c r="B65" s="1">
        <v>45097</v>
      </c>
      <c r="C65" t="s">
        <v>8</v>
      </c>
      <c r="D65" t="s">
        <v>14</v>
      </c>
      <c r="E65">
        <v>2</v>
      </c>
      <c r="F65">
        <v>14.8</v>
      </c>
      <c r="G65">
        <v>0</v>
      </c>
      <c r="H65">
        <f t="shared" si="0"/>
        <v>2.1999999999999993</v>
      </c>
      <c r="I65">
        <f t="shared" si="15"/>
        <v>2.1999999999999993</v>
      </c>
      <c r="J65">
        <f t="shared" si="13"/>
        <v>17</v>
      </c>
      <c r="K65">
        <f t="shared" si="9"/>
        <v>2.0999999999999996</v>
      </c>
      <c r="L65">
        <f t="shared" si="14"/>
        <v>34</v>
      </c>
      <c r="M65">
        <f t="shared" si="2"/>
        <v>0.98360655737704927</v>
      </c>
      <c r="N65">
        <v>25</v>
      </c>
      <c r="O65">
        <f t="shared" si="10"/>
        <v>6</v>
      </c>
      <c r="P65">
        <f t="shared" si="11"/>
        <v>1260</v>
      </c>
      <c r="Q65">
        <f t="shared" si="5"/>
        <v>0</v>
      </c>
      <c r="R65">
        <v>0</v>
      </c>
    </row>
    <row r="66" spans="1:18" x14ac:dyDescent="0.3">
      <c r="A66" t="s">
        <v>5</v>
      </c>
      <c r="B66" s="1">
        <v>45098</v>
      </c>
      <c r="C66" t="s">
        <v>8</v>
      </c>
      <c r="D66" t="s">
        <v>14</v>
      </c>
      <c r="E66">
        <v>2</v>
      </c>
      <c r="F66">
        <v>14.9</v>
      </c>
      <c r="G66">
        <v>0</v>
      </c>
      <c r="H66">
        <f t="shared" si="0"/>
        <v>2.0999999999999996</v>
      </c>
      <c r="I66">
        <f t="shared" si="15"/>
        <v>2.0999999999999996</v>
      </c>
      <c r="J66">
        <f t="shared" si="13"/>
        <v>17</v>
      </c>
      <c r="K66">
        <f t="shared" si="9"/>
        <v>2.0999999999999996</v>
      </c>
      <c r="L66">
        <f t="shared" si="14"/>
        <v>36.1</v>
      </c>
      <c r="M66">
        <f t="shared" si="2"/>
        <v>0.98360655737704927</v>
      </c>
      <c r="N66">
        <v>26</v>
      </c>
      <c r="O66">
        <f t="shared" si="10"/>
        <v>6</v>
      </c>
      <c r="P66">
        <f t="shared" si="11"/>
        <v>1260</v>
      </c>
      <c r="Q66">
        <f t="shared" si="5"/>
        <v>0</v>
      </c>
      <c r="R66">
        <v>0</v>
      </c>
    </row>
    <row r="67" spans="1:18" x14ac:dyDescent="0.3">
      <c r="A67" t="s">
        <v>6</v>
      </c>
      <c r="B67" s="1">
        <v>45099</v>
      </c>
      <c r="C67" t="s">
        <v>8</v>
      </c>
      <c r="D67" t="s">
        <v>14</v>
      </c>
      <c r="E67">
        <v>2</v>
      </c>
      <c r="F67">
        <v>14.9</v>
      </c>
      <c r="G67">
        <v>0.5</v>
      </c>
      <c r="H67">
        <f t="shared" ref="H67:H130" si="16">17-F67-G67</f>
        <v>1.5999999999999996</v>
      </c>
      <c r="I67">
        <f t="shared" si="15"/>
        <v>2.0999999999999996</v>
      </c>
      <c r="J67">
        <f t="shared" si="13"/>
        <v>17</v>
      </c>
      <c r="K67">
        <f t="shared" si="9"/>
        <v>1.5999999999999996</v>
      </c>
      <c r="L67">
        <f t="shared" si="14"/>
        <v>37.700000000000003</v>
      </c>
      <c r="M67">
        <f t="shared" ref="M67:M130" si="17">(J67-11)/6.1</f>
        <v>0.98360655737704927</v>
      </c>
      <c r="N67">
        <v>27</v>
      </c>
      <c r="O67">
        <f t="shared" si="10"/>
        <v>6.5</v>
      </c>
      <c r="P67">
        <f t="shared" si="11"/>
        <v>1365</v>
      </c>
      <c r="Q67">
        <f t="shared" ref="Q67:Q130" si="18">M67-M67</f>
        <v>0</v>
      </c>
      <c r="R67">
        <v>0</v>
      </c>
    </row>
    <row r="68" spans="1:18" ht="15.75" customHeight="1" x14ac:dyDescent="0.3">
      <c r="A68" t="s">
        <v>0</v>
      </c>
      <c r="B68" s="1">
        <v>45100</v>
      </c>
      <c r="C68" t="s">
        <v>8</v>
      </c>
      <c r="D68" t="s">
        <v>14</v>
      </c>
      <c r="E68">
        <v>2</v>
      </c>
      <c r="F68">
        <v>15.4</v>
      </c>
      <c r="G68">
        <v>0</v>
      </c>
      <c r="H68">
        <f t="shared" si="16"/>
        <v>1.5999999999999996</v>
      </c>
      <c r="I68">
        <f>H68+G68</f>
        <v>1.5999999999999996</v>
      </c>
      <c r="J68">
        <f t="shared" si="13"/>
        <v>17</v>
      </c>
      <c r="K68">
        <f t="shared" si="9"/>
        <v>1.3000000000000007</v>
      </c>
      <c r="L68">
        <f t="shared" si="14"/>
        <v>39</v>
      </c>
      <c r="M68">
        <f t="shared" si="17"/>
        <v>0.98360655737704927</v>
      </c>
      <c r="N68">
        <v>28</v>
      </c>
      <c r="O68">
        <f t="shared" si="10"/>
        <v>6.5</v>
      </c>
      <c r="P68">
        <f t="shared" si="11"/>
        <v>1365</v>
      </c>
      <c r="Q68">
        <f t="shared" si="18"/>
        <v>0</v>
      </c>
      <c r="R68">
        <v>0</v>
      </c>
    </row>
    <row r="69" spans="1:18" x14ac:dyDescent="0.3">
      <c r="A69" t="s">
        <v>1</v>
      </c>
      <c r="B69" s="1">
        <v>45101</v>
      </c>
      <c r="C69" t="s">
        <v>8</v>
      </c>
      <c r="D69" t="s">
        <v>14</v>
      </c>
      <c r="E69">
        <v>2</v>
      </c>
      <c r="F69">
        <v>15.7</v>
      </c>
      <c r="G69">
        <v>0</v>
      </c>
      <c r="H69">
        <f t="shared" si="16"/>
        <v>1.3000000000000007</v>
      </c>
      <c r="I69">
        <f t="shared" ref="I69:I79" si="19">H69+G69</f>
        <v>1.3000000000000007</v>
      </c>
      <c r="J69">
        <f t="shared" si="13"/>
        <v>17</v>
      </c>
      <c r="K69">
        <f t="shared" si="9"/>
        <v>1.5</v>
      </c>
      <c r="L69">
        <f t="shared" si="14"/>
        <v>40.5</v>
      </c>
      <c r="M69">
        <f t="shared" si="17"/>
        <v>0.98360655737704927</v>
      </c>
      <c r="N69">
        <v>29</v>
      </c>
      <c r="O69">
        <f t="shared" si="10"/>
        <v>6.5</v>
      </c>
      <c r="P69">
        <f t="shared" si="11"/>
        <v>1365</v>
      </c>
      <c r="Q69">
        <f t="shared" si="18"/>
        <v>0</v>
      </c>
      <c r="R69">
        <v>0</v>
      </c>
    </row>
    <row r="70" spans="1:18" x14ac:dyDescent="0.3">
      <c r="A70" t="s">
        <v>2</v>
      </c>
      <c r="B70" s="1">
        <v>45102</v>
      </c>
      <c r="C70" t="s">
        <v>8</v>
      </c>
      <c r="D70" t="s">
        <v>14</v>
      </c>
      <c r="E70">
        <v>2</v>
      </c>
      <c r="F70">
        <v>15.5</v>
      </c>
      <c r="G70">
        <v>0</v>
      </c>
      <c r="H70">
        <f t="shared" si="16"/>
        <v>1.5</v>
      </c>
      <c r="I70">
        <f t="shared" si="19"/>
        <v>1.5</v>
      </c>
      <c r="J70">
        <f t="shared" si="13"/>
        <v>17</v>
      </c>
      <c r="K70">
        <f t="shared" si="9"/>
        <v>2</v>
      </c>
      <c r="L70">
        <f t="shared" si="14"/>
        <v>42.5</v>
      </c>
      <c r="M70">
        <f t="shared" si="17"/>
        <v>0.98360655737704927</v>
      </c>
      <c r="N70">
        <v>30</v>
      </c>
      <c r="O70">
        <f t="shared" si="10"/>
        <v>6.5</v>
      </c>
      <c r="P70">
        <f t="shared" si="11"/>
        <v>1365</v>
      </c>
      <c r="Q70">
        <f t="shared" si="18"/>
        <v>0</v>
      </c>
      <c r="R70">
        <v>0</v>
      </c>
    </row>
    <row r="71" spans="1:18" x14ac:dyDescent="0.3">
      <c r="A71" t="s">
        <v>3</v>
      </c>
      <c r="B71" s="1">
        <v>45103</v>
      </c>
      <c r="C71" t="s">
        <v>8</v>
      </c>
      <c r="D71" t="s">
        <v>14</v>
      </c>
      <c r="E71">
        <v>2</v>
      </c>
      <c r="F71">
        <v>15</v>
      </c>
      <c r="G71">
        <v>0.5</v>
      </c>
      <c r="H71">
        <f t="shared" si="16"/>
        <v>1.5</v>
      </c>
      <c r="I71">
        <f t="shared" si="19"/>
        <v>2</v>
      </c>
      <c r="J71">
        <f t="shared" si="13"/>
        <v>17</v>
      </c>
      <c r="K71">
        <f>J71-F72</f>
        <v>1.0999999999999996</v>
      </c>
      <c r="L71">
        <f t="shared" si="14"/>
        <v>43.6</v>
      </c>
      <c r="M71">
        <f t="shared" si="17"/>
        <v>0.98360655737704927</v>
      </c>
      <c r="N71">
        <v>31</v>
      </c>
      <c r="O71">
        <f t="shared" si="10"/>
        <v>7</v>
      </c>
      <c r="P71">
        <f t="shared" si="11"/>
        <v>1470</v>
      </c>
      <c r="Q71">
        <f t="shared" si="18"/>
        <v>0</v>
      </c>
      <c r="R71">
        <v>0</v>
      </c>
    </row>
    <row r="72" spans="1:18" x14ac:dyDescent="0.3">
      <c r="A72" t="s">
        <v>4</v>
      </c>
      <c r="B72" s="1">
        <v>45104</v>
      </c>
      <c r="C72" t="s">
        <v>8</v>
      </c>
      <c r="D72" t="s">
        <v>14</v>
      </c>
      <c r="E72">
        <v>2</v>
      </c>
      <c r="F72">
        <v>15.9</v>
      </c>
      <c r="G72">
        <v>0</v>
      </c>
      <c r="H72">
        <f t="shared" si="16"/>
        <v>1.0999999999999996</v>
      </c>
      <c r="I72">
        <f t="shared" si="19"/>
        <v>1.0999999999999996</v>
      </c>
      <c r="J72">
        <f>I72+F72</f>
        <v>17</v>
      </c>
      <c r="K72">
        <f t="shared" si="9"/>
        <v>1.6999999999999993</v>
      </c>
      <c r="L72">
        <f t="shared" si="14"/>
        <v>45.3</v>
      </c>
      <c r="M72">
        <f t="shared" si="17"/>
        <v>0.98360655737704927</v>
      </c>
      <c r="N72">
        <v>32</v>
      </c>
      <c r="O72">
        <f t="shared" si="10"/>
        <v>7</v>
      </c>
      <c r="P72">
        <f t="shared" si="11"/>
        <v>1470</v>
      </c>
      <c r="Q72">
        <f t="shared" si="18"/>
        <v>0</v>
      </c>
      <c r="R72">
        <v>0</v>
      </c>
    </row>
    <row r="73" spans="1:18" x14ac:dyDescent="0.3">
      <c r="A73" t="s">
        <v>5</v>
      </c>
      <c r="B73" s="1">
        <v>45105</v>
      </c>
      <c r="C73" t="s">
        <v>8</v>
      </c>
      <c r="D73" t="s">
        <v>14</v>
      </c>
      <c r="E73">
        <v>2</v>
      </c>
      <c r="F73">
        <v>15.3</v>
      </c>
      <c r="G73">
        <v>0</v>
      </c>
      <c r="H73">
        <f t="shared" si="16"/>
        <v>1.6999999999999993</v>
      </c>
      <c r="I73">
        <f t="shared" si="19"/>
        <v>1.6999999999999993</v>
      </c>
      <c r="J73">
        <f t="shared" ref="J73:J79" si="20">I73+F73</f>
        <v>17</v>
      </c>
      <c r="K73">
        <f t="shared" si="9"/>
        <v>1.8000000000000007</v>
      </c>
      <c r="L73">
        <f t="shared" si="14"/>
        <v>47.099999999999994</v>
      </c>
      <c r="M73">
        <f t="shared" si="17"/>
        <v>0.98360655737704927</v>
      </c>
      <c r="N73">
        <v>33</v>
      </c>
      <c r="O73">
        <f t="shared" si="10"/>
        <v>7</v>
      </c>
      <c r="P73">
        <f t="shared" si="11"/>
        <v>1470</v>
      </c>
      <c r="Q73">
        <f t="shared" si="18"/>
        <v>0</v>
      </c>
      <c r="R73">
        <v>0</v>
      </c>
    </row>
    <row r="74" spans="1:18" x14ac:dyDescent="0.3">
      <c r="A74" t="s">
        <v>6</v>
      </c>
      <c r="B74" s="1">
        <v>45106</v>
      </c>
      <c r="C74" t="s">
        <v>8</v>
      </c>
      <c r="D74" t="s">
        <v>14</v>
      </c>
      <c r="E74">
        <v>2</v>
      </c>
      <c r="F74">
        <v>15.2</v>
      </c>
      <c r="G74">
        <v>0.5</v>
      </c>
      <c r="H74">
        <f t="shared" si="16"/>
        <v>1.3000000000000007</v>
      </c>
      <c r="I74">
        <f t="shared" si="19"/>
        <v>1.8000000000000007</v>
      </c>
      <c r="J74">
        <f t="shared" si="20"/>
        <v>17</v>
      </c>
      <c r="K74">
        <f t="shared" si="9"/>
        <v>2</v>
      </c>
      <c r="L74">
        <f>L73+K74</f>
        <v>49.099999999999994</v>
      </c>
      <c r="M74">
        <f t="shared" si="17"/>
        <v>0.98360655737704927</v>
      </c>
      <c r="N74">
        <v>34</v>
      </c>
      <c r="O74">
        <f t="shared" si="10"/>
        <v>7.5</v>
      </c>
      <c r="P74">
        <f t="shared" si="11"/>
        <v>1575</v>
      </c>
      <c r="Q74">
        <f t="shared" si="18"/>
        <v>0</v>
      </c>
      <c r="R74">
        <v>0</v>
      </c>
    </row>
    <row r="75" spans="1:18" x14ac:dyDescent="0.3">
      <c r="A75" t="s">
        <v>0</v>
      </c>
      <c r="B75" s="1">
        <v>45107</v>
      </c>
      <c r="C75" t="s">
        <v>8</v>
      </c>
      <c r="D75" t="s">
        <v>14</v>
      </c>
      <c r="E75">
        <v>2</v>
      </c>
      <c r="F75">
        <v>15</v>
      </c>
      <c r="G75">
        <v>0</v>
      </c>
      <c r="H75">
        <f t="shared" si="16"/>
        <v>2</v>
      </c>
      <c r="I75">
        <f t="shared" si="19"/>
        <v>2</v>
      </c>
      <c r="J75">
        <f t="shared" si="20"/>
        <v>17</v>
      </c>
      <c r="K75">
        <f t="shared" si="9"/>
        <v>0.80000000000000071</v>
      </c>
      <c r="L75">
        <f t="shared" si="14"/>
        <v>49.899999999999991</v>
      </c>
      <c r="M75">
        <f t="shared" si="17"/>
        <v>0.98360655737704927</v>
      </c>
      <c r="N75">
        <v>35</v>
      </c>
      <c r="O75">
        <f t="shared" si="10"/>
        <v>7.5</v>
      </c>
      <c r="P75">
        <f t="shared" si="11"/>
        <v>1575</v>
      </c>
      <c r="Q75">
        <f t="shared" si="18"/>
        <v>0</v>
      </c>
      <c r="R75">
        <v>0</v>
      </c>
    </row>
    <row r="76" spans="1:18" x14ac:dyDescent="0.3">
      <c r="A76" t="s">
        <v>1</v>
      </c>
      <c r="B76" s="1">
        <v>45108</v>
      </c>
      <c r="C76" t="s">
        <v>8</v>
      </c>
      <c r="D76" t="s">
        <v>14</v>
      </c>
      <c r="E76">
        <v>2</v>
      </c>
      <c r="F76">
        <v>16.2</v>
      </c>
      <c r="G76">
        <v>0</v>
      </c>
      <c r="H76">
        <f t="shared" si="16"/>
        <v>0.80000000000000071</v>
      </c>
      <c r="I76">
        <f t="shared" si="19"/>
        <v>0.80000000000000071</v>
      </c>
      <c r="J76">
        <f t="shared" si="20"/>
        <v>17</v>
      </c>
      <c r="K76">
        <f t="shared" si="9"/>
        <v>0.80000000000000071</v>
      </c>
      <c r="L76">
        <f t="shared" si="14"/>
        <v>50.699999999999989</v>
      </c>
      <c r="M76">
        <f t="shared" si="17"/>
        <v>0.98360655737704927</v>
      </c>
      <c r="N76">
        <v>36</v>
      </c>
      <c r="O76">
        <f t="shared" si="10"/>
        <v>7.5</v>
      </c>
      <c r="P76">
        <f t="shared" si="11"/>
        <v>1575</v>
      </c>
      <c r="Q76">
        <f t="shared" si="18"/>
        <v>0</v>
      </c>
      <c r="R76">
        <v>0</v>
      </c>
    </row>
    <row r="77" spans="1:18" x14ac:dyDescent="0.3">
      <c r="A77" t="s">
        <v>2</v>
      </c>
      <c r="B77" s="1">
        <v>45109</v>
      </c>
      <c r="C77" t="s">
        <v>8</v>
      </c>
      <c r="D77" t="s">
        <v>14</v>
      </c>
      <c r="E77">
        <v>2</v>
      </c>
      <c r="F77">
        <v>16.2</v>
      </c>
      <c r="G77">
        <v>0</v>
      </c>
      <c r="H77">
        <f t="shared" si="16"/>
        <v>0.80000000000000071</v>
      </c>
      <c r="I77">
        <f t="shared" si="19"/>
        <v>0.80000000000000071</v>
      </c>
      <c r="J77">
        <f t="shared" si="20"/>
        <v>17</v>
      </c>
      <c r="K77">
        <f t="shared" si="9"/>
        <v>1.4000000000000004</v>
      </c>
      <c r="L77">
        <f t="shared" si="14"/>
        <v>52.099999999999987</v>
      </c>
      <c r="M77">
        <f t="shared" si="17"/>
        <v>0.98360655737704927</v>
      </c>
      <c r="N77">
        <v>37</v>
      </c>
      <c r="O77">
        <f t="shared" si="10"/>
        <v>7.5</v>
      </c>
      <c r="P77">
        <f t="shared" si="11"/>
        <v>1575</v>
      </c>
      <c r="Q77">
        <f t="shared" si="18"/>
        <v>0</v>
      </c>
      <c r="R77">
        <v>0</v>
      </c>
    </row>
    <row r="78" spans="1:18" x14ac:dyDescent="0.3">
      <c r="A78" t="s">
        <v>3</v>
      </c>
      <c r="B78" s="1">
        <v>45110</v>
      </c>
      <c r="C78" t="s">
        <v>8</v>
      </c>
      <c r="D78" t="s">
        <v>14</v>
      </c>
      <c r="E78">
        <v>2</v>
      </c>
      <c r="F78">
        <v>15.6</v>
      </c>
      <c r="G78">
        <v>0</v>
      </c>
      <c r="H78">
        <f t="shared" si="16"/>
        <v>1.4000000000000004</v>
      </c>
      <c r="I78">
        <f t="shared" si="19"/>
        <v>1.4000000000000004</v>
      </c>
      <c r="J78">
        <f t="shared" si="20"/>
        <v>17</v>
      </c>
      <c r="K78">
        <f t="shared" si="9"/>
        <v>1.1999999999999993</v>
      </c>
      <c r="L78">
        <f t="shared" si="14"/>
        <v>53.299999999999983</v>
      </c>
      <c r="M78">
        <f t="shared" si="17"/>
        <v>0.98360655737704927</v>
      </c>
      <c r="N78">
        <v>38</v>
      </c>
      <c r="O78">
        <f t="shared" si="10"/>
        <v>7.5</v>
      </c>
      <c r="P78">
        <f t="shared" si="11"/>
        <v>1575</v>
      </c>
      <c r="Q78">
        <f t="shared" si="18"/>
        <v>0</v>
      </c>
      <c r="R78">
        <v>0</v>
      </c>
    </row>
    <row r="79" spans="1:18" s="2" customFormat="1" x14ac:dyDescent="0.3">
      <c r="A79" s="2" t="s">
        <v>4</v>
      </c>
      <c r="B79" s="3">
        <v>45111</v>
      </c>
      <c r="C79" s="2" t="s">
        <v>8</v>
      </c>
      <c r="D79" s="2" t="s">
        <v>14</v>
      </c>
      <c r="E79" s="2">
        <v>2</v>
      </c>
      <c r="F79" s="2">
        <v>15.8</v>
      </c>
      <c r="G79" s="2">
        <v>0</v>
      </c>
      <c r="H79" s="2">
        <f t="shared" si="16"/>
        <v>1.1999999999999993</v>
      </c>
      <c r="I79" s="2">
        <f t="shared" si="19"/>
        <v>1.1999999999999993</v>
      </c>
      <c r="J79" s="2">
        <f t="shared" si="20"/>
        <v>17</v>
      </c>
      <c r="P79"/>
      <c r="Q79">
        <f t="shared" si="18"/>
        <v>0</v>
      </c>
      <c r="R79">
        <v>0</v>
      </c>
    </row>
    <row r="80" spans="1:18" x14ac:dyDescent="0.3">
      <c r="A80" t="s">
        <v>1</v>
      </c>
      <c r="B80" s="1">
        <v>45073</v>
      </c>
      <c r="C80" t="s">
        <v>8</v>
      </c>
      <c r="D80" t="s">
        <v>14</v>
      </c>
      <c r="E80">
        <v>3</v>
      </c>
      <c r="F80">
        <v>17</v>
      </c>
      <c r="G80">
        <v>0</v>
      </c>
      <c r="H80">
        <f t="shared" si="16"/>
        <v>0</v>
      </c>
      <c r="I80">
        <f>H80+G80</f>
        <v>0</v>
      </c>
      <c r="J80">
        <f>I80+F80</f>
        <v>17</v>
      </c>
      <c r="K80">
        <f>J80-F81</f>
        <v>0.5</v>
      </c>
      <c r="M80">
        <f t="shared" si="17"/>
        <v>0.98360655737704927</v>
      </c>
      <c r="N80">
        <v>1</v>
      </c>
      <c r="O80">
        <v>2.5</v>
      </c>
      <c r="P80">
        <f>O80*210</f>
        <v>525</v>
      </c>
      <c r="Q80">
        <f t="shared" si="18"/>
        <v>0</v>
      </c>
      <c r="R80">
        <v>0</v>
      </c>
    </row>
    <row r="81" spans="1:18" x14ac:dyDescent="0.3">
      <c r="A81" t="s">
        <v>2</v>
      </c>
      <c r="B81" s="1">
        <v>45074</v>
      </c>
      <c r="C81" t="s">
        <v>8</v>
      </c>
      <c r="D81" t="s">
        <v>14</v>
      </c>
      <c r="E81">
        <v>3</v>
      </c>
      <c r="F81">
        <v>16.5</v>
      </c>
      <c r="G81">
        <v>0</v>
      </c>
      <c r="H81">
        <f t="shared" si="16"/>
        <v>0.5</v>
      </c>
      <c r="I81">
        <f>H81+G81</f>
        <v>0.5</v>
      </c>
      <c r="J81">
        <f>I81+F81</f>
        <v>17</v>
      </c>
      <c r="K81">
        <f t="shared" ref="K81:K117" si="21">J81-F82</f>
        <v>0.5</v>
      </c>
      <c r="L81">
        <f>K80+K81</f>
        <v>1</v>
      </c>
      <c r="M81">
        <f t="shared" si="17"/>
        <v>0.98360655737704927</v>
      </c>
      <c r="N81">
        <v>2</v>
      </c>
      <c r="O81">
        <f t="shared" ref="O81:O117" si="22">O80+G81</f>
        <v>2.5</v>
      </c>
      <c r="P81">
        <f t="shared" ref="P81:P117" si="23">O81*210</f>
        <v>525</v>
      </c>
      <c r="Q81">
        <f t="shared" si="18"/>
        <v>0</v>
      </c>
      <c r="R81">
        <v>0</v>
      </c>
    </row>
    <row r="82" spans="1:18" x14ac:dyDescent="0.3">
      <c r="A82" t="s">
        <v>3</v>
      </c>
      <c r="B82" s="1">
        <v>45075</v>
      </c>
      <c r="C82" t="s">
        <v>8</v>
      </c>
      <c r="D82" t="s">
        <v>14</v>
      </c>
      <c r="E82">
        <v>3</v>
      </c>
      <c r="F82">
        <v>16.5</v>
      </c>
      <c r="G82">
        <v>0.25</v>
      </c>
      <c r="H82">
        <f t="shared" si="16"/>
        <v>0.25</v>
      </c>
      <c r="I82">
        <f>H82+G82</f>
        <v>0.5</v>
      </c>
      <c r="J82">
        <f>I82+F82</f>
        <v>17</v>
      </c>
      <c r="K82">
        <f t="shared" si="21"/>
        <v>0.69999999999999929</v>
      </c>
      <c r="L82">
        <f>L81+K82</f>
        <v>1.6999999999999993</v>
      </c>
      <c r="M82">
        <f t="shared" si="17"/>
        <v>0.98360655737704927</v>
      </c>
      <c r="N82">
        <v>3</v>
      </c>
      <c r="O82">
        <f t="shared" si="22"/>
        <v>2.75</v>
      </c>
      <c r="P82">
        <f t="shared" si="23"/>
        <v>577.5</v>
      </c>
      <c r="Q82">
        <f t="shared" si="18"/>
        <v>0</v>
      </c>
      <c r="R82">
        <v>0</v>
      </c>
    </row>
    <row r="83" spans="1:18" x14ac:dyDescent="0.3">
      <c r="A83" t="s">
        <v>4</v>
      </c>
      <c r="B83" s="1">
        <v>45076</v>
      </c>
      <c r="C83" t="s">
        <v>8</v>
      </c>
      <c r="D83" t="s">
        <v>14</v>
      </c>
      <c r="E83">
        <v>3</v>
      </c>
      <c r="F83">
        <v>16.3</v>
      </c>
      <c r="G83">
        <v>0.25</v>
      </c>
      <c r="H83">
        <f t="shared" si="16"/>
        <v>0.44999999999999929</v>
      </c>
      <c r="I83">
        <f t="shared" ref="I83:I94" si="24">H83+G83</f>
        <v>0.69999999999999929</v>
      </c>
      <c r="J83">
        <f t="shared" ref="J83:J110" si="25">I83+F83</f>
        <v>17</v>
      </c>
      <c r="K83">
        <f t="shared" si="21"/>
        <v>1</v>
      </c>
      <c r="L83">
        <f t="shared" ref="L83:L117" si="26">L82+K83</f>
        <v>2.6999999999999993</v>
      </c>
      <c r="M83">
        <f t="shared" si="17"/>
        <v>0.98360655737704927</v>
      </c>
      <c r="N83">
        <v>4</v>
      </c>
      <c r="O83">
        <f t="shared" si="22"/>
        <v>3</v>
      </c>
      <c r="P83">
        <f t="shared" si="23"/>
        <v>630</v>
      </c>
      <c r="Q83">
        <f t="shared" si="18"/>
        <v>0</v>
      </c>
      <c r="R83">
        <v>0</v>
      </c>
    </row>
    <row r="84" spans="1:18" x14ac:dyDescent="0.3">
      <c r="A84" t="s">
        <v>5</v>
      </c>
      <c r="B84" s="1">
        <v>45077</v>
      </c>
      <c r="C84" t="s">
        <v>8</v>
      </c>
      <c r="D84" t="s">
        <v>14</v>
      </c>
      <c r="E84">
        <v>3</v>
      </c>
      <c r="F84">
        <v>16</v>
      </c>
      <c r="G84">
        <v>0</v>
      </c>
      <c r="H84">
        <f t="shared" si="16"/>
        <v>1</v>
      </c>
      <c r="I84">
        <f t="shared" si="24"/>
        <v>1</v>
      </c>
      <c r="J84">
        <f t="shared" si="25"/>
        <v>17</v>
      </c>
      <c r="K84">
        <f t="shared" si="21"/>
        <v>0.60000000000000142</v>
      </c>
      <c r="L84">
        <f t="shared" si="26"/>
        <v>3.3000000000000007</v>
      </c>
      <c r="M84">
        <f t="shared" si="17"/>
        <v>0.98360655737704927</v>
      </c>
      <c r="N84">
        <v>5</v>
      </c>
      <c r="O84">
        <f t="shared" si="22"/>
        <v>3</v>
      </c>
      <c r="P84">
        <f t="shared" si="23"/>
        <v>630</v>
      </c>
      <c r="Q84">
        <f t="shared" si="18"/>
        <v>0</v>
      </c>
      <c r="R84">
        <v>0</v>
      </c>
    </row>
    <row r="85" spans="1:18" x14ac:dyDescent="0.3">
      <c r="A85" t="s">
        <v>6</v>
      </c>
      <c r="B85" s="1">
        <v>45078</v>
      </c>
      <c r="C85" t="s">
        <v>8</v>
      </c>
      <c r="D85" t="s">
        <v>14</v>
      </c>
      <c r="E85">
        <v>3</v>
      </c>
      <c r="F85">
        <v>16.399999999999999</v>
      </c>
      <c r="G85">
        <v>0.25</v>
      </c>
      <c r="H85">
        <f t="shared" si="16"/>
        <v>0.35000000000000142</v>
      </c>
      <c r="I85">
        <f t="shared" si="24"/>
        <v>0.60000000000000142</v>
      </c>
      <c r="J85">
        <f t="shared" si="25"/>
        <v>17</v>
      </c>
      <c r="K85">
        <f t="shared" si="21"/>
        <v>0.60000000000000142</v>
      </c>
      <c r="L85">
        <f t="shared" si="26"/>
        <v>3.9000000000000021</v>
      </c>
      <c r="M85">
        <f t="shared" si="17"/>
        <v>0.98360655737704927</v>
      </c>
      <c r="N85">
        <v>6</v>
      </c>
      <c r="O85">
        <f t="shared" si="22"/>
        <v>3.25</v>
      </c>
      <c r="P85">
        <f t="shared" si="23"/>
        <v>682.5</v>
      </c>
      <c r="Q85">
        <f t="shared" si="18"/>
        <v>0</v>
      </c>
      <c r="R85">
        <v>0</v>
      </c>
    </row>
    <row r="86" spans="1:18" x14ac:dyDescent="0.3">
      <c r="A86" t="s">
        <v>0</v>
      </c>
      <c r="B86" s="1">
        <v>45079</v>
      </c>
      <c r="C86" t="s">
        <v>8</v>
      </c>
      <c r="D86" t="s">
        <v>14</v>
      </c>
      <c r="E86">
        <v>3</v>
      </c>
      <c r="F86">
        <v>16.399999999999999</v>
      </c>
      <c r="G86">
        <v>0.25</v>
      </c>
      <c r="H86">
        <f t="shared" si="16"/>
        <v>0.35000000000000142</v>
      </c>
      <c r="I86">
        <f t="shared" si="24"/>
        <v>0.60000000000000142</v>
      </c>
      <c r="J86">
        <f t="shared" si="25"/>
        <v>17</v>
      </c>
      <c r="K86">
        <f t="shared" si="21"/>
        <v>0.10000000000000142</v>
      </c>
      <c r="L86">
        <f t="shared" si="26"/>
        <v>4.0000000000000036</v>
      </c>
      <c r="M86">
        <f t="shared" si="17"/>
        <v>0.98360655737704927</v>
      </c>
      <c r="N86">
        <v>7</v>
      </c>
      <c r="O86">
        <f t="shared" si="22"/>
        <v>3.5</v>
      </c>
      <c r="P86">
        <f t="shared" si="23"/>
        <v>735</v>
      </c>
      <c r="Q86">
        <f t="shared" si="18"/>
        <v>0</v>
      </c>
      <c r="R86">
        <v>0</v>
      </c>
    </row>
    <row r="87" spans="1:18" x14ac:dyDescent="0.3">
      <c r="A87" t="s">
        <v>1</v>
      </c>
      <c r="B87" s="1">
        <v>45080</v>
      </c>
      <c r="C87" t="s">
        <v>8</v>
      </c>
      <c r="D87" t="s">
        <v>14</v>
      </c>
      <c r="E87">
        <v>3</v>
      </c>
      <c r="F87">
        <v>16.899999999999999</v>
      </c>
      <c r="G87">
        <v>0</v>
      </c>
      <c r="H87">
        <f t="shared" si="16"/>
        <v>0.10000000000000142</v>
      </c>
      <c r="I87">
        <f t="shared" si="24"/>
        <v>0.10000000000000142</v>
      </c>
      <c r="J87">
        <f t="shared" si="25"/>
        <v>17</v>
      </c>
      <c r="K87">
        <f t="shared" si="21"/>
        <v>0.60000000000000142</v>
      </c>
      <c r="L87">
        <f t="shared" si="26"/>
        <v>4.600000000000005</v>
      </c>
      <c r="M87">
        <f t="shared" si="17"/>
        <v>0.98360655737704927</v>
      </c>
      <c r="N87">
        <v>8</v>
      </c>
      <c r="O87">
        <f t="shared" si="22"/>
        <v>3.5</v>
      </c>
      <c r="P87">
        <f t="shared" si="23"/>
        <v>735</v>
      </c>
      <c r="Q87">
        <f t="shared" si="18"/>
        <v>0</v>
      </c>
      <c r="R87">
        <v>0</v>
      </c>
    </row>
    <row r="88" spans="1:18" x14ac:dyDescent="0.3">
      <c r="A88" t="s">
        <v>2</v>
      </c>
      <c r="B88" s="1">
        <v>45081</v>
      </c>
      <c r="C88" t="s">
        <v>8</v>
      </c>
      <c r="D88" t="s">
        <v>14</v>
      </c>
      <c r="E88">
        <v>3</v>
      </c>
      <c r="F88">
        <v>16.399999999999999</v>
      </c>
      <c r="G88">
        <v>0</v>
      </c>
      <c r="H88">
        <f t="shared" si="16"/>
        <v>0.60000000000000142</v>
      </c>
      <c r="I88">
        <f t="shared" si="24"/>
        <v>0.60000000000000142</v>
      </c>
      <c r="J88">
        <f t="shared" si="25"/>
        <v>17</v>
      </c>
      <c r="K88">
        <f t="shared" si="21"/>
        <v>0.69999999999999929</v>
      </c>
      <c r="L88">
        <f t="shared" si="26"/>
        <v>5.3000000000000043</v>
      </c>
      <c r="M88">
        <f t="shared" si="17"/>
        <v>0.98360655737704927</v>
      </c>
      <c r="N88">
        <v>9</v>
      </c>
      <c r="O88">
        <f t="shared" si="22"/>
        <v>3.5</v>
      </c>
      <c r="P88">
        <f t="shared" si="23"/>
        <v>735</v>
      </c>
      <c r="Q88">
        <f t="shared" si="18"/>
        <v>0</v>
      </c>
      <c r="R88">
        <v>0</v>
      </c>
    </row>
    <row r="89" spans="1:18" x14ac:dyDescent="0.3">
      <c r="A89" t="s">
        <v>3</v>
      </c>
      <c r="B89" s="1">
        <v>45082</v>
      </c>
      <c r="C89" t="s">
        <v>8</v>
      </c>
      <c r="D89" t="s">
        <v>14</v>
      </c>
      <c r="E89">
        <v>3</v>
      </c>
      <c r="F89">
        <v>16.3</v>
      </c>
      <c r="G89">
        <v>0.25</v>
      </c>
      <c r="H89">
        <f t="shared" si="16"/>
        <v>0.44999999999999929</v>
      </c>
      <c r="I89">
        <f t="shared" si="24"/>
        <v>0.69999999999999929</v>
      </c>
      <c r="J89">
        <f t="shared" si="25"/>
        <v>17</v>
      </c>
      <c r="K89">
        <f t="shared" si="21"/>
        <v>0.5</v>
      </c>
      <c r="L89">
        <f t="shared" si="26"/>
        <v>5.8000000000000043</v>
      </c>
      <c r="M89">
        <f t="shared" si="17"/>
        <v>0.98360655737704927</v>
      </c>
      <c r="N89">
        <v>10</v>
      </c>
      <c r="O89">
        <f t="shared" si="22"/>
        <v>3.75</v>
      </c>
      <c r="P89">
        <f t="shared" si="23"/>
        <v>787.5</v>
      </c>
      <c r="Q89">
        <f t="shared" si="18"/>
        <v>0</v>
      </c>
      <c r="R89">
        <v>0</v>
      </c>
    </row>
    <row r="90" spans="1:18" x14ac:dyDescent="0.3">
      <c r="A90" t="s">
        <v>4</v>
      </c>
      <c r="B90" s="1">
        <v>45083</v>
      </c>
      <c r="C90" t="s">
        <v>8</v>
      </c>
      <c r="D90" t="s">
        <v>14</v>
      </c>
      <c r="E90">
        <v>3</v>
      </c>
      <c r="F90">
        <v>16.5</v>
      </c>
      <c r="G90">
        <v>0.25</v>
      </c>
      <c r="H90">
        <f t="shared" si="16"/>
        <v>0.25</v>
      </c>
      <c r="I90">
        <f t="shared" si="24"/>
        <v>0.5</v>
      </c>
      <c r="J90">
        <f t="shared" si="25"/>
        <v>17</v>
      </c>
      <c r="K90">
        <f t="shared" si="21"/>
        <v>1.0999999999999996</v>
      </c>
      <c r="L90">
        <f t="shared" si="26"/>
        <v>6.9000000000000039</v>
      </c>
      <c r="M90">
        <f t="shared" si="17"/>
        <v>0.98360655737704927</v>
      </c>
      <c r="N90">
        <v>11</v>
      </c>
      <c r="O90">
        <f t="shared" si="22"/>
        <v>4</v>
      </c>
      <c r="P90">
        <f t="shared" si="23"/>
        <v>840</v>
      </c>
      <c r="Q90">
        <f t="shared" si="18"/>
        <v>0</v>
      </c>
      <c r="R90">
        <v>0</v>
      </c>
    </row>
    <row r="91" spans="1:18" x14ac:dyDescent="0.3">
      <c r="A91" t="s">
        <v>5</v>
      </c>
      <c r="B91" s="1">
        <v>45084</v>
      </c>
      <c r="C91" t="s">
        <v>8</v>
      </c>
      <c r="D91" t="s">
        <v>14</v>
      </c>
      <c r="E91">
        <v>3</v>
      </c>
      <c r="F91">
        <v>15.9</v>
      </c>
      <c r="G91">
        <v>0</v>
      </c>
      <c r="H91">
        <f t="shared" si="16"/>
        <v>1.0999999999999996</v>
      </c>
      <c r="I91">
        <f t="shared" si="24"/>
        <v>1.0999999999999996</v>
      </c>
      <c r="J91">
        <f t="shared" si="25"/>
        <v>17</v>
      </c>
      <c r="K91">
        <f t="shared" si="21"/>
        <v>0.89999999999999858</v>
      </c>
      <c r="L91">
        <f t="shared" si="26"/>
        <v>7.8000000000000025</v>
      </c>
      <c r="M91">
        <f t="shared" si="17"/>
        <v>0.98360655737704927</v>
      </c>
      <c r="N91">
        <v>12</v>
      </c>
      <c r="O91">
        <f t="shared" si="22"/>
        <v>4</v>
      </c>
      <c r="P91">
        <f t="shared" si="23"/>
        <v>840</v>
      </c>
      <c r="Q91">
        <f t="shared" si="18"/>
        <v>0</v>
      </c>
      <c r="R91">
        <v>0</v>
      </c>
    </row>
    <row r="92" spans="1:18" x14ac:dyDescent="0.3">
      <c r="A92" t="s">
        <v>6</v>
      </c>
      <c r="B92" s="1">
        <v>45085</v>
      </c>
      <c r="C92" t="s">
        <v>8</v>
      </c>
      <c r="D92" t="s">
        <v>14</v>
      </c>
      <c r="E92">
        <v>3</v>
      </c>
      <c r="F92">
        <v>16.100000000000001</v>
      </c>
      <c r="G92">
        <v>0.25</v>
      </c>
      <c r="H92">
        <f t="shared" si="16"/>
        <v>0.64999999999999858</v>
      </c>
      <c r="I92">
        <f t="shared" si="24"/>
        <v>0.89999999999999858</v>
      </c>
      <c r="J92">
        <f t="shared" si="25"/>
        <v>17</v>
      </c>
      <c r="K92">
        <f t="shared" si="21"/>
        <v>1</v>
      </c>
      <c r="L92">
        <f t="shared" si="26"/>
        <v>8.8000000000000025</v>
      </c>
      <c r="M92">
        <f t="shared" si="17"/>
        <v>0.98360655737704927</v>
      </c>
      <c r="N92">
        <v>13</v>
      </c>
      <c r="O92">
        <f t="shared" si="22"/>
        <v>4.25</v>
      </c>
      <c r="P92">
        <f t="shared" si="23"/>
        <v>892.5</v>
      </c>
      <c r="Q92">
        <f t="shared" si="18"/>
        <v>0</v>
      </c>
      <c r="R92">
        <v>0</v>
      </c>
    </row>
    <row r="93" spans="1:18" x14ac:dyDescent="0.3">
      <c r="A93" t="s">
        <v>0</v>
      </c>
      <c r="B93" s="1">
        <v>45086</v>
      </c>
      <c r="C93" t="s">
        <v>8</v>
      </c>
      <c r="D93" t="s">
        <v>14</v>
      </c>
      <c r="E93">
        <v>3</v>
      </c>
      <c r="F93">
        <v>16</v>
      </c>
      <c r="G93">
        <v>0.25</v>
      </c>
      <c r="H93">
        <f t="shared" si="16"/>
        <v>0.75</v>
      </c>
      <c r="I93">
        <f t="shared" si="24"/>
        <v>1</v>
      </c>
      <c r="J93">
        <f t="shared" si="25"/>
        <v>17</v>
      </c>
      <c r="K93">
        <f t="shared" si="21"/>
        <v>1.0999999999999996</v>
      </c>
      <c r="L93">
        <f t="shared" si="26"/>
        <v>9.9000000000000021</v>
      </c>
      <c r="M93">
        <f t="shared" si="17"/>
        <v>0.98360655737704927</v>
      </c>
      <c r="N93">
        <v>14</v>
      </c>
      <c r="O93">
        <f t="shared" si="22"/>
        <v>4.5</v>
      </c>
      <c r="P93">
        <f t="shared" si="23"/>
        <v>945</v>
      </c>
      <c r="Q93">
        <f t="shared" si="18"/>
        <v>0</v>
      </c>
      <c r="R93">
        <v>0</v>
      </c>
    </row>
    <row r="94" spans="1:18" x14ac:dyDescent="0.3">
      <c r="A94" t="s">
        <v>1</v>
      </c>
      <c r="B94" s="1">
        <v>45087</v>
      </c>
      <c r="C94" t="s">
        <v>8</v>
      </c>
      <c r="D94" t="s">
        <v>14</v>
      </c>
      <c r="E94">
        <v>3</v>
      </c>
      <c r="F94">
        <v>15.9</v>
      </c>
      <c r="G94">
        <v>0</v>
      </c>
      <c r="H94">
        <f t="shared" si="16"/>
        <v>1.0999999999999996</v>
      </c>
      <c r="I94">
        <f t="shared" si="24"/>
        <v>1.0999999999999996</v>
      </c>
      <c r="J94">
        <f t="shared" si="25"/>
        <v>17</v>
      </c>
      <c r="K94">
        <f t="shared" si="21"/>
        <v>1.4000000000000004</v>
      </c>
      <c r="L94">
        <f t="shared" si="26"/>
        <v>11.300000000000002</v>
      </c>
      <c r="M94">
        <f t="shared" si="17"/>
        <v>0.98360655737704927</v>
      </c>
      <c r="N94">
        <v>15</v>
      </c>
      <c r="O94">
        <f t="shared" si="22"/>
        <v>4.5</v>
      </c>
      <c r="P94">
        <f t="shared" si="23"/>
        <v>945</v>
      </c>
      <c r="Q94">
        <f t="shared" si="18"/>
        <v>0</v>
      </c>
      <c r="R94">
        <v>0</v>
      </c>
    </row>
    <row r="95" spans="1:18" x14ac:dyDescent="0.3">
      <c r="A95" t="s">
        <v>2</v>
      </c>
      <c r="B95" s="1">
        <v>45088</v>
      </c>
      <c r="C95" t="s">
        <v>8</v>
      </c>
      <c r="D95" t="s">
        <v>14</v>
      </c>
      <c r="E95">
        <v>3</v>
      </c>
      <c r="F95">
        <v>15.6</v>
      </c>
      <c r="G95">
        <v>0</v>
      </c>
      <c r="H95">
        <f t="shared" si="16"/>
        <v>1.4000000000000004</v>
      </c>
      <c r="I95">
        <f>H95+G95</f>
        <v>1.4000000000000004</v>
      </c>
      <c r="J95">
        <f t="shared" si="25"/>
        <v>17</v>
      </c>
      <c r="K95">
        <f t="shared" si="21"/>
        <v>1.0999999999999996</v>
      </c>
      <c r="L95">
        <f t="shared" si="26"/>
        <v>12.400000000000002</v>
      </c>
      <c r="M95">
        <f t="shared" si="17"/>
        <v>0.98360655737704927</v>
      </c>
      <c r="N95">
        <v>16</v>
      </c>
      <c r="O95">
        <f t="shared" si="22"/>
        <v>4.5</v>
      </c>
      <c r="P95">
        <f t="shared" si="23"/>
        <v>945</v>
      </c>
      <c r="Q95">
        <f t="shared" si="18"/>
        <v>0</v>
      </c>
      <c r="R95">
        <v>0</v>
      </c>
    </row>
    <row r="96" spans="1:18" x14ac:dyDescent="0.3">
      <c r="A96" t="s">
        <v>3</v>
      </c>
      <c r="B96" s="1">
        <v>45089</v>
      </c>
      <c r="C96" t="s">
        <v>8</v>
      </c>
      <c r="D96" t="s">
        <v>14</v>
      </c>
      <c r="E96">
        <v>3</v>
      </c>
      <c r="F96">
        <v>15.9</v>
      </c>
      <c r="G96">
        <v>0.5</v>
      </c>
      <c r="H96">
        <f t="shared" si="16"/>
        <v>0.59999999999999964</v>
      </c>
      <c r="I96">
        <f t="shared" ref="I96:I106" si="27">H96+G96</f>
        <v>1.0999999999999996</v>
      </c>
      <c r="J96">
        <f t="shared" si="25"/>
        <v>17</v>
      </c>
      <c r="K96">
        <f t="shared" si="21"/>
        <v>0.5</v>
      </c>
      <c r="L96">
        <f t="shared" si="26"/>
        <v>12.900000000000002</v>
      </c>
      <c r="M96">
        <f t="shared" si="17"/>
        <v>0.98360655737704927</v>
      </c>
      <c r="N96">
        <v>17</v>
      </c>
      <c r="O96">
        <f t="shared" si="22"/>
        <v>5</v>
      </c>
      <c r="P96">
        <f t="shared" si="23"/>
        <v>1050</v>
      </c>
      <c r="Q96">
        <f t="shared" si="18"/>
        <v>0</v>
      </c>
      <c r="R96">
        <v>0</v>
      </c>
    </row>
    <row r="97" spans="1:18" x14ac:dyDescent="0.3">
      <c r="A97" t="s">
        <v>4</v>
      </c>
      <c r="B97" s="1">
        <v>45090</v>
      </c>
      <c r="C97" t="s">
        <v>8</v>
      </c>
      <c r="D97" t="s">
        <v>14</v>
      </c>
      <c r="E97">
        <v>3</v>
      </c>
      <c r="F97">
        <v>16.5</v>
      </c>
      <c r="G97">
        <v>0</v>
      </c>
      <c r="H97">
        <f t="shared" si="16"/>
        <v>0.5</v>
      </c>
      <c r="I97">
        <f t="shared" si="27"/>
        <v>0.5</v>
      </c>
      <c r="J97">
        <f t="shared" si="25"/>
        <v>17</v>
      </c>
      <c r="K97">
        <f t="shared" si="21"/>
        <v>0.80000000000000071</v>
      </c>
      <c r="L97">
        <f t="shared" si="26"/>
        <v>13.700000000000003</v>
      </c>
      <c r="M97">
        <f t="shared" si="17"/>
        <v>0.98360655737704927</v>
      </c>
      <c r="N97">
        <v>18</v>
      </c>
      <c r="O97">
        <f t="shared" si="22"/>
        <v>5</v>
      </c>
      <c r="P97">
        <f t="shared" si="23"/>
        <v>1050</v>
      </c>
      <c r="Q97">
        <f t="shared" si="18"/>
        <v>0</v>
      </c>
      <c r="R97">
        <v>0</v>
      </c>
    </row>
    <row r="98" spans="1:18" x14ac:dyDescent="0.3">
      <c r="A98" t="s">
        <v>5</v>
      </c>
      <c r="B98" s="1">
        <v>45091</v>
      </c>
      <c r="C98" t="s">
        <v>8</v>
      </c>
      <c r="D98" t="s">
        <v>14</v>
      </c>
      <c r="E98">
        <v>3</v>
      </c>
      <c r="F98">
        <v>16.2</v>
      </c>
      <c r="G98">
        <v>0</v>
      </c>
      <c r="H98">
        <f t="shared" si="16"/>
        <v>0.80000000000000071</v>
      </c>
      <c r="I98">
        <f t="shared" si="27"/>
        <v>0.80000000000000071</v>
      </c>
      <c r="J98">
        <f t="shared" si="25"/>
        <v>17</v>
      </c>
      <c r="K98">
        <f t="shared" si="21"/>
        <v>1.0999999999999996</v>
      </c>
      <c r="L98">
        <f t="shared" si="26"/>
        <v>14.800000000000002</v>
      </c>
      <c r="M98">
        <f t="shared" si="17"/>
        <v>0.98360655737704927</v>
      </c>
      <c r="N98">
        <v>19</v>
      </c>
      <c r="O98">
        <f t="shared" si="22"/>
        <v>5</v>
      </c>
      <c r="P98">
        <f t="shared" si="23"/>
        <v>1050</v>
      </c>
      <c r="Q98">
        <f t="shared" si="18"/>
        <v>0</v>
      </c>
      <c r="R98">
        <v>0</v>
      </c>
    </row>
    <row r="99" spans="1:18" x14ac:dyDescent="0.3">
      <c r="A99" t="s">
        <v>6</v>
      </c>
      <c r="B99" s="1">
        <v>45092</v>
      </c>
      <c r="C99" t="s">
        <v>8</v>
      </c>
      <c r="D99" t="s">
        <v>14</v>
      </c>
      <c r="E99">
        <v>3</v>
      </c>
      <c r="F99">
        <v>15.9</v>
      </c>
      <c r="G99">
        <v>0.5</v>
      </c>
      <c r="H99">
        <f t="shared" si="16"/>
        <v>0.59999999999999964</v>
      </c>
      <c r="I99">
        <f t="shared" si="27"/>
        <v>1.0999999999999996</v>
      </c>
      <c r="J99">
        <f t="shared" si="25"/>
        <v>17</v>
      </c>
      <c r="K99">
        <f t="shared" si="21"/>
        <v>1.3000000000000007</v>
      </c>
      <c r="L99">
        <f t="shared" si="26"/>
        <v>16.100000000000001</v>
      </c>
      <c r="M99">
        <f t="shared" si="17"/>
        <v>0.98360655737704927</v>
      </c>
      <c r="N99">
        <v>20</v>
      </c>
      <c r="O99">
        <f t="shared" si="22"/>
        <v>5.5</v>
      </c>
      <c r="P99">
        <f t="shared" si="23"/>
        <v>1155</v>
      </c>
      <c r="Q99">
        <f t="shared" si="18"/>
        <v>0</v>
      </c>
      <c r="R99">
        <v>0</v>
      </c>
    </row>
    <row r="100" spans="1:18" x14ac:dyDescent="0.3">
      <c r="A100" t="s">
        <v>0</v>
      </c>
      <c r="B100" s="1">
        <v>45093</v>
      </c>
      <c r="C100" t="s">
        <v>8</v>
      </c>
      <c r="D100" t="s">
        <v>14</v>
      </c>
      <c r="E100">
        <v>3</v>
      </c>
      <c r="F100">
        <v>15.7</v>
      </c>
      <c r="G100">
        <v>0</v>
      </c>
      <c r="H100">
        <f t="shared" si="16"/>
        <v>1.3000000000000007</v>
      </c>
      <c r="I100">
        <f t="shared" si="27"/>
        <v>1.3000000000000007</v>
      </c>
      <c r="J100">
        <f t="shared" si="25"/>
        <v>17</v>
      </c>
      <c r="K100">
        <f t="shared" si="21"/>
        <v>1.0999999999999996</v>
      </c>
      <c r="L100">
        <f t="shared" si="26"/>
        <v>17.200000000000003</v>
      </c>
      <c r="M100">
        <f t="shared" si="17"/>
        <v>0.98360655737704927</v>
      </c>
      <c r="N100">
        <v>21</v>
      </c>
      <c r="O100">
        <f t="shared" si="22"/>
        <v>5.5</v>
      </c>
      <c r="P100">
        <f t="shared" si="23"/>
        <v>1155</v>
      </c>
      <c r="Q100">
        <f t="shared" si="18"/>
        <v>0</v>
      </c>
      <c r="R100">
        <v>0</v>
      </c>
    </row>
    <row r="101" spans="1:18" x14ac:dyDescent="0.3">
      <c r="A101" t="s">
        <v>1</v>
      </c>
      <c r="B101" s="1">
        <v>45094</v>
      </c>
      <c r="C101" t="s">
        <v>8</v>
      </c>
      <c r="D101" t="s">
        <v>14</v>
      </c>
      <c r="E101">
        <v>3</v>
      </c>
      <c r="F101">
        <v>15.9</v>
      </c>
      <c r="G101">
        <v>0</v>
      </c>
      <c r="H101">
        <f t="shared" si="16"/>
        <v>1.0999999999999996</v>
      </c>
      <c r="I101">
        <f t="shared" si="27"/>
        <v>1.0999999999999996</v>
      </c>
      <c r="J101">
        <f t="shared" si="25"/>
        <v>17</v>
      </c>
      <c r="K101">
        <f t="shared" si="21"/>
        <v>0.60000000000000142</v>
      </c>
      <c r="L101">
        <f t="shared" si="26"/>
        <v>17.800000000000004</v>
      </c>
      <c r="M101">
        <f t="shared" si="17"/>
        <v>0.98360655737704927</v>
      </c>
      <c r="N101">
        <v>22</v>
      </c>
      <c r="O101">
        <f t="shared" si="22"/>
        <v>5.5</v>
      </c>
      <c r="P101">
        <f t="shared" si="23"/>
        <v>1155</v>
      </c>
      <c r="Q101">
        <f t="shared" si="18"/>
        <v>0</v>
      </c>
      <c r="R101">
        <v>0</v>
      </c>
    </row>
    <row r="102" spans="1:18" x14ac:dyDescent="0.3">
      <c r="A102" t="s">
        <v>2</v>
      </c>
      <c r="B102" s="1">
        <v>45095</v>
      </c>
      <c r="C102" t="s">
        <v>8</v>
      </c>
      <c r="D102" t="s">
        <v>14</v>
      </c>
      <c r="E102">
        <v>3</v>
      </c>
      <c r="F102">
        <v>16.399999999999999</v>
      </c>
      <c r="G102">
        <v>0</v>
      </c>
      <c r="H102">
        <f t="shared" si="16"/>
        <v>0.60000000000000142</v>
      </c>
      <c r="I102">
        <f t="shared" si="27"/>
        <v>0.60000000000000142</v>
      </c>
      <c r="J102">
        <f t="shared" si="25"/>
        <v>17</v>
      </c>
      <c r="K102">
        <f t="shared" si="21"/>
        <v>1.1999999999999993</v>
      </c>
      <c r="L102">
        <f t="shared" si="26"/>
        <v>19.000000000000004</v>
      </c>
      <c r="M102">
        <f t="shared" si="17"/>
        <v>0.98360655737704927</v>
      </c>
      <c r="N102">
        <v>23</v>
      </c>
      <c r="O102">
        <f t="shared" si="22"/>
        <v>5.5</v>
      </c>
      <c r="P102">
        <f t="shared" si="23"/>
        <v>1155</v>
      </c>
      <c r="Q102">
        <f t="shared" si="18"/>
        <v>0</v>
      </c>
      <c r="R102">
        <v>0</v>
      </c>
    </row>
    <row r="103" spans="1:18" x14ac:dyDescent="0.3">
      <c r="A103" t="s">
        <v>3</v>
      </c>
      <c r="B103" s="1">
        <v>45096</v>
      </c>
      <c r="C103" t="s">
        <v>8</v>
      </c>
      <c r="D103" t="s">
        <v>14</v>
      </c>
      <c r="E103">
        <v>3</v>
      </c>
      <c r="F103">
        <v>15.8</v>
      </c>
      <c r="G103">
        <v>0.5</v>
      </c>
      <c r="H103">
        <f t="shared" si="16"/>
        <v>0.69999999999999929</v>
      </c>
      <c r="I103">
        <f t="shared" si="27"/>
        <v>1.1999999999999993</v>
      </c>
      <c r="J103">
        <f t="shared" si="25"/>
        <v>17</v>
      </c>
      <c r="K103">
        <f t="shared" si="21"/>
        <v>1.3000000000000007</v>
      </c>
      <c r="L103">
        <f t="shared" si="26"/>
        <v>20.300000000000004</v>
      </c>
      <c r="M103">
        <f t="shared" si="17"/>
        <v>0.98360655737704927</v>
      </c>
      <c r="N103">
        <v>24</v>
      </c>
      <c r="O103">
        <f t="shared" si="22"/>
        <v>6</v>
      </c>
      <c r="P103">
        <f t="shared" si="23"/>
        <v>1260</v>
      </c>
      <c r="Q103">
        <f t="shared" si="18"/>
        <v>0</v>
      </c>
      <c r="R103">
        <v>0</v>
      </c>
    </row>
    <row r="104" spans="1:18" x14ac:dyDescent="0.3">
      <c r="A104" t="s">
        <v>4</v>
      </c>
      <c r="B104" s="1">
        <v>45097</v>
      </c>
      <c r="C104" t="s">
        <v>8</v>
      </c>
      <c r="D104" t="s">
        <v>14</v>
      </c>
      <c r="E104">
        <v>3</v>
      </c>
      <c r="F104">
        <v>15.7</v>
      </c>
      <c r="G104">
        <v>0</v>
      </c>
      <c r="H104">
        <f t="shared" si="16"/>
        <v>1.3000000000000007</v>
      </c>
      <c r="I104">
        <f t="shared" si="27"/>
        <v>1.3000000000000007</v>
      </c>
      <c r="J104">
        <f t="shared" si="25"/>
        <v>17</v>
      </c>
      <c r="K104">
        <f t="shared" si="21"/>
        <v>1.0999999999999996</v>
      </c>
      <c r="L104">
        <f t="shared" si="26"/>
        <v>21.400000000000006</v>
      </c>
      <c r="M104">
        <f t="shared" si="17"/>
        <v>0.98360655737704927</v>
      </c>
      <c r="N104">
        <v>25</v>
      </c>
      <c r="O104">
        <f t="shared" si="22"/>
        <v>6</v>
      </c>
      <c r="P104">
        <f t="shared" si="23"/>
        <v>1260</v>
      </c>
      <c r="Q104">
        <f t="shared" si="18"/>
        <v>0</v>
      </c>
      <c r="R104">
        <v>0</v>
      </c>
    </row>
    <row r="105" spans="1:18" x14ac:dyDescent="0.3">
      <c r="A105" t="s">
        <v>5</v>
      </c>
      <c r="B105" s="1">
        <v>45098</v>
      </c>
      <c r="C105" t="s">
        <v>8</v>
      </c>
      <c r="D105" t="s">
        <v>14</v>
      </c>
      <c r="E105">
        <v>3</v>
      </c>
      <c r="F105">
        <v>15.9</v>
      </c>
      <c r="G105">
        <v>0</v>
      </c>
      <c r="H105">
        <f t="shared" si="16"/>
        <v>1.0999999999999996</v>
      </c>
      <c r="I105">
        <f t="shared" si="27"/>
        <v>1.0999999999999996</v>
      </c>
      <c r="J105">
        <f t="shared" si="25"/>
        <v>17</v>
      </c>
      <c r="K105">
        <f t="shared" si="21"/>
        <v>1</v>
      </c>
      <c r="L105">
        <f t="shared" si="26"/>
        <v>22.400000000000006</v>
      </c>
      <c r="M105">
        <f t="shared" si="17"/>
        <v>0.98360655737704927</v>
      </c>
      <c r="N105">
        <v>26</v>
      </c>
      <c r="O105">
        <f t="shared" si="22"/>
        <v>6</v>
      </c>
      <c r="P105">
        <f t="shared" si="23"/>
        <v>1260</v>
      </c>
      <c r="Q105">
        <f t="shared" si="18"/>
        <v>0</v>
      </c>
      <c r="R105">
        <v>0</v>
      </c>
    </row>
    <row r="106" spans="1:18" x14ac:dyDescent="0.3">
      <c r="A106" t="s">
        <v>6</v>
      </c>
      <c r="B106" s="1">
        <v>45099</v>
      </c>
      <c r="C106" t="s">
        <v>8</v>
      </c>
      <c r="D106" t="s">
        <v>14</v>
      </c>
      <c r="E106">
        <v>3</v>
      </c>
      <c r="F106">
        <v>16</v>
      </c>
      <c r="G106">
        <v>0.5</v>
      </c>
      <c r="H106">
        <f t="shared" si="16"/>
        <v>0.5</v>
      </c>
      <c r="I106">
        <f t="shared" si="27"/>
        <v>1</v>
      </c>
      <c r="J106">
        <f t="shared" si="25"/>
        <v>17</v>
      </c>
      <c r="K106">
        <f t="shared" si="21"/>
        <v>0.69999999999999929</v>
      </c>
      <c r="L106">
        <f t="shared" si="26"/>
        <v>23.100000000000005</v>
      </c>
      <c r="M106">
        <f t="shared" si="17"/>
        <v>0.98360655737704927</v>
      </c>
      <c r="N106">
        <v>27</v>
      </c>
      <c r="O106">
        <f t="shared" si="22"/>
        <v>6.5</v>
      </c>
      <c r="P106">
        <f t="shared" si="23"/>
        <v>1365</v>
      </c>
      <c r="Q106">
        <f t="shared" si="18"/>
        <v>0</v>
      </c>
      <c r="R106">
        <v>0</v>
      </c>
    </row>
    <row r="107" spans="1:18" x14ac:dyDescent="0.3">
      <c r="A107" t="s">
        <v>0</v>
      </c>
      <c r="B107" s="1">
        <v>45100</v>
      </c>
      <c r="C107" t="s">
        <v>8</v>
      </c>
      <c r="D107" t="s">
        <v>14</v>
      </c>
      <c r="E107">
        <v>3</v>
      </c>
      <c r="F107">
        <v>16.3</v>
      </c>
      <c r="G107">
        <v>0</v>
      </c>
      <c r="H107">
        <f t="shared" si="16"/>
        <v>0.69999999999999929</v>
      </c>
      <c r="I107">
        <f>H107+G107</f>
        <v>0.69999999999999929</v>
      </c>
      <c r="J107">
        <f t="shared" si="25"/>
        <v>17</v>
      </c>
      <c r="K107">
        <f t="shared" si="21"/>
        <v>0.60000000000000142</v>
      </c>
      <c r="L107">
        <f t="shared" si="26"/>
        <v>23.700000000000006</v>
      </c>
      <c r="M107">
        <f t="shared" si="17"/>
        <v>0.98360655737704927</v>
      </c>
      <c r="N107">
        <v>28</v>
      </c>
      <c r="O107">
        <f t="shared" si="22"/>
        <v>6.5</v>
      </c>
      <c r="P107">
        <f t="shared" si="23"/>
        <v>1365</v>
      </c>
      <c r="Q107">
        <f t="shared" si="18"/>
        <v>0</v>
      </c>
      <c r="R107">
        <v>0</v>
      </c>
    </row>
    <row r="108" spans="1:18" x14ac:dyDescent="0.3">
      <c r="A108" t="s">
        <v>1</v>
      </c>
      <c r="B108" s="1">
        <v>45101</v>
      </c>
      <c r="C108" t="s">
        <v>8</v>
      </c>
      <c r="D108" t="s">
        <v>14</v>
      </c>
      <c r="E108">
        <v>3</v>
      </c>
      <c r="F108">
        <v>16.399999999999999</v>
      </c>
      <c r="G108">
        <v>0</v>
      </c>
      <c r="H108">
        <f t="shared" si="16"/>
        <v>0.60000000000000142</v>
      </c>
      <c r="I108">
        <f t="shared" ref="I108:I118" si="28">H108+G108</f>
        <v>0.60000000000000142</v>
      </c>
      <c r="J108">
        <f t="shared" si="25"/>
        <v>17</v>
      </c>
      <c r="K108">
        <f t="shared" si="21"/>
        <v>0.69999999999999929</v>
      </c>
      <c r="L108">
        <f t="shared" si="26"/>
        <v>24.400000000000006</v>
      </c>
      <c r="M108">
        <f t="shared" si="17"/>
        <v>0.98360655737704927</v>
      </c>
      <c r="N108">
        <v>29</v>
      </c>
      <c r="O108">
        <f t="shared" si="22"/>
        <v>6.5</v>
      </c>
      <c r="P108">
        <f t="shared" si="23"/>
        <v>1365</v>
      </c>
      <c r="Q108">
        <f t="shared" si="18"/>
        <v>0</v>
      </c>
      <c r="R108">
        <v>0</v>
      </c>
    </row>
    <row r="109" spans="1:18" x14ac:dyDescent="0.3">
      <c r="A109" t="s">
        <v>2</v>
      </c>
      <c r="B109" s="1">
        <v>45102</v>
      </c>
      <c r="C109" t="s">
        <v>8</v>
      </c>
      <c r="D109" t="s">
        <v>14</v>
      </c>
      <c r="E109">
        <v>3</v>
      </c>
      <c r="F109">
        <v>16.3</v>
      </c>
      <c r="G109">
        <v>0</v>
      </c>
      <c r="H109">
        <f t="shared" si="16"/>
        <v>0.69999999999999929</v>
      </c>
      <c r="I109">
        <f t="shared" si="28"/>
        <v>0.69999999999999929</v>
      </c>
      <c r="J109">
        <f t="shared" si="25"/>
        <v>17</v>
      </c>
      <c r="K109">
        <f t="shared" si="21"/>
        <v>1.1999999999999993</v>
      </c>
      <c r="L109">
        <f t="shared" si="26"/>
        <v>25.600000000000005</v>
      </c>
      <c r="M109">
        <f t="shared" si="17"/>
        <v>0.98360655737704927</v>
      </c>
      <c r="N109">
        <v>30</v>
      </c>
      <c r="O109">
        <f t="shared" si="22"/>
        <v>6.5</v>
      </c>
      <c r="P109">
        <f t="shared" si="23"/>
        <v>1365</v>
      </c>
      <c r="Q109">
        <f t="shared" si="18"/>
        <v>0</v>
      </c>
      <c r="R109">
        <v>0</v>
      </c>
    </row>
    <row r="110" spans="1:18" x14ac:dyDescent="0.3">
      <c r="A110" t="s">
        <v>3</v>
      </c>
      <c r="B110" s="1">
        <v>45103</v>
      </c>
      <c r="C110" t="s">
        <v>8</v>
      </c>
      <c r="D110" t="s">
        <v>14</v>
      </c>
      <c r="E110">
        <v>3</v>
      </c>
      <c r="F110">
        <v>15.8</v>
      </c>
      <c r="G110">
        <v>0.5</v>
      </c>
      <c r="H110">
        <f t="shared" si="16"/>
        <v>0.69999999999999929</v>
      </c>
      <c r="I110">
        <f t="shared" si="28"/>
        <v>1.1999999999999993</v>
      </c>
      <c r="J110">
        <f t="shared" si="25"/>
        <v>17</v>
      </c>
      <c r="K110">
        <f t="shared" si="21"/>
        <v>0.80000000000000071</v>
      </c>
      <c r="L110">
        <f t="shared" si="26"/>
        <v>26.400000000000006</v>
      </c>
      <c r="M110">
        <f t="shared" si="17"/>
        <v>0.98360655737704927</v>
      </c>
      <c r="N110">
        <v>31</v>
      </c>
      <c r="O110">
        <f t="shared" si="22"/>
        <v>7</v>
      </c>
      <c r="P110">
        <f t="shared" si="23"/>
        <v>1470</v>
      </c>
      <c r="Q110">
        <f t="shared" si="18"/>
        <v>0</v>
      </c>
      <c r="R110">
        <v>0</v>
      </c>
    </row>
    <row r="111" spans="1:18" x14ac:dyDescent="0.3">
      <c r="A111" t="s">
        <v>4</v>
      </c>
      <c r="B111" s="1">
        <v>45104</v>
      </c>
      <c r="C111" t="s">
        <v>8</v>
      </c>
      <c r="D111" t="s">
        <v>14</v>
      </c>
      <c r="E111">
        <v>3</v>
      </c>
      <c r="F111">
        <v>16.2</v>
      </c>
      <c r="G111">
        <v>0</v>
      </c>
      <c r="H111">
        <f t="shared" si="16"/>
        <v>0.80000000000000071</v>
      </c>
      <c r="I111">
        <f t="shared" si="28"/>
        <v>0.80000000000000071</v>
      </c>
      <c r="J111">
        <f>I111+F111</f>
        <v>17</v>
      </c>
      <c r="K111">
        <f t="shared" si="21"/>
        <v>1</v>
      </c>
      <c r="L111">
        <f t="shared" si="26"/>
        <v>27.400000000000006</v>
      </c>
      <c r="M111">
        <f t="shared" si="17"/>
        <v>0.98360655737704927</v>
      </c>
      <c r="N111">
        <v>32</v>
      </c>
      <c r="O111">
        <f t="shared" si="22"/>
        <v>7</v>
      </c>
      <c r="P111">
        <f t="shared" si="23"/>
        <v>1470</v>
      </c>
      <c r="Q111">
        <f t="shared" si="18"/>
        <v>0</v>
      </c>
      <c r="R111">
        <v>0</v>
      </c>
    </row>
    <row r="112" spans="1:18" x14ac:dyDescent="0.3">
      <c r="A112" t="s">
        <v>5</v>
      </c>
      <c r="B112" s="1">
        <v>45105</v>
      </c>
      <c r="C112" t="s">
        <v>8</v>
      </c>
      <c r="D112" t="s">
        <v>14</v>
      </c>
      <c r="E112">
        <v>3</v>
      </c>
      <c r="F112">
        <v>16</v>
      </c>
      <c r="G112">
        <v>0</v>
      </c>
      <c r="H112">
        <f t="shared" si="16"/>
        <v>1</v>
      </c>
      <c r="I112">
        <f t="shared" si="28"/>
        <v>1</v>
      </c>
      <c r="J112">
        <f t="shared" ref="J112:J118" si="29">I112+F112</f>
        <v>17</v>
      </c>
      <c r="K112">
        <f t="shared" si="21"/>
        <v>0.89999999999999858</v>
      </c>
      <c r="L112">
        <f t="shared" si="26"/>
        <v>28.300000000000004</v>
      </c>
      <c r="M112">
        <f t="shared" si="17"/>
        <v>0.98360655737704927</v>
      </c>
      <c r="N112">
        <v>33</v>
      </c>
      <c r="O112">
        <f t="shared" si="22"/>
        <v>7</v>
      </c>
      <c r="P112">
        <f t="shared" si="23"/>
        <v>1470</v>
      </c>
      <c r="Q112">
        <f t="shared" si="18"/>
        <v>0</v>
      </c>
      <c r="R112">
        <v>0</v>
      </c>
    </row>
    <row r="113" spans="1:18" x14ac:dyDescent="0.3">
      <c r="A113" t="s">
        <v>6</v>
      </c>
      <c r="B113" s="1">
        <v>45106</v>
      </c>
      <c r="C113" t="s">
        <v>8</v>
      </c>
      <c r="D113" t="s">
        <v>14</v>
      </c>
      <c r="E113">
        <v>3</v>
      </c>
      <c r="F113">
        <v>16.100000000000001</v>
      </c>
      <c r="G113">
        <v>0.5</v>
      </c>
      <c r="H113">
        <f t="shared" si="16"/>
        <v>0.39999999999999858</v>
      </c>
      <c r="I113">
        <f t="shared" si="28"/>
        <v>0.89999999999999858</v>
      </c>
      <c r="J113">
        <f t="shared" si="29"/>
        <v>17</v>
      </c>
      <c r="K113">
        <f t="shared" si="21"/>
        <v>0.89999999999999858</v>
      </c>
      <c r="L113">
        <f t="shared" si="26"/>
        <v>29.200000000000003</v>
      </c>
      <c r="M113">
        <f t="shared" si="17"/>
        <v>0.98360655737704927</v>
      </c>
      <c r="N113">
        <v>34</v>
      </c>
      <c r="O113">
        <f t="shared" si="22"/>
        <v>7.5</v>
      </c>
      <c r="P113">
        <f t="shared" si="23"/>
        <v>1575</v>
      </c>
      <c r="Q113">
        <f t="shared" si="18"/>
        <v>0</v>
      </c>
      <c r="R113">
        <v>0</v>
      </c>
    </row>
    <row r="114" spans="1:18" x14ac:dyDescent="0.3">
      <c r="A114" t="s">
        <v>0</v>
      </c>
      <c r="B114" s="1">
        <v>45107</v>
      </c>
      <c r="C114" t="s">
        <v>8</v>
      </c>
      <c r="D114" t="s">
        <v>14</v>
      </c>
      <c r="E114">
        <v>3</v>
      </c>
      <c r="F114">
        <v>16.100000000000001</v>
      </c>
      <c r="G114">
        <v>0</v>
      </c>
      <c r="H114">
        <f t="shared" si="16"/>
        <v>0.89999999999999858</v>
      </c>
      <c r="I114">
        <f t="shared" si="28"/>
        <v>0.89999999999999858</v>
      </c>
      <c r="J114">
        <f t="shared" si="29"/>
        <v>17</v>
      </c>
      <c r="K114">
        <f t="shared" si="21"/>
        <v>0.19999999999999929</v>
      </c>
      <c r="L114">
        <f t="shared" si="26"/>
        <v>29.400000000000002</v>
      </c>
      <c r="M114">
        <f t="shared" si="17"/>
        <v>0.98360655737704927</v>
      </c>
      <c r="N114">
        <v>35</v>
      </c>
      <c r="O114">
        <f t="shared" si="22"/>
        <v>7.5</v>
      </c>
      <c r="P114">
        <f t="shared" si="23"/>
        <v>1575</v>
      </c>
      <c r="Q114">
        <f t="shared" si="18"/>
        <v>0</v>
      </c>
      <c r="R114">
        <v>0</v>
      </c>
    </row>
    <row r="115" spans="1:18" x14ac:dyDescent="0.3">
      <c r="A115" t="s">
        <v>1</v>
      </c>
      <c r="B115" s="1">
        <v>45108</v>
      </c>
      <c r="C115" t="s">
        <v>8</v>
      </c>
      <c r="D115" t="s">
        <v>14</v>
      </c>
      <c r="E115">
        <v>3</v>
      </c>
      <c r="F115">
        <v>16.8</v>
      </c>
      <c r="G115">
        <v>0</v>
      </c>
      <c r="H115">
        <f t="shared" si="16"/>
        <v>0.19999999999999929</v>
      </c>
      <c r="I115">
        <f t="shared" si="28"/>
        <v>0.19999999999999929</v>
      </c>
      <c r="J115">
        <f t="shared" si="29"/>
        <v>17</v>
      </c>
      <c r="K115">
        <f t="shared" si="21"/>
        <v>0.30000000000000071</v>
      </c>
      <c r="L115">
        <f t="shared" si="26"/>
        <v>29.700000000000003</v>
      </c>
      <c r="M115">
        <f t="shared" si="17"/>
        <v>0.98360655737704927</v>
      </c>
      <c r="N115">
        <v>36</v>
      </c>
      <c r="O115">
        <f t="shared" si="22"/>
        <v>7.5</v>
      </c>
      <c r="P115">
        <f t="shared" si="23"/>
        <v>1575</v>
      </c>
      <c r="Q115">
        <f t="shared" si="18"/>
        <v>0</v>
      </c>
      <c r="R115">
        <v>0</v>
      </c>
    </row>
    <row r="116" spans="1:18" x14ac:dyDescent="0.3">
      <c r="A116" t="s">
        <v>2</v>
      </c>
      <c r="B116" s="1">
        <v>45109</v>
      </c>
      <c r="C116" t="s">
        <v>8</v>
      </c>
      <c r="D116" t="s">
        <v>14</v>
      </c>
      <c r="E116">
        <v>3</v>
      </c>
      <c r="F116">
        <v>16.7</v>
      </c>
      <c r="G116">
        <v>0</v>
      </c>
      <c r="H116">
        <f t="shared" si="16"/>
        <v>0.30000000000000071</v>
      </c>
      <c r="I116">
        <f t="shared" si="28"/>
        <v>0.30000000000000071</v>
      </c>
      <c r="J116">
        <f t="shared" si="29"/>
        <v>17</v>
      </c>
      <c r="K116">
        <f t="shared" si="21"/>
        <v>0.5</v>
      </c>
      <c r="L116">
        <f t="shared" si="26"/>
        <v>30.200000000000003</v>
      </c>
      <c r="M116">
        <f t="shared" si="17"/>
        <v>0.98360655737704927</v>
      </c>
      <c r="N116">
        <v>37</v>
      </c>
      <c r="O116">
        <f t="shared" si="22"/>
        <v>7.5</v>
      </c>
      <c r="P116">
        <f t="shared" si="23"/>
        <v>1575</v>
      </c>
      <c r="Q116">
        <f t="shared" si="18"/>
        <v>0</v>
      </c>
      <c r="R116">
        <v>0</v>
      </c>
    </row>
    <row r="117" spans="1:18" x14ac:dyDescent="0.3">
      <c r="A117" t="s">
        <v>3</v>
      </c>
      <c r="B117" s="1">
        <v>45110</v>
      </c>
      <c r="C117" t="s">
        <v>8</v>
      </c>
      <c r="D117" t="s">
        <v>14</v>
      </c>
      <c r="E117">
        <v>3</v>
      </c>
      <c r="F117">
        <v>16.5</v>
      </c>
      <c r="G117">
        <v>0</v>
      </c>
      <c r="H117">
        <f t="shared" si="16"/>
        <v>0.5</v>
      </c>
      <c r="I117">
        <f t="shared" si="28"/>
        <v>0.5</v>
      </c>
      <c r="J117">
        <f t="shared" si="29"/>
        <v>17</v>
      </c>
      <c r="K117">
        <f t="shared" si="21"/>
        <v>0.5</v>
      </c>
      <c r="L117">
        <f t="shared" si="26"/>
        <v>30.700000000000003</v>
      </c>
      <c r="M117">
        <f t="shared" si="17"/>
        <v>0.98360655737704927</v>
      </c>
      <c r="N117">
        <v>38</v>
      </c>
      <c r="O117">
        <f t="shared" si="22"/>
        <v>7.5</v>
      </c>
      <c r="P117">
        <f t="shared" si="23"/>
        <v>1575</v>
      </c>
      <c r="Q117">
        <f t="shared" si="18"/>
        <v>0</v>
      </c>
      <c r="R117">
        <v>0</v>
      </c>
    </row>
    <row r="118" spans="1:18" s="2" customFormat="1" x14ac:dyDescent="0.3">
      <c r="A118" s="2" t="s">
        <v>4</v>
      </c>
      <c r="B118" s="3">
        <v>45111</v>
      </c>
      <c r="C118" s="2" t="s">
        <v>8</v>
      </c>
      <c r="D118" s="2" t="s">
        <v>14</v>
      </c>
      <c r="E118" s="2">
        <v>3</v>
      </c>
      <c r="F118" s="2">
        <v>16.5</v>
      </c>
      <c r="G118" s="2">
        <v>0</v>
      </c>
      <c r="H118" s="2">
        <f t="shared" si="16"/>
        <v>0.5</v>
      </c>
      <c r="I118" s="2">
        <f t="shared" si="28"/>
        <v>0.5</v>
      </c>
      <c r="J118" s="2">
        <f t="shared" si="29"/>
        <v>17</v>
      </c>
      <c r="P118"/>
      <c r="Q118">
        <f t="shared" si="18"/>
        <v>0</v>
      </c>
      <c r="R118">
        <v>0</v>
      </c>
    </row>
    <row r="119" spans="1:18" x14ac:dyDescent="0.3">
      <c r="A119" t="s">
        <v>1</v>
      </c>
      <c r="B119" s="1">
        <v>45073</v>
      </c>
      <c r="C119" t="s">
        <v>8</v>
      </c>
      <c r="D119" t="s">
        <v>14</v>
      </c>
      <c r="E119">
        <v>4</v>
      </c>
      <c r="F119">
        <v>17</v>
      </c>
      <c r="G119">
        <v>0</v>
      </c>
      <c r="H119">
        <f t="shared" si="16"/>
        <v>0</v>
      </c>
      <c r="I119">
        <f>H119+G119</f>
        <v>0</v>
      </c>
      <c r="J119">
        <f>I119+F119</f>
        <v>17</v>
      </c>
      <c r="K119">
        <f>J119-F120</f>
        <v>0.5</v>
      </c>
      <c r="M119">
        <f t="shared" si="17"/>
        <v>0.98360655737704927</v>
      </c>
      <c r="N119">
        <v>1</v>
      </c>
      <c r="O119">
        <v>2.5</v>
      </c>
      <c r="P119">
        <f>O119*210</f>
        <v>525</v>
      </c>
      <c r="Q119">
        <f t="shared" si="18"/>
        <v>0</v>
      </c>
      <c r="R119">
        <v>0</v>
      </c>
    </row>
    <row r="120" spans="1:18" x14ac:dyDescent="0.3">
      <c r="A120" t="s">
        <v>2</v>
      </c>
      <c r="B120" s="1">
        <v>45074</v>
      </c>
      <c r="C120" t="s">
        <v>8</v>
      </c>
      <c r="D120" t="s">
        <v>14</v>
      </c>
      <c r="E120">
        <v>4</v>
      </c>
      <c r="F120">
        <v>16.5</v>
      </c>
      <c r="G120">
        <v>0</v>
      </c>
      <c r="H120">
        <f t="shared" si="16"/>
        <v>0.5</v>
      </c>
      <c r="I120">
        <f>H120+G120</f>
        <v>0.5</v>
      </c>
      <c r="J120">
        <f>I120+F120</f>
        <v>17</v>
      </c>
      <c r="K120">
        <f t="shared" ref="K120:K123" si="30">J120-F121</f>
        <v>0.39999999999999858</v>
      </c>
      <c r="L120">
        <f>K119+K120</f>
        <v>0.89999999999999858</v>
      </c>
      <c r="M120">
        <f t="shared" si="17"/>
        <v>0.98360655737704927</v>
      </c>
      <c r="N120">
        <v>2</v>
      </c>
      <c r="O120">
        <f t="shared" ref="O120:O156" si="31">O119+G120</f>
        <v>2.5</v>
      </c>
      <c r="P120">
        <f t="shared" ref="P120:P183" si="32">O120*210</f>
        <v>525</v>
      </c>
      <c r="Q120">
        <f t="shared" si="18"/>
        <v>0</v>
      </c>
      <c r="R120">
        <v>0</v>
      </c>
    </row>
    <row r="121" spans="1:18" x14ac:dyDescent="0.3">
      <c r="A121" t="s">
        <v>3</v>
      </c>
      <c r="B121" s="1">
        <v>45075</v>
      </c>
      <c r="C121" t="s">
        <v>8</v>
      </c>
      <c r="D121" t="s">
        <v>14</v>
      </c>
      <c r="E121">
        <v>4</v>
      </c>
      <c r="F121">
        <v>16.600000000000001</v>
      </c>
      <c r="G121">
        <v>0.25</v>
      </c>
      <c r="H121">
        <f t="shared" si="16"/>
        <v>0.14999999999999858</v>
      </c>
      <c r="I121">
        <f>H121+G121</f>
        <v>0.39999999999999858</v>
      </c>
      <c r="J121">
        <f>I121+F121</f>
        <v>17</v>
      </c>
      <c r="K121">
        <f t="shared" si="30"/>
        <v>0.80000000000000071</v>
      </c>
      <c r="L121">
        <f>L120+K121</f>
        <v>1.6999999999999993</v>
      </c>
      <c r="M121">
        <f t="shared" si="17"/>
        <v>0.98360655737704927</v>
      </c>
      <c r="N121">
        <v>3</v>
      </c>
      <c r="O121">
        <f t="shared" si="31"/>
        <v>2.75</v>
      </c>
      <c r="P121">
        <f t="shared" si="32"/>
        <v>577.5</v>
      </c>
      <c r="Q121">
        <f t="shared" si="18"/>
        <v>0</v>
      </c>
      <c r="R121">
        <v>0</v>
      </c>
    </row>
    <row r="122" spans="1:18" x14ac:dyDescent="0.3">
      <c r="A122" t="s">
        <v>4</v>
      </c>
      <c r="B122" s="1">
        <v>45076</v>
      </c>
      <c r="C122" t="s">
        <v>8</v>
      </c>
      <c r="D122" t="s">
        <v>14</v>
      </c>
      <c r="E122">
        <v>4</v>
      </c>
      <c r="F122">
        <v>16.2</v>
      </c>
      <c r="G122">
        <v>0.25</v>
      </c>
      <c r="H122">
        <f t="shared" si="16"/>
        <v>0.55000000000000071</v>
      </c>
      <c r="I122">
        <f t="shared" ref="I122:I133" si="33">H122+G122</f>
        <v>0.80000000000000071</v>
      </c>
      <c r="J122">
        <f t="shared" ref="J122:J149" si="34">I122+F122</f>
        <v>17</v>
      </c>
      <c r="K122">
        <f t="shared" si="30"/>
        <v>1.1999999999999993</v>
      </c>
      <c r="L122">
        <f t="shared" ref="L122:L155" si="35">L121+K122</f>
        <v>2.8999999999999986</v>
      </c>
      <c r="M122">
        <f t="shared" si="17"/>
        <v>0.98360655737704927</v>
      </c>
      <c r="N122">
        <v>4</v>
      </c>
      <c r="O122">
        <f t="shared" si="31"/>
        <v>3</v>
      </c>
      <c r="P122">
        <f t="shared" si="32"/>
        <v>630</v>
      </c>
      <c r="Q122">
        <f t="shared" si="18"/>
        <v>0</v>
      </c>
      <c r="R122">
        <v>0</v>
      </c>
    </row>
    <row r="123" spans="1:18" x14ac:dyDescent="0.3">
      <c r="A123" t="s">
        <v>5</v>
      </c>
      <c r="B123" s="1">
        <v>45077</v>
      </c>
      <c r="C123" t="s">
        <v>8</v>
      </c>
      <c r="D123" t="s">
        <v>14</v>
      </c>
      <c r="E123">
        <v>4</v>
      </c>
      <c r="F123">
        <v>15.8</v>
      </c>
      <c r="G123">
        <v>0</v>
      </c>
      <c r="H123">
        <f t="shared" si="16"/>
        <v>1.1999999999999993</v>
      </c>
      <c r="I123">
        <f t="shared" si="33"/>
        <v>1.1999999999999993</v>
      </c>
      <c r="J123">
        <f t="shared" si="34"/>
        <v>17</v>
      </c>
      <c r="K123">
        <f t="shared" si="30"/>
        <v>0.89999999999999858</v>
      </c>
      <c r="L123">
        <f t="shared" si="35"/>
        <v>3.7999999999999972</v>
      </c>
      <c r="M123">
        <f t="shared" si="17"/>
        <v>0.98360655737704927</v>
      </c>
      <c r="N123">
        <v>5</v>
      </c>
      <c r="O123">
        <f t="shared" si="31"/>
        <v>3</v>
      </c>
      <c r="P123">
        <f t="shared" si="32"/>
        <v>630</v>
      </c>
      <c r="Q123">
        <f t="shared" si="18"/>
        <v>0</v>
      </c>
      <c r="R123">
        <v>0</v>
      </c>
    </row>
    <row r="124" spans="1:18" x14ac:dyDescent="0.3">
      <c r="A124" t="s">
        <v>6</v>
      </c>
      <c r="B124" s="1">
        <v>45078</v>
      </c>
      <c r="C124" t="s">
        <v>8</v>
      </c>
      <c r="D124" t="s">
        <v>14</v>
      </c>
      <c r="E124">
        <v>4</v>
      </c>
      <c r="F124">
        <v>16.100000000000001</v>
      </c>
      <c r="G124">
        <v>0.25</v>
      </c>
      <c r="H124">
        <f t="shared" si="16"/>
        <v>0.64999999999999858</v>
      </c>
      <c r="I124">
        <f t="shared" si="33"/>
        <v>0.89999999999999858</v>
      </c>
      <c r="J124">
        <f t="shared" si="34"/>
        <v>17</v>
      </c>
      <c r="K124">
        <f t="shared" ref="K124:K154" si="36">J124-F125</f>
        <v>0.60000000000000142</v>
      </c>
      <c r="L124">
        <f t="shared" si="35"/>
        <v>4.3999999999999986</v>
      </c>
      <c r="M124">
        <f t="shared" si="17"/>
        <v>0.98360655737704927</v>
      </c>
      <c r="N124">
        <v>6</v>
      </c>
      <c r="O124">
        <f t="shared" si="31"/>
        <v>3.25</v>
      </c>
      <c r="P124">
        <f t="shared" si="32"/>
        <v>682.5</v>
      </c>
      <c r="Q124">
        <f t="shared" si="18"/>
        <v>0</v>
      </c>
      <c r="R124">
        <v>0</v>
      </c>
    </row>
    <row r="125" spans="1:18" x14ac:dyDescent="0.3">
      <c r="A125" t="s">
        <v>0</v>
      </c>
      <c r="B125" s="1">
        <v>45079</v>
      </c>
      <c r="C125" t="s">
        <v>8</v>
      </c>
      <c r="D125" t="s">
        <v>14</v>
      </c>
      <c r="E125">
        <v>4</v>
      </c>
      <c r="F125">
        <v>16.399999999999999</v>
      </c>
      <c r="G125">
        <v>0.25</v>
      </c>
      <c r="H125">
        <f t="shared" si="16"/>
        <v>0.35000000000000142</v>
      </c>
      <c r="I125">
        <f t="shared" si="33"/>
        <v>0.60000000000000142</v>
      </c>
      <c r="J125">
        <f t="shared" si="34"/>
        <v>17</v>
      </c>
      <c r="K125">
        <f t="shared" si="36"/>
        <v>0.39999999999999858</v>
      </c>
      <c r="L125">
        <f t="shared" si="35"/>
        <v>4.7999999999999972</v>
      </c>
      <c r="M125">
        <f t="shared" si="17"/>
        <v>0.98360655737704927</v>
      </c>
      <c r="N125">
        <v>7</v>
      </c>
      <c r="O125">
        <f t="shared" si="31"/>
        <v>3.5</v>
      </c>
      <c r="P125">
        <f t="shared" si="32"/>
        <v>735</v>
      </c>
      <c r="Q125">
        <f t="shared" si="18"/>
        <v>0</v>
      </c>
      <c r="R125">
        <v>0</v>
      </c>
    </row>
    <row r="126" spans="1:18" x14ac:dyDescent="0.3">
      <c r="A126" t="s">
        <v>1</v>
      </c>
      <c r="B126" s="1">
        <v>45080</v>
      </c>
      <c r="C126" t="s">
        <v>8</v>
      </c>
      <c r="D126" t="s">
        <v>14</v>
      </c>
      <c r="E126">
        <v>4</v>
      </c>
      <c r="F126">
        <v>16.600000000000001</v>
      </c>
      <c r="G126">
        <v>0</v>
      </c>
      <c r="H126">
        <f t="shared" si="16"/>
        <v>0.39999999999999858</v>
      </c>
      <c r="I126">
        <f t="shared" si="33"/>
        <v>0.39999999999999858</v>
      </c>
      <c r="J126">
        <f t="shared" si="34"/>
        <v>17</v>
      </c>
      <c r="K126">
        <f t="shared" si="36"/>
        <v>0.80000000000000071</v>
      </c>
      <c r="L126">
        <f t="shared" si="35"/>
        <v>5.5999999999999979</v>
      </c>
      <c r="M126">
        <f t="shared" si="17"/>
        <v>0.98360655737704927</v>
      </c>
      <c r="N126">
        <v>8</v>
      </c>
      <c r="O126">
        <f t="shared" si="31"/>
        <v>3.5</v>
      </c>
      <c r="P126">
        <f t="shared" si="32"/>
        <v>735</v>
      </c>
      <c r="Q126">
        <f t="shared" si="18"/>
        <v>0</v>
      </c>
      <c r="R126">
        <v>0</v>
      </c>
    </row>
    <row r="127" spans="1:18" x14ac:dyDescent="0.3">
      <c r="A127" t="s">
        <v>2</v>
      </c>
      <c r="B127" s="1">
        <v>45081</v>
      </c>
      <c r="C127" t="s">
        <v>8</v>
      </c>
      <c r="D127" t="s">
        <v>14</v>
      </c>
      <c r="E127">
        <v>4</v>
      </c>
      <c r="F127">
        <v>16.2</v>
      </c>
      <c r="G127">
        <v>0</v>
      </c>
      <c r="H127">
        <f t="shared" si="16"/>
        <v>0.80000000000000071</v>
      </c>
      <c r="I127">
        <f t="shared" si="33"/>
        <v>0.80000000000000071</v>
      </c>
      <c r="J127">
        <f t="shared" si="34"/>
        <v>17</v>
      </c>
      <c r="K127">
        <f t="shared" si="36"/>
        <v>0.89999999999999858</v>
      </c>
      <c r="L127">
        <f t="shared" si="35"/>
        <v>6.4999999999999964</v>
      </c>
      <c r="M127">
        <f t="shared" si="17"/>
        <v>0.98360655737704927</v>
      </c>
      <c r="N127">
        <v>9</v>
      </c>
      <c r="O127">
        <f t="shared" si="31"/>
        <v>3.5</v>
      </c>
      <c r="P127">
        <f t="shared" si="32"/>
        <v>735</v>
      </c>
      <c r="Q127">
        <f t="shared" si="18"/>
        <v>0</v>
      </c>
      <c r="R127">
        <v>0</v>
      </c>
    </row>
    <row r="128" spans="1:18" x14ac:dyDescent="0.3">
      <c r="A128" t="s">
        <v>3</v>
      </c>
      <c r="B128" s="1">
        <v>45082</v>
      </c>
      <c r="C128" t="s">
        <v>8</v>
      </c>
      <c r="D128" t="s">
        <v>14</v>
      </c>
      <c r="E128">
        <v>4</v>
      </c>
      <c r="F128">
        <v>16.100000000000001</v>
      </c>
      <c r="G128">
        <v>0.25</v>
      </c>
      <c r="H128">
        <f t="shared" si="16"/>
        <v>0.64999999999999858</v>
      </c>
      <c r="I128">
        <f t="shared" si="33"/>
        <v>0.89999999999999858</v>
      </c>
      <c r="J128">
        <f t="shared" si="34"/>
        <v>17</v>
      </c>
      <c r="K128">
        <f t="shared" si="36"/>
        <v>0.69999999999999929</v>
      </c>
      <c r="L128">
        <f t="shared" si="35"/>
        <v>7.1999999999999957</v>
      </c>
      <c r="M128">
        <f t="shared" si="17"/>
        <v>0.98360655737704927</v>
      </c>
      <c r="N128">
        <v>10</v>
      </c>
      <c r="O128">
        <f t="shared" si="31"/>
        <v>3.75</v>
      </c>
      <c r="P128">
        <f t="shared" si="32"/>
        <v>787.5</v>
      </c>
      <c r="Q128">
        <f t="shared" si="18"/>
        <v>0</v>
      </c>
      <c r="R128">
        <v>0</v>
      </c>
    </row>
    <row r="129" spans="1:18" x14ac:dyDescent="0.3">
      <c r="A129" t="s">
        <v>4</v>
      </c>
      <c r="B129" s="1">
        <v>45083</v>
      </c>
      <c r="C129" t="s">
        <v>8</v>
      </c>
      <c r="D129" t="s">
        <v>14</v>
      </c>
      <c r="E129">
        <v>4</v>
      </c>
      <c r="F129">
        <v>16.3</v>
      </c>
      <c r="G129">
        <v>0.25</v>
      </c>
      <c r="H129">
        <f t="shared" si="16"/>
        <v>0.44999999999999929</v>
      </c>
      <c r="I129">
        <f t="shared" si="33"/>
        <v>0.69999999999999929</v>
      </c>
      <c r="J129">
        <f t="shared" si="34"/>
        <v>17</v>
      </c>
      <c r="K129">
        <f t="shared" si="36"/>
        <v>1.3000000000000007</v>
      </c>
      <c r="L129">
        <f t="shared" si="35"/>
        <v>8.4999999999999964</v>
      </c>
      <c r="M129">
        <f t="shared" si="17"/>
        <v>0.98360655737704927</v>
      </c>
      <c r="N129">
        <v>11</v>
      </c>
      <c r="O129">
        <f t="shared" si="31"/>
        <v>4</v>
      </c>
      <c r="P129">
        <f t="shared" si="32"/>
        <v>840</v>
      </c>
      <c r="Q129">
        <f t="shared" si="18"/>
        <v>0</v>
      </c>
      <c r="R129">
        <v>0</v>
      </c>
    </row>
    <row r="130" spans="1:18" x14ac:dyDescent="0.3">
      <c r="A130" t="s">
        <v>5</v>
      </c>
      <c r="B130" s="1">
        <v>45084</v>
      </c>
      <c r="C130" t="s">
        <v>8</v>
      </c>
      <c r="D130" t="s">
        <v>14</v>
      </c>
      <c r="E130">
        <v>4</v>
      </c>
      <c r="F130">
        <v>15.7</v>
      </c>
      <c r="G130">
        <v>0</v>
      </c>
      <c r="H130">
        <f t="shared" si="16"/>
        <v>1.3000000000000007</v>
      </c>
      <c r="I130">
        <f t="shared" si="33"/>
        <v>1.3000000000000007</v>
      </c>
      <c r="J130">
        <f t="shared" si="34"/>
        <v>17</v>
      </c>
      <c r="K130">
        <f t="shared" si="36"/>
        <v>1.0999999999999996</v>
      </c>
      <c r="L130">
        <f t="shared" si="35"/>
        <v>9.5999999999999961</v>
      </c>
      <c r="M130">
        <f t="shared" si="17"/>
        <v>0.98360655737704927</v>
      </c>
      <c r="N130">
        <v>12</v>
      </c>
      <c r="O130">
        <f t="shared" si="31"/>
        <v>4</v>
      </c>
      <c r="P130">
        <f t="shared" si="32"/>
        <v>840</v>
      </c>
      <c r="Q130">
        <f t="shared" si="18"/>
        <v>0</v>
      </c>
      <c r="R130">
        <v>0</v>
      </c>
    </row>
    <row r="131" spans="1:18" x14ac:dyDescent="0.3">
      <c r="A131" t="s">
        <v>6</v>
      </c>
      <c r="B131" s="1">
        <v>45085</v>
      </c>
      <c r="C131" t="s">
        <v>8</v>
      </c>
      <c r="D131" t="s">
        <v>14</v>
      </c>
      <c r="E131">
        <v>4</v>
      </c>
      <c r="F131">
        <v>15.9</v>
      </c>
      <c r="G131">
        <v>0.25</v>
      </c>
      <c r="H131">
        <f t="shared" ref="H131:H194" si="37">17-F131-G131</f>
        <v>0.84999999999999964</v>
      </c>
      <c r="I131">
        <f t="shared" si="33"/>
        <v>1.0999999999999996</v>
      </c>
      <c r="J131">
        <f t="shared" si="34"/>
        <v>17</v>
      </c>
      <c r="K131">
        <f t="shared" si="36"/>
        <v>1.4000000000000004</v>
      </c>
      <c r="L131">
        <f t="shared" si="35"/>
        <v>10.999999999999996</v>
      </c>
      <c r="M131">
        <f t="shared" ref="M131:M194" si="38">(J131-11)/6.1</f>
        <v>0.98360655737704927</v>
      </c>
      <c r="N131">
        <v>13</v>
      </c>
      <c r="O131">
        <f t="shared" si="31"/>
        <v>4.25</v>
      </c>
      <c r="P131">
        <f t="shared" si="32"/>
        <v>892.5</v>
      </c>
      <c r="Q131">
        <f t="shared" ref="Q131:Q194" si="39">M131-M131</f>
        <v>0</v>
      </c>
      <c r="R131">
        <v>0</v>
      </c>
    </row>
    <row r="132" spans="1:18" x14ac:dyDescent="0.3">
      <c r="A132" t="s">
        <v>0</v>
      </c>
      <c r="B132" s="1">
        <v>45086</v>
      </c>
      <c r="C132" t="s">
        <v>8</v>
      </c>
      <c r="D132" t="s">
        <v>14</v>
      </c>
      <c r="E132">
        <v>4</v>
      </c>
      <c r="F132">
        <v>15.6</v>
      </c>
      <c r="G132">
        <v>0.25</v>
      </c>
      <c r="H132">
        <f t="shared" si="37"/>
        <v>1.1500000000000004</v>
      </c>
      <c r="I132">
        <f t="shared" si="33"/>
        <v>1.4000000000000004</v>
      </c>
      <c r="J132">
        <f t="shared" si="34"/>
        <v>17</v>
      </c>
      <c r="K132">
        <f t="shared" si="36"/>
        <v>1.3000000000000007</v>
      </c>
      <c r="L132">
        <f t="shared" si="35"/>
        <v>12.299999999999997</v>
      </c>
      <c r="M132">
        <f t="shared" si="38"/>
        <v>0.98360655737704927</v>
      </c>
      <c r="N132">
        <v>14</v>
      </c>
      <c r="O132">
        <f t="shared" si="31"/>
        <v>4.5</v>
      </c>
      <c r="P132">
        <f t="shared" si="32"/>
        <v>945</v>
      </c>
      <c r="Q132">
        <f t="shared" si="39"/>
        <v>0</v>
      </c>
      <c r="R132">
        <v>0</v>
      </c>
    </row>
    <row r="133" spans="1:18" x14ac:dyDescent="0.3">
      <c r="A133" t="s">
        <v>1</v>
      </c>
      <c r="B133" s="1">
        <v>45087</v>
      </c>
      <c r="C133" t="s">
        <v>8</v>
      </c>
      <c r="D133" t="s">
        <v>14</v>
      </c>
      <c r="E133">
        <v>4</v>
      </c>
      <c r="F133">
        <v>15.7</v>
      </c>
      <c r="G133">
        <v>0</v>
      </c>
      <c r="H133">
        <f t="shared" si="37"/>
        <v>1.3000000000000007</v>
      </c>
      <c r="I133">
        <f t="shared" si="33"/>
        <v>1.3000000000000007</v>
      </c>
      <c r="J133">
        <f t="shared" si="34"/>
        <v>17</v>
      </c>
      <c r="K133">
        <f t="shared" si="36"/>
        <v>1.5999999999999996</v>
      </c>
      <c r="L133">
        <f t="shared" si="35"/>
        <v>13.899999999999997</v>
      </c>
      <c r="M133">
        <f t="shared" si="38"/>
        <v>0.98360655737704927</v>
      </c>
      <c r="N133">
        <v>15</v>
      </c>
      <c r="O133">
        <f t="shared" si="31"/>
        <v>4.5</v>
      </c>
      <c r="P133">
        <f t="shared" si="32"/>
        <v>945</v>
      </c>
      <c r="Q133">
        <f t="shared" si="39"/>
        <v>0</v>
      </c>
      <c r="R133">
        <v>0</v>
      </c>
    </row>
    <row r="134" spans="1:18" x14ac:dyDescent="0.3">
      <c r="A134" t="s">
        <v>2</v>
      </c>
      <c r="B134" s="1">
        <v>45088</v>
      </c>
      <c r="C134" t="s">
        <v>8</v>
      </c>
      <c r="D134" t="s">
        <v>14</v>
      </c>
      <c r="E134">
        <v>4</v>
      </c>
      <c r="F134">
        <v>15.4</v>
      </c>
      <c r="G134">
        <v>0</v>
      </c>
      <c r="H134">
        <f t="shared" si="37"/>
        <v>1.5999999999999996</v>
      </c>
      <c r="I134">
        <f>H134+G134</f>
        <v>1.5999999999999996</v>
      </c>
      <c r="J134">
        <f t="shared" si="34"/>
        <v>17</v>
      </c>
      <c r="K134">
        <f t="shared" si="36"/>
        <v>1.5</v>
      </c>
      <c r="L134">
        <f t="shared" si="35"/>
        <v>15.399999999999997</v>
      </c>
      <c r="M134">
        <f t="shared" si="38"/>
        <v>0.98360655737704927</v>
      </c>
      <c r="N134">
        <v>16</v>
      </c>
      <c r="O134">
        <f t="shared" si="31"/>
        <v>4.5</v>
      </c>
      <c r="P134">
        <f t="shared" si="32"/>
        <v>945</v>
      </c>
      <c r="Q134">
        <f t="shared" si="39"/>
        <v>0</v>
      </c>
      <c r="R134">
        <v>0</v>
      </c>
    </row>
    <row r="135" spans="1:18" x14ac:dyDescent="0.3">
      <c r="A135" t="s">
        <v>3</v>
      </c>
      <c r="B135" s="1">
        <v>45089</v>
      </c>
      <c r="C135" t="s">
        <v>8</v>
      </c>
      <c r="D135" t="s">
        <v>14</v>
      </c>
      <c r="E135">
        <v>4</v>
      </c>
      <c r="F135">
        <v>15.5</v>
      </c>
      <c r="G135">
        <v>0.5</v>
      </c>
      <c r="H135">
        <f t="shared" si="37"/>
        <v>1</v>
      </c>
      <c r="I135">
        <f t="shared" ref="I135:I145" si="40">H135+G135</f>
        <v>1.5</v>
      </c>
      <c r="J135">
        <f t="shared" si="34"/>
        <v>17</v>
      </c>
      <c r="K135">
        <f t="shared" si="36"/>
        <v>0.60000000000000142</v>
      </c>
      <c r="L135">
        <f t="shared" si="35"/>
        <v>15.999999999999998</v>
      </c>
      <c r="M135">
        <f t="shared" si="38"/>
        <v>0.98360655737704927</v>
      </c>
      <c r="N135">
        <v>17</v>
      </c>
      <c r="O135">
        <f t="shared" si="31"/>
        <v>5</v>
      </c>
      <c r="P135">
        <f t="shared" si="32"/>
        <v>1050</v>
      </c>
      <c r="Q135">
        <f t="shared" si="39"/>
        <v>0</v>
      </c>
      <c r="R135">
        <v>0</v>
      </c>
    </row>
    <row r="136" spans="1:18" x14ac:dyDescent="0.3">
      <c r="A136" t="s">
        <v>4</v>
      </c>
      <c r="B136" s="1">
        <v>45090</v>
      </c>
      <c r="C136" t="s">
        <v>8</v>
      </c>
      <c r="D136" t="s">
        <v>14</v>
      </c>
      <c r="E136">
        <v>4</v>
      </c>
      <c r="F136">
        <v>16.399999999999999</v>
      </c>
      <c r="G136">
        <v>0</v>
      </c>
      <c r="H136">
        <f t="shared" si="37"/>
        <v>0.60000000000000142</v>
      </c>
      <c r="I136">
        <f t="shared" si="40"/>
        <v>0.60000000000000142</v>
      </c>
      <c r="J136">
        <f t="shared" si="34"/>
        <v>17</v>
      </c>
      <c r="K136">
        <f t="shared" si="36"/>
        <v>1.1999999999999993</v>
      </c>
      <c r="L136">
        <f t="shared" si="35"/>
        <v>17.199999999999996</v>
      </c>
      <c r="M136">
        <f t="shared" si="38"/>
        <v>0.98360655737704927</v>
      </c>
      <c r="N136">
        <v>18</v>
      </c>
      <c r="O136">
        <f t="shared" si="31"/>
        <v>5</v>
      </c>
      <c r="P136">
        <f t="shared" si="32"/>
        <v>1050</v>
      </c>
      <c r="Q136">
        <f t="shared" si="39"/>
        <v>0</v>
      </c>
      <c r="R136">
        <v>0</v>
      </c>
    </row>
    <row r="137" spans="1:18" x14ac:dyDescent="0.3">
      <c r="A137" t="s">
        <v>5</v>
      </c>
      <c r="B137" s="1">
        <v>45091</v>
      </c>
      <c r="C137" t="s">
        <v>8</v>
      </c>
      <c r="D137" t="s">
        <v>14</v>
      </c>
      <c r="E137">
        <v>4</v>
      </c>
      <c r="F137">
        <v>15.8</v>
      </c>
      <c r="G137">
        <v>0</v>
      </c>
      <c r="H137">
        <f t="shared" si="37"/>
        <v>1.1999999999999993</v>
      </c>
      <c r="I137">
        <f t="shared" si="40"/>
        <v>1.1999999999999993</v>
      </c>
      <c r="J137">
        <f t="shared" si="34"/>
        <v>17</v>
      </c>
      <c r="K137">
        <f t="shared" si="36"/>
        <v>1.6999999999999993</v>
      </c>
      <c r="L137">
        <f t="shared" si="35"/>
        <v>18.899999999999995</v>
      </c>
      <c r="M137">
        <f t="shared" si="38"/>
        <v>0.98360655737704927</v>
      </c>
      <c r="N137">
        <v>19</v>
      </c>
      <c r="O137">
        <f t="shared" si="31"/>
        <v>5</v>
      </c>
      <c r="P137">
        <f t="shared" si="32"/>
        <v>1050</v>
      </c>
      <c r="Q137">
        <f t="shared" si="39"/>
        <v>0</v>
      </c>
      <c r="R137">
        <v>0</v>
      </c>
    </row>
    <row r="138" spans="1:18" x14ac:dyDescent="0.3">
      <c r="A138" t="s">
        <v>6</v>
      </c>
      <c r="B138" s="1">
        <v>45092</v>
      </c>
      <c r="C138" t="s">
        <v>8</v>
      </c>
      <c r="D138" t="s">
        <v>14</v>
      </c>
      <c r="E138">
        <v>4</v>
      </c>
      <c r="F138">
        <v>15.3</v>
      </c>
      <c r="G138">
        <v>0.5</v>
      </c>
      <c r="H138">
        <f t="shared" si="37"/>
        <v>1.1999999999999993</v>
      </c>
      <c r="I138">
        <f t="shared" si="40"/>
        <v>1.6999999999999993</v>
      </c>
      <c r="J138">
        <f t="shared" si="34"/>
        <v>17</v>
      </c>
      <c r="K138">
        <f t="shared" si="36"/>
        <v>1.5999999999999996</v>
      </c>
      <c r="L138">
        <f t="shared" si="35"/>
        <v>20.499999999999993</v>
      </c>
      <c r="M138">
        <f t="shared" si="38"/>
        <v>0.98360655737704927</v>
      </c>
      <c r="N138">
        <v>20</v>
      </c>
      <c r="O138">
        <f t="shared" si="31"/>
        <v>5.5</v>
      </c>
      <c r="P138">
        <f t="shared" si="32"/>
        <v>1155</v>
      </c>
      <c r="Q138">
        <f t="shared" si="39"/>
        <v>0</v>
      </c>
      <c r="R138">
        <v>0</v>
      </c>
    </row>
    <row r="139" spans="1:18" x14ac:dyDescent="0.3">
      <c r="A139" t="s">
        <v>0</v>
      </c>
      <c r="B139" s="1">
        <v>45093</v>
      </c>
      <c r="C139" t="s">
        <v>8</v>
      </c>
      <c r="D139" t="s">
        <v>14</v>
      </c>
      <c r="E139">
        <v>4</v>
      </c>
      <c r="F139">
        <v>15.4</v>
      </c>
      <c r="G139">
        <v>0</v>
      </c>
      <c r="H139">
        <f t="shared" si="37"/>
        <v>1.5999999999999996</v>
      </c>
      <c r="I139">
        <f t="shared" si="40"/>
        <v>1.5999999999999996</v>
      </c>
      <c r="J139">
        <f t="shared" si="34"/>
        <v>17</v>
      </c>
      <c r="K139">
        <f t="shared" si="36"/>
        <v>1.5999999999999996</v>
      </c>
      <c r="L139">
        <f t="shared" si="35"/>
        <v>22.099999999999994</v>
      </c>
      <c r="M139">
        <f t="shared" si="38"/>
        <v>0.98360655737704927</v>
      </c>
      <c r="N139">
        <v>21</v>
      </c>
      <c r="O139">
        <f t="shared" si="31"/>
        <v>5.5</v>
      </c>
      <c r="P139">
        <f t="shared" si="32"/>
        <v>1155</v>
      </c>
      <c r="Q139">
        <f t="shared" si="39"/>
        <v>0</v>
      </c>
      <c r="R139">
        <v>0</v>
      </c>
    </row>
    <row r="140" spans="1:18" x14ac:dyDescent="0.3">
      <c r="A140" t="s">
        <v>1</v>
      </c>
      <c r="B140" s="1">
        <v>45094</v>
      </c>
      <c r="C140" t="s">
        <v>8</v>
      </c>
      <c r="D140" t="s">
        <v>14</v>
      </c>
      <c r="E140">
        <v>4</v>
      </c>
      <c r="F140">
        <v>15.4</v>
      </c>
      <c r="G140">
        <v>0</v>
      </c>
      <c r="H140">
        <f t="shared" si="37"/>
        <v>1.5999999999999996</v>
      </c>
      <c r="I140">
        <f t="shared" si="40"/>
        <v>1.5999999999999996</v>
      </c>
      <c r="J140">
        <f t="shared" si="34"/>
        <v>17</v>
      </c>
      <c r="K140">
        <f t="shared" si="36"/>
        <v>1</v>
      </c>
      <c r="L140">
        <f t="shared" si="35"/>
        <v>23.099999999999994</v>
      </c>
      <c r="M140">
        <f t="shared" si="38"/>
        <v>0.98360655737704927</v>
      </c>
      <c r="N140">
        <v>22</v>
      </c>
      <c r="O140">
        <f t="shared" si="31"/>
        <v>5.5</v>
      </c>
      <c r="P140">
        <f t="shared" si="32"/>
        <v>1155</v>
      </c>
      <c r="Q140">
        <f t="shared" si="39"/>
        <v>0</v>
      </c>
      <c r="R140">
        <v>0</v>
      </c>
    </row>
    <row r="141" spans="1:18" x14ac:dyDescent="0.3">
      <c r="A141" t="s">
        <v>2</v>
      </c>
      <c r="B141" s="1">
        <v>45095</v>
      </c>
      <c r="C141" t="s">
        <v>8</v>
      </c>
      <c r="D141" t="s">
        <v>14</v>
      </c>
      <c r="E141">
        <v>4</v>
      </c>
      <c r="F141">
        <v>16</v>
      </c>
      <c r="G141">
        <v>0</v>
      </c>
      <c r="H141">
        <f t="shared" si="37"/>
        <v>1</v>
      </c>
      <c r="I141">
        <f t="shared" si="40"/>
        <v>1</v>
      </c>
      <c r="J141">
        <f t="shared" si="34"/>
        <v>17</v>
      </c>
      <c r="K141">
        <f t="shared" si="36"/>
        <v>1.5999999999999996</v>
      </c>
      <c r="L141">
        <f t="shared" si="35"/>
        <v>24.699999999999996</v>
      </c>
      <c r="M141">
        <f t="shared" si="38"/>
        <v>0.98360655737704927</v>
      </c>
      <c r="N141">
        <v>23</v>
      </c>
      <c r="O141">
        <f t="shared" si="31"/>
        <v>5.5</v>
      </c>
      <c r="P141">
        <f t="shared" si="32"/>
        <v>1155</v>
      </c>
      <c r="Q141">
        <f t="shared" si="39"/>
        <v>0</v>
      </c>
      <c r="R141">
        <v>0</v>
      </c>
    </row>
    <row r="142" spans="1:18" x14ac:dyDescent="0.3">
      <c r="A142" t="s">
        <v>3</v>
      </c>
      <c r="B142" s="1">
        <v>45096</v>
      </c>
      <c r="C142" t="s">
        <v>8</v>
      </c>
      <c r="D142" t="s">
        <v>14</v>
      </c>
      <c r="E142">
        <v>4</v>
      </c>
      <c r="F142">
        <v>15.4</v>
      </c>
      <c r="G142">
        <v>0.5</v>
      </c>
      <c r="H142">
        <f t="shared" si="37"/>
        <v>1.0999999999999996</v>
      </c>
      <c r="I142">
        <f t="shared" si="40"/>
        <v>1.5999999999999996</v>
      </c>
      <c r="J142">
        <f t="shared" si="34"/>
        <v>17</v>
      </c>
      <c r="K142">
        <f t="shared" si="36"/>
        <v>1.8000000000000007</v>
      </c>
      <c r="L142">
        <f t="shared" si="35"/>
        <v>26.499999999999996</v>
      </c>
      <c r="M142">
        <f t="shared" si="38"/>
        <v>0.98360655737704927</v>
      </c>
      <c r="N142">
        <v>24</v>
      </c>
      <c r="O142">
        <f t="shared" si="31"/>
        <v>6</v>
      </c>
      <c r="P142">
        <f t="shared" si="32"/>
        <v>1260</v>
      </c>
      <c r="Q142">
        <f t="shared" si="39"/>
        <v>0</v>
      </c>
      <c r="R142">
        <v>0</v>
      </c>
    </row>
    <row r="143" spans="1:18" x14ac:dyDescent="0.3">
      <c r="A143" t="s">
        <v>4</v>
      </c>
      <c r="B143" s="1">
        <v>45097</v>
      </c>
      <c r="C143" t="s">
        <v>8</v>
      </c>
      <c r="D143" t="s">
        <v>14</v>
      </c>
      <c r="E143">
        <v>4</v>
      </c>
      <c r="F143">
        <v>15.2</v>
      </c>
      <c r="G143">
        <v>0</v>
      </c>
      <c r="H143">
        <f t="shared" si="37"/>
        <v>1.8000000000000007</v>
      </c>
      <c r="I143">
        <f t="shared" si="40"/>
        <v>1.8000000000000007</v>
      </c>
      <c r="J143">
        <f t="shared" si="34"/>
        <v>17</v>
      </c>
      <c r="K143">
        <f t="shared" si="36"/>
        <v>1.5</v>
      </c>
      <c r="L143">
        <f t="shared" si="35"/>
        <v>27.999999999999996</v>
      </c>
      <c r="M143">
        <f t="shared" si="38"/>
        <v>0.98360655737704927</v>
      </c>
      <c r="N143">
        <v>25</v>
      </c>
      <c r="O143">
        <f t="shared" si="31"/>
        <v>6</v>
      </c>
      <c r="P143">
        <f t="shared" si="32"/>
        <v>1260</v>
      </c>
      <c r="Q143">
        <f t="shared" si="39"/>
        <v>0</v>
      </c>
      <c r="R143">
        <v>0</v>
      </c>
    </row>
    <row r="144" spans="1:18" x14ac:dyDescent="0.3">
      <c r="A144" t="s">
        <v>5</v>
      </c>
      <c r="B144" s="1">
        <v>45098</v>
      </c>
      <c r="C144" t="s">
        <v>8</v>
      </c>
      <c r="D144" t="s">
        <v>14</v>
      </c>
      <c r="E144">
        <v>4</v>
      </c>
      <c r="F144">
        <v>15.5</v>
      </c>
      <c r="G144">
        <v>0</v>
      </c>
      <c r="H144">
        <f t="shared" si="37"/>
        <v>1.5</v>
      </c>
      <c r="I144">
        <f t="shared" si="40"/>
        <v>1.5</v>
      </c>
      <c r="J144">
        <f t="shared" si="34"/>
        <v>17</v>
      </c>
      <c r="K144">
        <f t="shared" si="36"/>
        <v>1.5</v>
      </c>
      <c r="L144">
        <f t="shared" si="35"/>
        <v>29.499999999999996</v>
      </c>
      <c r="M144">
        <f t="shared" si="38"/>
        <v>0.98360655737704927</v>
      </c>
      <c r="N144">
        <v>26</v>
      </c>
      <c r="O144">
        <f t="shared" si="31"/>
        <v>6</v>
      </c>
      <c r="P144">
        <f t="shared" si="32"/>
        <v>1260</v>
      </c>
      <c r="Q144">
        <f t="shared" si="39"/>
        <v>0</v>
      </c>
      <c r="R144">
        <v>0</v>
      </c>
    </row>
    <row r="145" spans="1:18" x14ac:dyDescent="0.3">
      <c r="A145" t="s">
        <v>6</v>
      </c>
      <c r="B145" s="1">
        <v>45099</v>
      </c>
      <c r="C145" t="s">
        <v>8</v>
      </c>
      <c r="D145" t="s">
        <v>14</v>
      </c>
      <c r="E145">
        <v>4</v>
      </c>
      <c r="F145">
        <v>15.5</v>
      </c>
      <c r="G145">
        <v>0.5</v>
      </c>
      <c r="H145">
        <f t="shared" si="37"/>
        <v>1</v>
      </c>
      <c r="I145">
        <f t="shared" si="40"/>
        <v>1.5</v>
      </c>
      <c r="J145">
        <f t="shared" si="34"/>
        <v>17</v>
      </c>
      <c r="K145">
        <f t="shared" si="36"/>
        <v>1.0999999999999996</v>
      </c>
      <c r="L145">
        <f t="shared" si="35"/>
        <v>30.599999999999994</v>
      </c>
      <c r="M145">
        <f t="shared" si="38"/>
        <v>0.98360655737704927</v>
      </c>
      <c r="N145">
        <v>27</v>
      </c>
      <c r="O145">
        <f t="shared" si="31"/>
        <v>6.5</v>
      </c>
      <c r="P145">
        <f t="shared" si="32"/>
        <v>1365</v>
      </c>
      <c r="Q145">
        <f t="shared" si="39"/>
        <v>0</v>
      </c>
      <c r="R145">
        <v>0</v>
      </c>
    </row>
    <row r="146" spans="1:18" x14ac:dyDescent="0.3">
      <c r="A146" t="s">
        <v>0</v>
      </c>
      <c r="B146" s="1">
        <v>45100</v>
      </c>
      <c r="C146" t="s">
        <v>8</v>
      </c>
      <c r="D146" t="s">
        <v>14</v>
      </c>
      <c r="E146">
        <v>4</v>
      </c>
      <c r="F146">
        <v>15.9</v>
      </c>
      <c r="G146">
        <v>0</v>
      </c>
      <c r="H146">
        <f t="shared" si="37"/>
        <v>1.0999999999999996</v>
      </c>
      <c r="I146">
        <f>H146+G146</f>
        <v>1.0999999999999996</v>
      </c>
      <c r="J146">
        <f t="shared" si="34"/>
        <v>17</v>
      </c>
      <c r="K146">
        <f t="shared" si="36"/>
        <v>1</v>
      </c>
      <c r="L146">
        <f t="shared" si="35"/>
        <v>31.599999999999994</v>
      </c>
      <c r="M146">
        <f t="shared" si="38"/>
        <v>0.98360655737704927</v>
      </c>
      <c r="N146">
        <v>28</v>
      </c>
      <c r="O146">
        <f t="shared" si="31"/>
        <v>6.5</v>
      </c>
      <c r="P146">
        <f t="shared" si="32"/>
        <v>1365</v>
      </c>
      <c r="Q146">
        <f t="shared" si="39"/>
        <v>0</v>
      </c>
      <c r="R146">
        <v>0</v>
      </c>
    </row>
    <row r="147" spans="1:18" x14ac:dyDescent="0.3">
      <c r="A147" t="s">
        <v>1</v>
      </c>
      <c r="B147" s="1">
        <v>45101</v>
      </c>
      <c r="C147" t="s">
        <v>8</v>
      </c>
      <c r="D147" t="s">
        <v>14</v>
      </c>
      <c r="E147">
        <v>4</v>
      </c>
      <c r="F147">
        <v>16</v>
      </c>
      <c r="G147">
        <v>0</v>
      </c>
      <c r="H147">
        <f t="shared" si="37"/>
        <v>1</v>
      </c>
      <c r="I147">
        <f t="shared" ref="I147:I156" si="41">H147+G147</f>
        <v>1</v>
      </c>
      <c r="J147">
        <f t="shared" si="34"/>
        <v>17</v>
      </c>
      <c r="K147">
        <f t="shared" si="36"/>
        <v>0.89999999999999858</v>
      </c>
      <c r="L147">
        <f t="shared" si="35"/>
        <v>32.499999999999993</v>
      </c>
      <c r="M147">
        <f t="shared" si="38"/>
        <v>0.98360655737704927</v>
      </c>
      <c r="N147">
        <v>29</v>
      </c>
      <c r="O147">
        <f t="shared" si="31"/>
        <v>6.5</v>
      </c>
      <c r="P147">
        <f t="shared" si="32"/>
        <v>1365</v>
      </c>
      <c r="Q147">
        <f t="shared" si="39"/>
        <v>0</v>
      </c>
      <c r="R147">
        <v>0</v>
      </c>
    </row>
    <row r="148" spans="1:18" x14ac:dyDescent="0.3">
      <c r="A148" t="s">
        <v>2</v>
      </c>
      <c r="B148" s="1">
        <v>45102</v>
      </c>
      <c r="C148" t="s">
        <v>8</v>
      </c>
      <c r="D148" t="s">
        <v>14</v>
      </c>
      <c r="E148">
        <v>4</v>
      </c>
      <c r="F148">
        <v>16.100000000000001</v>
      </c>
      <c r="G148">
        <v>0</v>
      </c>
      <c r="H148">
        <f t="shared" si="37"/>
        <v>0.89999999999999858</v>
      </c>
      <c r="I148">
        <f t="shared" si="41"/>
        <v>0.89999999999999858</v>
      </c>
      <c r="J148">
        <f t="shared" si="34"/>
        <v>17</v>
      </c>
      <c r="K148">
        <f t="shared" si="36"/>
        <v>1.8000000000000007</v>
      </c>
      <c r="L148">
        <f t="shared" si="35"/>
        <v>34.299999999999997</v>
      </c>
      <c r="M148">
        <f t="shared" si="38"/>
        <v>0.98360655737704927</v>
      </c>
      <c r="N148">
        <v>30</v>
      </c>
      <c r="O148">
        <f t="shared" si="31"/>
        <v>6.5</v>
      </c>
      <c r="P148">
        <f t="shared" si="32"/>
        <v>1365</v>
      </c>
      <c r="Q148">
        <f t="shared" si="39"/>
        <v>0</v>
      </c>
      <c r="R148">
        <v>0</v>
      </c>
    </row>
    <row r="149" spans="1:18" x14ac:dyDescent="0.3">
      <c r="A149" t="s">
        <v>3</v>
      </c>
      <c r="B149" s="1">
        <v>45103</v>
      </c>
      <c r="C149" t="s">
        <v>8</v>
      </c>
      <c r="D149" t="s">
        <v>14</v>
      </c>
      <c r="E149">
        <v>4</v>
      </c>
      <c r="F149">
        <v>15.2</v>
      </c>
      <c r="G149">
        <v>0.5</v>
      </c>
      <c r="H149">
        <f t="shared" si="37"/>
        <v>1.3000000000000007</v>
      </c>
      <c r="I149">
        <f t="shared" si="41"/>
        <v>1.8000000000000007</v>
      </c>
      <c r="J149">
        <f t="shared" si="34"/>
        <v>17</v>
      </c>
      <c r="K149">
        <f t="shared" si="36"/>
        <v>2.5</v>
      </c>
      <c r="L149">
        <f t="shared" si="35"/>
        <v>36.799999999999997</v>
      </c>
      <c r="M149">
        <f t="shared" si="38"/>
        <v>0.98360655737704927</v>
      </c>
      <c r="N149">
        <v>31</v>
      </c>
      <c r="O149">
        <f t="shared" si="31"/>
        <v>7</v>
      </c>
      <c r="P149">
        <f t="shared" si="32"/>
        <v>1470</v>
      </c>
      <c r="Q149">
        <f t="shared" si="39"/>
        <v>0</v>
      </c>
      <c r="R149">
        <v>0</v>
      </c>
    </row>
    <row r="150" spans="1:18" x14ac:dyDescent="0.3">
      <c r="A150" t="s">
        <v>4</v>
      </c>
      <c r="B150" s="1">
        <v>45104</v>
      </c>
      <c r="C150" t="s">
        <v>8</v>
      </c>
      <c r="D150" t="s">
        <v>14</v>
      </c>
      <c r="E150">
        <v>4</v>
      </c>
      <c r="F150">
        <v>14.5</v>
      </c>
      <c r="G150">
        <v>0</v>
      </c>
      <c r="H150">
        <f t="shared" si="37"/>
        <v>2.5</v>
      </c>
      <c r="I150">
        <f t="shared" si="41"/>
        <v>2.5</v>
      </c>
      <c r="J150">
        <f>I150+F150</f>
        <v>17</v>
      </c>
      <c r="K150">
        <f t="shared" si="36"/>
        <v>1.5</v>
      </c>
      <c r="L150">
        <f t="shared" si="35"/>
        <v>38.299999999999997</v>
      </c>
      <c r="M150">
        <f t="shared" si="38"/>
        <v>0.98360655737704927</v>
      </c>
      <c r="N150">
        <v>32</v>
      </c>
      <c r="O150">
        <f t="shared" si="31"/>
        <v>7</v>
      </c>
      <c r="P150">
        <f t="shared" si="32"/>
        <v>1470</v>
      </c>
      <c r="Q150">
        <f t="shared" si="39"/>
        <v>0</v>
      </c>
      <c r="R150">
        <v>0</v>
      </c>
    </row>
    <row r="151" spans="1:18" x14ac:dyDescent="0.3">
      <c r="A151" t="s">
        <v>5</v>
      </c>
      <c r="B151" s="1">
        <v>45105</v>
      </c>
      <c r="C151" t="s">
        <v>8</v>
      </c>
      <c r="D151" t="s">
        <v>14</v>
      </c>
      <c r="E151">
        <v>4</v>
      </c>
      <c r="F151">
        <v>15.5</v>
      </c>
      <c r="G151">
        <v>0</v>
      </c>
      <c r="H151">
        <f t="shared" si="37"/>
        <v>1.5</v>
      </c>
      <c r="I151">
        <f t="shared" si="41"/>
        <v>1.5</v>
      </c>
      <c r="J151">
        <f t="shared" ref="J151:J156" si="42">I151+F151</f>
        <v>17</v>
      </c>
      <c r="K151">
        <f t="shared" si="36"/>
        <v>1.5</v>
      </c>
      <c r="L151">
        <f t="shared" si="35"/>
        <v>39.799999999999997</v>
      </c>
      <c r="M151">
        <f t="shared" si="38"/>
        <v>0.98360655737704927</v>
      </c>
      <c r="N151">
        <v>33</v>
      </c>
      <c r="O151">
        <f t="shared" si="31"/>
        <v>7</v>
      </c>
      <c r="P151">
        <f t="shared" si="32"/>
        <v>1470</v>
      </c>
      <c r="Q151">
        <f t="shared" si="39"/>
        <v>0</v>
      </c>
      <c r="R151">
        <v>0</v>
      </c>
    </row>
    <row r="152" spans="1:18" x14ac:dyDescent="0.3">
      <c r="A152" t="s">
        <v>6</v>
      </c>
      <c r="B152" s="1">
        <v>45106</v>
      </c>
      <c r="C152" t="s">
        <v>8</v>
      </c>
      <c r="D152" t="s">
        <v>14</v>
      </c>
      <c r="E152">
        <v>4</v>
      </c>
      <c r="F152">
        <v>15.5</v>
      </c>
      <c r="G152">
        <v>0.5</v>
      </c>
      <c r="H152">
        <f t="shared" si="37"/>
        <v>1</v>
      </c>
      <c r="I152">
        <f t="shared" si="41"/>
        <v>1.5</v>
      </c>
      <c r="J152">
        <f t="shared" si="42"/>
        <v>17</v>
      </c>
      <c r="K152">
        <f t="shared" si="36"/>
        <v>1.4000000000000004</v>
      </c>
      <c r="L152">
        <f t="shared" si="35"/>
        <v>41.199999999999996</v>
      </c>
      <c r="M152">
        <f t="shared" si="38"/>
        <v>0.98360655737704927</v>
      </c>
      <c r="N152">
        <v>34</v>
      </c>
      <c r="O152">
        <f t="shared" si="31"/>
        <v>7.5</v>
      </c>
      <c r="P152">
        <f t="shared" si="32"/>
        <v>1575</v>
      </c>
      <c r="Q152">
        <f t="shared" si="39"/>
        <v>0</v>
      </c>
      <c r="R152">
        <v>0</v>
      </c>
    </row>
    <row r="153" spans="1:18" x14ac:dyDescent="0.3">
      <c r="A153" t="s">
        <v>0</v>
      </c>
      <c r="B153" s="1">
        <v>45107</v>
      </c>
      <c r="C153" t="s">
        <v>8</v>
      </c>
      <c r="D153" t="s">
        <v>14</v>
      </c>
      <c r="E153">
        <v>4</v>
      </c>
      <c r="F153">
        <v>15.6</v>
      </c>
      <c r="G153">
        <v>0</v>
      </c>
      <c r="H153">
        <f t="shared" si="37"/>
        <v>1.4000000000000004</v>
      </c>
      <c r="I153">
        <f t="shared" si="41"/>
        <v>1.4000000000000004</v>
      </c>
      <c r="J153">
        <f t="shared" si="42"/>
        <v>17</v>
      </c>
      <c r="K153">
        <f t="shared" si="36"/>
        <v>0.60000000000000142</v>
      </c>
      <c r="L153">
        <f t="shared" si="35"/>
        <v>41.8</v>
      </c>
      <c r="M153">
        <f t="shared" si="38"/>
        <v>0.98360655737704927</v>
      </c>
      <c r="N153">
        <v>35</v>
      </c>
      <c r="O153">
        <f t="shared" si="31"/>
        <v>7.5</v>
      </c>
      <c r="P153">
        <f t="shared" si="32"/>
        <v>1575</v>
      </c>
      <c r="Q153">
        <f t="shared" si="39"/>
        <v>0</v>
      </c>
      <c r="R153">
        <v>0</v>
      </c>
    </row>
    <row r="154" spans="1:18" x14ac:dyDescent="0.3">
      <c r="A154" t="s">
        <v>1</v>
      </c>
      <c r="B154" s="1">
        <v>45108</v>
      </c>
      <c r="C154" t="s">
        <v>8</v>
      </c>
      <c r="D154" t="s">
        <v>14</v>
      </c>
      <c r="E154">
        <v>4</v>
      </c>
      <c r="F154">
        <v>16.399999999999999</v>
      </c>
      <c r="G154">
        <v>0</v>
      </c>
      <c r="H154">
        <f t="shared" si="37"/>
        <v>0.60000000000000142</v>
      </c>
      <c r="I154">
        <f t="shared" si="41"/>
        <v>0.60000000000000142</v>
      </c>
      <c r="J154">
        <f t="shared" si="42"/>
        <v>17</v>
      </c>
      <c r="K154">
        <f t="shared" si="36"/>
        <v>0.60000000000000142</v>
      </c>
      <c r="L154">
        <f t="shared" si="35"/>
        <v>42.4</v>
      </c>
      <c r="M154">
        <f t="shared" si="38"/>
        <v>0.98360655737704927</v>
      </c>
      <c r="N154">
        <v>36</v>
      </c>
      <c r="O154">
        <f t="shared" si="31"/>
        <v>7.5</v>
      </c>
      <c r="P154">
        <f t="shared" si="32"/>
        <v>1575</v>
      </c>
      <c r="Q154">
        <f t="shared" si="39"/>
        <v>0</v>
      </c>
      <c r="R154">
        <v>0</v>
      </c>
    </row>
    <row r="155" spans="1:18" x14ac:dyDescent="0.3">
      <c r="A155" t="s">
        <v>2</v>
      </c>
      <c r="B155" s="1">
        <v>45109</v>
      </c>
      <c r="C155" t="s">
        <v>8</v>
      </c>
      <c r="D155" t="s">
        <v>14</v>
      </c>
      <c r="E155">
        <v>4</v>
      </c>
      <c r="F155">
        <v>16.399999999999999</v>
      </c>
      <c r="G155">
        <v>0</v>
      </c>
      <c r="H155">
        <f t="shared" si="37"/>
        <v>0.60000000000000142</v>
      </c>
      <c r="I155">
        <f t="shared" si="41"/>
        <v>0.60000000000000142</v>
      </c>
      <c r="J155">
        <f t="shared" si="42"/>
        <v>17</v>
      </c>
      <c r="K155">
        <f>J155-F156</f>
        <v>0.89999999999999858</v>
      </c>
      <c r="L155">
        <f t="shared" si="35"/>
        <v>43.3</v>
      </c>
      <c r="M155">
        <f t="shared" si="38"/>
        <v>0.98360655737704927</v>
      </c>
      <c r="N155">
        <v>37</v>
      </c>
      <c r="O155">
        <f t="shared" si="31"/>
        <v>7.5</v>
      </c>
      <c r="P155">
        <f t="shared" si="32"/>
        <v>1575</v>
      </c>
      <c r="Q155">
        <f t="shared" si="39"/>
        <v>0</v>
      </c>
      <c r="R155">
        <v>0</v>
      </c>
    </row>
    <row r="156" spans="1:18" s="2" customFormat="1" x14ac:dyDescent="0.3">
      <c r="A156" s="2" t="s">
        <v>3</v>
      </c>
      <c r="B156" s="3">
        <v>45110</v>
      </c>
      <c r="C156" s="2" t="s">
        <v>8</v>
      </c>
      <c r="D156" s="2" t="s">
        <v>14</v>
      </c>
      <c r="E156" s="2">
        <v>4</v>
      </c>
      <c r="F156" s="2">
        <v>16.100000000000001</v>
      </c>
      <c r="G156" s="2">
        <v>0</v>
      </c>
      <c r="H156" s="2">
        <f t="shared" si="37"/>
        <v>0.89999999999999858</v>
      </c>
      <c r="I156" s="2">
        <f t="shared" si="41"/>
        <v>0.89999999999999858</v>
      </c>
      <c r="J156" s="2">
        <f t="shared" si="42"/>
        <v>17</v>
      </c>
      <c r="O156" s="2">
        <f t="shared" si="31"/>
        <v>7.5</v>
      </c>
      <c r="P156">
        <f t="shared" si="32"/>
        <v>1575</v>
      </c>
      <c r="Q156">
        <f t="shared" si="39"/>
        <v>0</v>
      </c>
      <c r="R156">
        <v>0</v>
      </c>
    </row>
    <row r="157" spans="1:18" x14ac:dyDescent="0.3">
      <c r="A157" t="s">
        <v>1</v>
      </c>
      <c r="B157" s="1">
        <v>45073</v>
      </c>
      <c r="C157" t="s">
        <v>8</v>
      </c>
      <c r="D157" t="s">
        <v>14</v>
      </c>
      <c r="E157">
        <v>5</v>
      </c>
      <c r="F157">
        <v>17</v>
      </c>
      <c r="G157">
        <v>0</v>
      </c>
      <c r="H157">
        <f t="shared" si="37"/>
        <v>0</v>
      </c>
      <c r="I157">
        <f>H157+G157</f>
        <v>0</v>
      </c>
      <c r="J157">
        <f>I157+F157</f>
        <v>17</v>
      </c>
      <c r="K157">
        <f>J157-F158</f>
        <v>0.5</v>
      </c>
      <c r="M157">
        <f t="shared" si="38"/>
        <v>0.98360655737704927</v>
      </c>
      <c r="N157">
        <v>1</v>
      </c>
      <c r="O157">
        <v>2.5</v>
      </c>
      <c r="Q157">
        <f t="shared" si="39"/>
        <v>0</v>
      </c>
      <c r="R157">
        <v>0</v>
      </c>
    </row>
    <row r="158" spans="1:18" x14ac:dyDescent="0.3">
      <c r="A158" t="s">
        <v>2</v>
      </c>
      <c r="B158" s="1">
        <v>45074</v>
      </c>
      <c r="C158" t="s">
        <v>8</v>
      </c>
      <c r="D158" t="s">
        <v>14</v>
      </c>
      <c r="E158">
        <v>5</v>
      </c>
      <c r="F158">
        <v>16.5</v>
      </c>
      <c r="G158">
        <v>0</v>
      </c>
      <c r="H158">
        <f t="shared" si="37"/>
        <v>0.5</v>
      </c>
      <c r="I158">
        <f>H158+G158</f>
        <v>0.5</v>
      </c>
      <c r="J158">
        <f>I158+F158</f>
        <v>17</v>
      </c>
      <c r="K158">
        <f>J158-F159</f>
        <v>0.5</v>
      </c>
      <c r="L158">
        <f>K158+K157</f>
        <v>1</v>
      </c>
      <c r="M158">
        <f t="shared" si="38"/>
        <v>0.98360655737704927</v>
      </c>
      <c r="N158">
        <v>2</v>
      </c>
      <c r="O158">
        <f t="shared" ref="O158:O195" si="43">O157+G158</f>
        <v>2.5</v>
      </c>
      <c r="P158">
        <f t="shared" si="32"/>
        <v>525</v>
      </c>
      <c r="Q158">
        <f t="shared" si="39"/>
        <v>0</v>
      </c>
      <c r="R158">
        <v>0</v>
      </c>
    </row>
    <row r="159" spans="1:18" x14ac:dyDescent="0.3">
      <c r="A159" t="s">
        <v>3</v>
      </c>
      <c r="B159" s="1">
        <v>45075</v>
      </c>
      <c r="C159" t="s">
        <v>8</v>
      </c>
      <c r="D159" t="s">
        <v>14</v>
      </c>
      <c r="E159">
        <v>5</v>
      </c>
      <c r="F159">
        <v>16.5</v>
      </c>
      <c r="G159">
        <v>0.25</v>
      </c>
      <c r="H159">
        <f t="shared" si="37"/>
        <v>0.25</v>
      </c>
      <c r="I159">
        <f>H159+G159</f>
        <v>0.5</v>
      </c>
      <c r="J159">
        <f>I159+F159</f>
        <v>17</v>
      </c>
      <c r="K159">
        <f t="shared" ref="K159:K194" si="44">J159-F160</f>
        <v>0.69999999999999929</v>
      </c>
      <c r="L159">
        <f>L158+K159</f>
        <v>1.6999999999999993</v>
      </c>
      <c r="M159">
        <f t="shared" si="38"/>
        <v>0.98360655737704927</v>
      </c>
      <c r="N159">
        <v>3</v>
      </c>
      <c r="O159">
        <f t="shared" si="43"/>
        <v>2.75</v>
      </c>
      <c r="P159">
        <f t="shared" si="32"/>
        <v>577.5</v>
      </c>
      <c r="Q159">
        <f t="shared" si="39"/>
        <v>0</v>
      </c>
      <c r="R159">
        <v>0</v>
      </c>
    </row>
    <row r="160" spans="1:18" x14ac:dyDescent="0.3">
      <c r="A160" t="s">
        <v>4</v>
      </c>
      <c r="B160" s="1">
        <v>45076</v>
      </c>
      <c r="C160" t="s">
        <v>8</v>
      </c>
      <c r="D160" t="s">
        <v>14</v>
      </c>
      <c r="E160">
        <v>5</v>
      </c>
      <c r="F160">
        <v>16.3</v>
      </c>
      <c r="G160">
        <v>0.25</v>
      </c>
      <c r="H160">
        <f t="shared" si="37"/>
        <v>0.44999999999999929</v>
      </c>
      <c r="I160">
        <f t="shared" ref="I160:I171" si="45">H160+G160</f>
        <v>0.69999999999999929</v>
      </c>
      <c r="J160">
        <f t="shared" ref="J160:J187" si="46">I160+F160</f>
        <v>17</v>
      </c>
      <c r="K160">
        <f t="shared" si="44"/>
        <v>0.89999999999999858</v>
      </c>
      <c r="L160">
        <f t="shared" ref="L160:L194" si="47">L159+K160</f>
        <v>2.5999999999999979</v>
      </c>
      <c r="M160">
        <f t="shared" si="38"/>
        <v>0.98360655737704927</v>
      </c>
      <c r="N160">
        <v>4</v>
      </c>
      <c r="O160">
        <f t="shared" si="43"/>
        <v>3</v>
      </c>
      <c r="P160">
        <f t="shared" si="32"/>
        <v>630</v>
      </c>
      <c r="Q160">
        <f t="shared" si="39"/>
        <v>0</v>
      </c>
      <c r="R160">
        <v>0</v>
      </c>
    </row>
    <row r="161" spans="1:18" x14ac:dyDescent="0.3">
      <c r="A161" t="s">
        <v>5</v>
      </c>
      <c r="B161" s="1">
        <v>45077</v>
      </c>
      <c r="C161" t="s">
        <v>8</v>
      </c>
      <c r="D161" t="s">
        <v>14</v>
      </c>
      <c r="E161">
        <v>5</v>
      </c>
      <c r="F161">
        <v>16.100000000000001</v>
      </c>
      <c r="G161">
        <v>0</v>
      </c>
      <c r="H161">
        <f t="shared" si="37"/>
        <v>0.89999999999999858</v>
      </c>
      <c r="I161">
        <f t="shared" si="45"/>
        <v>0.89999999999999858</v>
      </c>
      <c r="J161">
        <f t="shared" si="46"/>
        <v>17</v>
      </c>
      <c r="K161">
        <f t="shared" si="44"/>
        <v>0.69999999999999929</v>
      </c>
      <c r="L161">
        <f t="shared" si="47"/>
        <v>3.2999999999999972</v>
      </c>
      <c r="M161">
        <f t="shared" si="38"/>
        <v>0.98360655737704927</v>
      </c>
      <c r="N161">
        <v>5</v>
      </c>
      <c r="O161">
        <f t="shared" si="43"/>
        <v>3</v>
      </c>
      <c r="P161">
        <f t="shared" si="32"/>
        <v>630</v>
      </c>
      <c r="Q161">
        <f t="shared" si="39"/>
        <v>0</v>
      </c>
      <c r="R161">
        <v>0</v>
      </c>
    </row>
    <row r="162" spans="1:18" x14ac:dyDescent="0.3">
      <c r="A162" t="s">
        <v>6</v>
      </c>
      <c r="B162" s="1">
        <v>45078</v>
      </c>
      <c r="C162" t="s">
        <v>8</v>
      </c>
      <c r="D162" t="s">
        <v>14</v>
      </c>
      <c r="E162">
        <v>5</v>
      </c>
      <c r="F162">
        <v>16.3</v>
      </c>
      <c r="G162">
        <v>0.25</v>
      </c>
      <c r="H162">
        <f t="shared" si="37"/>
        <v>0.44999999999999929</v>
      </c>
      <c r="I162">
        <f t="shared" si="45"/>
        <v>0.69999999999999929</v>
      </c>
      <c r="J162">
        <f t="shared" si="46"/>
        <v>17</v>
      </c>
      <c r="K162">
        <f t="shared" si="44"/>
        <v>0.5</v>
      </c>
      <c r="L162">
        <f t="shared" si="47"/>
        <v>3.7999999999999972</v>
      </c>
      <c r="M162">
        <f t="shared" si="38"/>
        <v>0.98360655737704927</v>
      </c>
      <c r="N162">
        <v>6</v>
      </c>
      <c r="O162">
        <f t="shared" si="43"/>
        <v>3.25</v>
      </c>
      <c r="P162">
        <f t="shared" si="32"/>
        <v>682.5</v>
      </c>
      <c r="Q162">
        <f t="shared" si="39"/>
        <v>0</v>
      </c>
      <c r="R162">
        <v>0</v>
      </c>
    </row>
    <row r="163" spans="1:18" x14ac:dyDescent="0.3">
      <c r="A163" t="s">
        <v>0</v>
      </c>
      <c r="B163" s="1">
        <v>45079</v>
      </c>
      <c r="C163" t="s">
        <v>8</v>
      </c>
      <c r="D163" t="s">
        <v>14</v>
      </c>
      <c r="E163">
        <v>5</v>
      </c>
      <c r="F163">
        <v>16.5</v>
      </c>
      <c r="G163">
        <v>0.25</v>
      </c>
      <c r="H163">
        <f t="shared" si="37"/>
        <v>0.25</v>
      </c>
      <c r="I163">
        <f t="shared" si="45"/>
        <v>0.5</v>
      </c>
      <c r="J163">
        <f t="shared" si="46"/>
        <v>17</v>
      </c>
      <c r="K163">
        <f t="shared" si="44"/>
        <v>0.39999999999999858</v>
      </c>
      <c r="L163">
        <f t="shared" si="47"/>
        <v>4.1999999999999957</v>
      </c>
      <c r="M163">
        <f t="shared" si="38"/>
        <v>0.98360655737704927</v>
      </c>
      <c r="N163">
        <v>7</v>
      </c>
      <c r="O163">
        <f t="shared" si="43"/>
        <v>3.5</v>
      </c>
      <c r="P163">
        <f t="shared" si="32"/>
        <v>735</v>
      </c>
      <c r="Q163">
        <f t="shared" si="39"/>
        <v>0</v>
      </c>
      <c r="R163">
        <v>0</v>
      </c>
    </row>
    <row r="164" spans="1:18" x14ac:dyDescent="0.3">
      <c r="A164" t="s">
        <v>1</v>
      </c>
      <c r="B164" s="1">
        <v>45080</v>
      </c>
      <c r="C164" t="s">
        <v>8</v>
      </c>
      <c r="D164" t="s">
        <v>14</v>
      </c>
      <c r="E164">
        <v>5</v>
      </c>
      <c r="F164">
        <v>16.600000000000001</v>
      </c>
      <c r="G164">
        <v>0</v>
      </c>
      <c r="H164">
        <f t="shared" si="37"/>
        <v>0.39999999999999858</v>
      </c>
      <c r="I164">
        <f t="shared" si="45"/>
        <v>0.39999999999999858</v>
      </c>
      <c r="J164">
        <f t="shared" si="46"/>
        <v>17</v>
      </c>
      <c r="K164">
        <f t="shared" si="44"/>
        <v>0.5</v>
      </c>
      <c r="L164">
        <f t="shared" si="47"/>
        <v>4.6999999999999957</v>
      </c>
      <c r="M164">
        <f t="shared" si="38"/>
        <v>0.98360655737704927</v>
      </c>
      <c r="N164">
        <v>8</v>
      </c>
      <c r="O164">
        <f t="shared" si="43"/>
        <v>3.5</v>
      </c>
      <c r="P164">
        <f t="shared" si="32"/>
        <v>735</v>
      </c>
      <c r="Q164">
        <f t="shared" si="39"/>
        <v>0</v>
      </c>
      <c r="R164">
        <v>0</v>
      </c>
    </row>
    <row r="165" spans="1:18" x14ac:dyDescent="0.3">
      <c r="A165" t="s">
        <v>2</v>
      </c>
      <c r="B165" s="1">
        <v>45081</v>
      </c>
      <c r="C165" t="s">
        <v>8</v>
      </c>
      <c r="D165" t="s">
        <v>14</v>
      </c>
      <c r="E165">
        <v>5</v>
      </c>
      <c r="F165">
        <v>16.5</v>
      </c>
      <c r="G165">
        <v>0</v>
      </c>
      <c r="H165">
        <f t="shared" si="37"/>
        <v>0.5</v>
      </c>
      <c r="I165">
        <f t="shared" si="45"/>
        <v>0.5</v>
      </c>
      <c r="J165">
        <f t="shared" si="46"/>
        <v>17</v>
      </c>
      <c r="K165">
        <f t="shared" si="44"/>
        <v>0.69999999999999929</v>
      </c>
      <c r="L165">
        <f t="shared" si="47"/>
        <v>5.399999999999995</v>
      </c>
      <c r="M165">
        <f t="shared" si="38"/>
        <v>0.98360655737704927</v>
      </c>
      <c r="N165">
        <v>9</v>
      </c>
      <c r="O165">
        <f t="shared" si="43"/>
        <v>3.5</v>
      </c>
      <c r="P165">
        <f t="shared" si="32"/>
        <v>735</v>
      </c>
      <c r="Q165">
        <f t="shared" si="39"/>
        <v>0</v>
      </c>
      <c r="R165">
        <v>0</v>
      </c>
    </row>
    <row r="166" spans="1:18" x14ac:dyDescent="0.3">
      <c r="A166" t="s">
        <v>3</v>
      </c>
      <c r="B166" s="1">
        <v>45082</v>
      </c>
      <c r="C166" t="s">
        <v>8</v>
      </c>
      <c r="D166" t="s">
        <v>14</v>
      </c>
      <c r="E166">
        <v>5</v>
      </c>
      <c r="F166">
        <v>16.3</v>
      </c>
      <c r="G166">
        <v>0.25</v>
      </c>
      <c r="H166">
        <f t="shared" si="37"/>
        <v>0.44999999999999929</v>
      </c>
      <c r="I166">
        <f t="shared" si="45"/>
        <v>0.69999999999999929</v>
      </c>
      <c r="J166">
        <f t="shared" si="46"/>
        <v>17</v>
      </c>
      <c r="K166">
        <f t="shared" si="44"/>
        <v>0.39999999999999858</v>
      </c>
      <c r="L166">
        <f t="shared" si="47"/>
        <v>5.7999999999999936</v>
      </c>
      <c r="M166">
        <f t="shared" si="38"/>
        <v>0.98360655737704927</v>
      </c>
      <c r="N166">
        <v>10</v>
      </c>
      <c r="O166">
        <f t="shared" si="43"/>
        <v>3.75</v>
      </c>
      <c r="P166">
        <f t="shared" si="32"/>
        <v>787.5</v>
      </c>
      <c r="Q166">
        <f t="shared" si="39"/>
        <v>0</v>
      </c>
      <c r="R166">
        <v>0</v>
      </c>
    </row>
    <row r="167" spans="1:18" x14ac:dyDescent="0.3">
      <c r="A167" t="s">
        <v>4</v>
      </c>
      <c r="B167" s="1">
        <v>45083</v>
      </c>
      <c r="C167" t="s">
        <v>8</v>
      </c>
      <c r="D167" t="s">
        <v>14</v>
      </c>
      <c r="E167">
        <v>5</v>
      </c>
      <c r="F167">
        <v>16.600000000000001</v>
      </c>
      <c r="G167">
        <v>0.25</v>
      </c>
      <c r="H167">
        <f t="shared" si="37"/>
        <v>0.14999999999999858</v>
      </c>
      <c r="I167">
        <f t="shared" si="45"/>
        <v>0.39999999999999858</v>
      </c>
      <c r="J167">
        <f t="shared" si="46"/>
        <v>17</v>
      </c>
      <c r="K167">
        <f t="shared" si="44"/>
        <v>1.0999999999999996</v>
      </c>
      <c r="L167">
        <f t="shared" si="47"/>
        <v>6.8999999999999932</v>
      </c>
      <c r="M167">
        <f t="shared" si="38"/>
        <v>0.98360655737704927</v>
      </c>
      <c r="N167">
        <v>11</v>
      </c>
      <c r="O167">
        <f t="shared" si="43"/>
        <v>4</v>
      </c>
      <c r="P167">
        <f t="shared" si="32"/>
        <v>840</v>
      </c>
      <c r="Q167">
        <f t="shared" si="39"/>
        <v>0</v>
      </c>
      <c r="R167">
        <v>0</v>
      </c>
    </row>
    <row r="168" spans="1:18" x14ac:dyDescent="0.3">
      <c r="A168" t="s">
        <v>5</v>
      </c>
      <c r="B168" s="1">
        <v>45084</v>
      </c>
      <c r="C168" t="s">
        <v>8</v>
      </c>
      <c r="D168" t="s">
        <v>14</v>
      </c>
      <c r="E168">
        <v>5</v>
      </c>
      <c r="F168">
        <v>15.9</v>
      </c>
      <c r="G168">
        <v>0</v>
      </c>
      <c r="H168">
        <f t="shared" si="37"/>
        <v>1.0999999999999996</v>
      </c>
      <c r="I168">
        <f t="shared" si="45"/>
        <v>1.0999999999999996</v>
      </c>
      <c r="J168">
        <f t="shared" si="46"/>
        <v>17</v>
      </c>
      <c r="K168">
        <f t="shared" si="44"/>
        <v>0.80000000000000071</v>
      </c>
      <c r="L168">
        <f t="shared" si="47"/>
        <v>7.699999999999994</v>
      </c>
      <c r="M168">
        <f t="shared" si="38"/>
        <v>0.98360655737704927</v>
      </c>
      <c r="N168">
        <v>12</v>
      </c>
      <c r="O168">
        <f t="shared" si="43"/>
        <v>4</v>
      </c>
      <c r="P168">
        <f t="shared" si="32"/>
        <v>840</v>
      </c>
      <c r="Q168">
        <f t="shared" si="39"/>
        <v>0</v>
      </c>
      <c r="R168">
        <v>0</v>
      </c>
    </row>
    <row r="169" spans="1:18" x14ac:dyDescent="0.3">
      <c r="A169" t="s">
        <v>6</v>
      </c>
      <c r="B169" s="1">
        <v>45085</v>
      </c>
      <c r="C169" t="s">
        <v>8</v>
      </c>
      <c r="D169" t="s">
        <v>14</v>
      </c>
      <c r="E169">
        <v>5</v>
      </c>
      <c r="F169">
        <v>16.2</v>
      </c>
      <c r="G169">
        <v>0.25</v>
      </c>
      <c r="H169">
        <f t="shared" si="37"/>
        <v>0.55000000000000071</v>
      </c>
      <c r="I169">
        <f t="shared" si="45"/>
        <v>0.80000000000000071</v>
      </c>
      <c r="J169">
        <f t="shared" si="46"/>
        <v>17</v>
      </c>
      <c r="K169">
        <f t="shared" si="44"/>
        <v>1.0999999999999996</v>
      </c>
      <c r="L169">
        <f t="shared" si="47"/>
        <v>8.7999999999999936</v>
      </c>
      <c r="M169">
        <f t="shared" si="38"/>
        <v>0.98360655737704927</v>
      </c>
      <c r="N169">
        <v>13</v>
      </c>
      <c r="O169">
        <f t="shared" si="43"/>
        <v>4.25</v>
      </c>
      <c r="P169">
        <f t="shared" si="32"/>
        <v>892.5</v>
      </c>
      <c r="Q169">
        <f t="shared" si="39"/>
        <v>0</v>
      </c>
      <c r="R169">
        <v>0</v>
      </c>
    </row>
    <row r="170" spans="1:18" x14ac:dyDescent="0.3">
      <c r="A170" t="s">
        <v>0</v>
      </c>
      <c r="B170" s="1">
        <v>45086</v>
      </c>
      <c r="C170" t="s">
        <v>8</v>
      </c>
      <c r="D170" t="s">
        <v>14</v>
      </c>
      <c r="E170">
        <v>5</v>
      </c>
      <c r="F170">
        <v>15.9</v>
      </c>
      <c r="G170">
        <v>0.25</v>
      </c>
      <c r="H170">
        <f t="shared" si="37"/>
        <v>0.84999999999999964</v>
      </c>
      <c r="I170">
        <f t="shared" si="45"/>
        <v>1.0999999999999996</v>
      </c>
      <c r="J170">
        <f t="shared" si="46"/>
        <v>17</v>
      </c>
      <c r="K170">
        <f t="shared" si="44"/>
        <v>1.1999999999999993</v>
      </c>
      <c r="L170">
        <f t="shared" si="47"/>
        <v>9.9999999999999929</v>
      </c>
      <c r="M170">
        <f t="shared" si="38"/>
        <v>0.98360655737704927</v>
      </c>
      <c r="N170">
        <v>14</v>
      </c>
      <c r="O170">
        <f t="shared" si="43"/>
        <v>4.5</v>
      </c>
      <c r="P170">
        <f t="shared" si="32"/>
        <v>945</v>
      </c>
      <c r="Q170">
        <f t="shared" si="39"/>
        <v>0</v>
      </c>
      <c r="R170">
        <v>0</v>
      </c>
    </row>
    <row r="171" spans="1:18" x14ac:dyDescent="0.3">
      <c r="A171" t="s">
        <v>1</v>
      </c>
      <c r="B171" s="1">
        <v>45087</v>
      </c>
      <c r="C171" t="s">
        <v>8</v>
      </c>
      <c r="D171" t="s">
        <v>14</v>
      </c>
      <c r="E171">
        <v>5</v>
      </c>
      <c r="F171">
        <v>15.8</v>
      </c>
      <c r="G171">
        <v>0</v>
      </c>
      <c r="H171">
        <f t="shared" si="37"/>
        <v>1.1999999999999993</v>
      </c>
      <c r="I171">
        <f t="shared" si="45"/>
        <v>1.1999999999999993</v>
      </c>
      <c r="J171">
        <f t="shared" si="46"/>
        <v>17</v>
      </c>
      <c r="K171">
        <f t="shared" si="44"/>
        <v>1.3000000000000007</v>
      </c>
      <c r="L171">
        <f t="shared" si="47"/>
        <v>11.299999999999994</v>
      </c>
      <c r="M171">
        <f t="shared" si="38"/>
        <v>0.98360655737704927</v>
      </c>
      <c r="N171">
        <v>15</v>
      </c>
      <c r="O171">
        <f t="shared" si="43"/>
        <v>4.5</v>
      </c>
      <c r="P171">
        <f t="shared" si="32"/>
        <v>945</v>
      </c>
      <c r="Q171">
        <f t="shared" si="39"/>
        <v>0</v>
      </c>
      <c r="R171">
        <v>0</v>
      </c>
    </row>
    <row r="172" spans="1:18" x14ac:dyDescent="0.3">
      <c r="A172" t="s">
        <v>2</v>
      </c>
      <c r="B172" s="1">
        <v>45088</v>
      </c>
      <c r="C172" t="s">
        <v>8</v>
      </c>
      <c r="D172" t="s">
        <v>14</v>
      </c>
      <c r="E172">
        <v>5</v>
      </c>
      <c r="F172">
        <v>15.7</v>
      </c>
      <c r="G172">
        <v>0</v>
      </c>
      <c r="H172">
        <f t="shared" si="37"/>
        <v>1.3000000000000007</v>
      </c>
      <c r="I172">
        <f>H172+G172</f>
        <v>1.3000000000000007</v>
      </c>
      <c r="J172">
        <f t="shared" si="46"/>
        <v>17</v>
      </c>
      <c r="K172">
        <f t="shared" si="44"/>
        <v>1.1999999999999993</v>
      </c>
      <c r="L172">
        <f t="shared" si="47"/>
        <v>12.499999999999993</v>
      </c>
      <c r="M172">
        <f t="shared" si="38"/>
        <v>0.98360655737704927</v>
      </c>
      <c r="N172">
        <v>16</v>
      </c>
      <c r="O172">
        <f t="shared" si="43"/>
        <v>4.5</v>
      </c>
      <c r="P172">
        <f t="shared" si="32"/>
        <v>945</v>
      </c>
      <c r="Q172">
        <f t="shared" si="39"/>
        <v>0</v>
      </c>
      <c r="R172">
        <v>0</v>
      </c>
    </row>
    <row r="173" spans="1:18" x14ac:dyDescent="0.3">
      <c r="A173" t="s">
        <v>3</v>
      </c>
      <c r="B173" s="1">
        <v>45089</v>
      </c>
      <c r="C173" t="s">
        <v>8</v>
      </c>
      <c r="D173" t="s">
        <v>14</v>
      </c>
      <c r="E173">
        <v>5</v>
      </c>
      <c r="F173">
        <v>15.8</v>
      </c>
      <c r="G173">
        <v>0.5</v>
      </c>
      <c r="H173">
        <f t="shared" si="37"/>
        <v>0.69999999999999929</v>
      </c>
      <c r="I173">
        <f t="shared" ref="I173:I183" si="48">H173+G173</f>
        <v>1.1999999999999993</v>
      </c>
      <c r="J173">
        <f t="shared" si="46"/>
        <v>17</v>
      </c>
      <c r="K173">
        <f t="shared" si="44"/>
        <v>0.39999999999999858</v>
      </c>
      <c r="L173">
        <f t="shared" si="47"/>
        <v>12.899999999999991</v>
      </c>
      <c r="M173">
        <f t="shared" si="38"/>
        <v>0.98360655737704927</v>
      </c>
      <c r="N173">
        <v>17</v>
      </c>
      <c r="O173">
        <f t="shared" si="43"/>
        <v>5</v>
      </c>
      <c r="P173">
        <f t="shared" si="32"/>
        <v>1050</v>
      </c>
      <c r="Q173">
        <f t="shared" si="39"/>
        <v>0</v>
      </c>
      <c r="R173">
        <v>0</v>
      </c>
    </row>
    <row r="174" spans="1:18" x14ac:dyDescent="0.3">
      <c r="A174" t="s">
        <v>4</v>
      </c>
      <c r="B174" s="1">
        <v>45090</v>
      </c>
      <c r="C174" t="s">
        <v>8</v>
      </c>
      <c r="D174" t="s">
        <v>14</v>
      </c>
      <c r="E174">
        <v>5</v>
      </c>
      <c r="F174">
        <v>16.600000000000001</v>
      </c>
      <c r="G174">
        <v>0</v>
      </c>
      <c r="H174">
        <f t="shared" si="37"/>
        <v>0.39999999999999858</v>
      </c>
      <c r="I174">
        <f t="shared" si="48"/>
        <v>0.39999999999999858</v>
      </c>
      <c r="J174">
        <f t="shared" si="46"/>
        <v>17</v>
      </c>
      <c r="K174">
        <f t="shared" si="44"/>
        <v>1</v>
      </c>
      <c r="L174">
        <f t="shared" si="47"/>
        <v>13.899999999999991</v>
      </c>
      <c r="M174">
        <f t="shared" si="38"/>
        <v>0.98360655737704927</v>
      </c>
      <c r="N174">
        <v>18</v>
      </c>
      <c r="O174">
        <f t="shared" si="43"/>
        <v>5</v>
      </c>
      <c r="P174">
        <f t="shared" si="32"/>
        <v>1050</v>
      </c>
      <c r="Q174">
        <f t="shared" si="39"/>
        <v>0</v>
      </c>
      <c r="R174">
        <v>0</v>
      </c>
    </row>
    <row r="175" spans="1:18" x14ac:dyDescent="0.3">
      <c r="A175" t="s">
        <v>5</v>
      </c>
      <c r="B175" s="1">
        <v>45091</v>
      </c>
      <c r="C175" t="s">
        <v>8</v>
      </c>
      <c r="D175" t="s">
        <v>14</v>
      </c>
      <c r="E175">
        <v>5</v>
      </c>
      <c r="F175">
        <v>16</v>
      </c>
      <c r="G175">
        <v>0</v>
      </c>
      <c r="H175">
        <f t="shared" si="37"/>
        <v>1</v>
      </c>
      <c r="I175">
        <f t="shared" si="48"/>
        <v>1</v>
      </c>
      <c r="J175">
        <f t="shared" si="46"/>
        <v>17</v>
      </c>
      <c r="K175">
        <f t="shared" si="44"/>
        <v>1.1999999999999993</v>
      </c>
      <c r="L175">
        <f t="shared" si="47"/>
        <v>15.099999999999991</v>
      </c>
      <c r="M175">
        <f t="shared" si="38"/>
        <v>0.98360655737704927</v>
      </c>
      <c r="N175">
        <v>19</v>
      </c>
      <c r="O175">
        <f t="shared" si="43"/>
        <v>5</v>
      </c>
      <c r="P175">
        <f t="shared" si="32"/>
        <v>1050</v>
      </c>
      <c r="Q175">
        <f t="shared" si="39"/>
        <v>0</v>
      </c>
      <c r="R175">
        <v>0</v>
      </c>
    </row>
    <row r="176" spans="1:18" x14ac:dyDescent="0.3">
      <c r="A176" t="s">
        <v>6</v>
      </c>
      <c r="B176" s="1">
        <v>45092</v>
      </c>
      <c r="C176" t="s">
        <v>8</v>
      </c>
      <c r="D176" t="s">
        <v>14</v>
      </c>
      <c r="E176">
        <v>5</v>
      </c>
      <c r="F176">
        <v>15.8</v>
      </c>
      <c r="G176">
        <v>0.5</v>
      </c>
      <c r="H176">
        <f t="shared" si="37"/>
        <v>0.69999999999999929</v>
      </c>
      <c r="I176">
        <f t="shared" si="48"/>
        <v>1.1999999999999993</v>
      </c>
      <c r="J176">
        <f t="shared" si="46"/>
        <v>17</v>
      </c>
      <c r="K176">
        <f t="shared" si="44"/>
        <v>1.0999999999999996</v>
      </c>
      <c r="L176">
        <f t="shared" si="47"/>
        <v>16.199999999999989</v>
      </c>
      <c r="M176">
        <f t="shared" si="38"/>
        <v>0.98360655737704927</v>
      </c>
      <c r="N176">
        <v>20</v>
      </c>
      <c r="O176">
        <f t="shared" si="43"/>
        <v>5.5</v>
      </c>
      <c r="P176">
        <f t="shared" si="32"/>
        <v>1155</v>
      </c>
      <c r="Q176">
        <f t="shared" si="39"/>
        <v>0</v>
      </c>
      <c r="R176">
        <v>0</v>
      </c>
    </row>
    <row r="177" spans="1:18" x14ac:dyDescent="0.3">
      <c r="A177" t="s">
        <v>0</v>
      </c>
      <c r="B177" s="1">
        <v>45093</v>
      </c>
      <c r="C177" t="s">
        <v>8</v>
      </c>
      <c r="D177" t="s">
        <v>14</v>
      </c>
      <c r="E177">
        <v>5</v>
      </c>
      <c r="F177">
        <v>15.9</v>
      </c>
      <c r="G177">
        <v>0</v>
      </c>
      <c r="H177">
        <f t="shared" si="37"/>
        <v>1.0999999999999996</v>
      </c>
      <c r="I177">
        <f t="shared" si="48"/>
        <v>1.0999999999999996</v>
      </c>
      <c r="J177">
        <f t="shared" si="46"/>
        <v>17</v>
      </c>
      <c r="K177">
        <f t="shared" si="44"/>
        <v>1.0999999999999996</v>
      </c>
      <c r="L177">
        <f t="shared" si="47"/>
        <v>17.29999999999999</v>
      </c>
      <c r="M177">
        <f t="shared" si="38"/>
        <v>0.98360655737704927</v>
      </c>
      <c r="N177">
        <v>21</v>
      </c>
      <c r="O177">
        <f t="shared" si="43"/>
        <v>5.5</v>
      </c>
      <c r="P177">
        <f t="shared" si="32"/>
        <v>1155</v>
      </c>
      <c r="Q177">
        <f t="shared" si="39"/>
        <v>0</v>
      </c>
      <c r="R177">
        <v>0</v>
      </c>
    </row>
    <row r="178" spans="1:18" x14ac:dyDescent="0.3">
      <c r="A178" t="s">
        <v>1</v>
      </c>
      <c r="B178" s="1">
        <v>45094</v>
      </c>
      <c r="C178" t="s">
        <v>8</v>
      </c>
      <c r="D178" t="s">
        <v>14</v>
      </c>
      <c r="E178">
        <v>5</v>
      </c>
      <c r="F178">
        <v>15.9</v>
      </c>
      <c r="G178">
        <v>0</v>
      </c>
      <c r="H178">
        <f>17.3-F178-G178</f>
        <v>1.4000000000000004</v>
      </c>
      <c r="I178">
        <f t="shared" si="48"/>
        <v>1.4000000000000004</v>
      </c>
      <c r="J178">
        <f t="shared" si="46"/>
        <v>17.3</v>
      </c>
      <c r="K178">
        <f t="shared" si="44"/>
        <v>1.1999999999999993</v>
      </c>
      <c r="L178">
        <f t="shared" si="47"/>
        <v>18.499999999999989</v>
      </c>
      <c r="M178">
        <f t="shared" si="38"/>
        <v>1.0327868852459019</v>
      </c>
      <c r="N178">
        <v>22</v>
      </c>
      <c r="O178">
        <f t="shared" si="43"/>
        <v>5.5</v>
      </c>
      <c r="P178">
        <f t="shared" si="32"/>
        <v>1155</v>
      </c>
      <c r="Q178">
        <f t="shared" si="39"/>
        <v>0</v>
      </c>
      <c r="R178">
        <v>0</v>
      </c>
    </row>
    <row r="179" spans="1:18" x14ac:dyDescent="0.3">
      <c r="A179" t="s">
        <v>2</v>
      </c>
      <c r="B179" s="1">
        <v>45095</v>
      </c>
      <c r="C179" t="s">
        <v>8</v>
      </c>
      <c r="D179" t="s">
        <v>14</v>
      </c>
      <c r="E179">
        <v>5</v>
      </c>
      <c r="F179">
        <v>16.100000000000001</v>
      </c>
      <c r="G179">
        <v>0</v>
      </c>
      <c r="H179">
        <f t="shared" si="37"/>
        <v>0.89999999999999858</v>
      </c>
      <c r="I179">
        <f t="shared" si="48"/>
        <v>0.89999999999999858</v>
      </c>
      <c r="J179">
        <f t="shared" si="46"/>
        <v>17</v>
      </c>
      <c r="K179">
        <f t="shared" si="44"/>
        <v>1.1999999999999993</v>
      </c>
      <c r="L179">
        <f t="shared" si="47"/>
        <v>19.699999999999989</v>
      </c>
      <c r="M179">
        <f t="shared" si="38"/>
        <v>0.98360655737704927</v>
      </c>
      <c r="N179">
        <v>23</v>
      </c>
      <c r="O179">
        <f t="shared" si="43"/>
        <v>5.5</v>
      </c>
      <c r="P179">
        <f t="shared" si="32"/>
        <v>1155</v>
      </c>
      <c r="Q179">
        <f t="shared" si="39"/>
        <v>0</v>
      </c>
      <c r="R179">
        <v>0</v>
      </c>
    </row>
    <row r="180" spans="1:18" x14ac:dyDescent="0.3">
      <c r="A180" t="s">
        <v>3</v>
      </c>
      <c r="B180" s="1">
        <v>45096</v>
      </c>
      <c r="C180" t="s">
        <v>8</v>
      </c>
      <c r="D180" t="s">
        <v>14</v>
      </c>
      <c r="E180">
        <v>5</v>
      </c>
      <c r="F180">
        <v>15.8</v>
      </c>
      <c r="G180">
        <v>0.5</v>
      </c>
      <c r="H180">
        <f t="shared" si="37"/>
        <v>0.69999999999999929</v>
      </c>
      <c r="I180">
        <f t="shared" si="48"/>
        <v>1.1999999999999993</v>
      </c>
      <c r="J180">
        <f t="shared" si="46"/>
        <v>17</v>
      </c>
      <c r="K180">
        <f t="shared" si="44"/>
        <v>1.3000000000000007</v>
      </c>
      <c r="L180">
        <f t="shared" si="47"/>
        <v>20.999999999999989</v>
      </c>
      <c r="M180">
        <f t="shared" si="38"/>
        <v>0.98360655737704927</v>
      </c>
      <c r="N180">
        <v>24</v>
      </c>
      <c r="O180">
        <f t="shared" si="43"/>
        <v>6</v>
      </c>
      <c r="P180">
        <f t="shared" si="32"/>
        <v>1260</v>
      </c>
      <c r="Q180">
        <f t="shared" si="39"/>
        <v>0</v>
      </c>
      <c r="R180">
        <v>0</v>
      </c>
    </row>
    <row r="181" spans="1:18" x14ac:dyDescent="0.3">
      <c r="A181" t="s">
        <v>4</v>
      </c>
      <c r="B181" s="1">
        <v>45097</v>
      </c>
      <c r="C181" t="s">
        <v>8</v>
      </c>
      <c r="D181" t="s">
        <v>14</v>
      </c>
      <c r="E181">
        <v>5</v>
      </c>
      <c r="F181">
        <v>15.7</v>
      </c>
      <c r="G181">
        <v>0</v>
      </c>
      <c r="H181">
        <f t="shared" si="37"/>
        <v>1.3000000000000007</v>
      </c>
      <c r="I181">
        <f t="shared" si="48"/>
        <v>1.3000000000000007</v>
      </c>
      <c r="J181">
        <f t="shared" si="46"/>
        <v>17</v>
      </c>
      <c r="K181">
        <f t="shared" si="44"/>
        <v>1.0999999999999996</v>
      </c>
      <c r="L181">
        <f t="shared" si="47"/>
        <v>22.099999999999987</v>
      </c>
      <c r="M181">
        <f t="shared" si="38"/>
        <v>0.98360655737704927</v>
      </c>
      <c r="N181">
        <v>25</v>
      </c>
      <c r="O181">
        <f t="shared" si="43"/>
        <v>6</v>
      </c>
      <c r="P181">
        <f t="shared" si="32"/>
        <v>1260</v>
      </c>
      <c r="Q181">
        <f t="shared" si="39"/>
        <v>0</v>
      </c>
      <c r="R181">
        <v>0</v>
      </c>
    </row>
    <row r="182" spans="1:18" x14ac:dyDescent="0.3">
      <c r="A182" t="s">
        <v>5</v>
      </c>
      <c r="B182" s="1">
        <v>45098</v>
      </c>
      <c r="C182" t="s">
        <v>8</v>
      </c>
      <c r="D182" t="s">
        <v>14</v>
      </c>
      <c r="E182">
        <v>5</v>
      </c>
      <c r="F182">
        <v>15.9</v>
      </c>
      <c r="G182">
        <v>0</v>
      </c>
      <c r="H182">
        <f t="shared" si="37"/>
        <v>1.0999999999999996</v>
      </c>
      <c r="I182">
        <f t="shared" si="48"/>
        <v>1.0999999999999996</v>
      </c>
      <c r="J182">
        <f t="shared" si="46"/>
        <v>17</v>
      </c>
      <c r="K182">
        <f t="shared" si="44"/>
        <v>1</v>
      </c>
      <c r="L182">
        <f t="shared" si="47"/>
        <v>23.099999999999987</v>
      </c>
      <c r="M182">
        <f t="shared" si="38"/>
        <v>0.98360655737704927</v>
      </c>
      <c r="N182">
        <v>26</v>
      </c>
      <c r="O182">
        <f t="shared" si="43"/>
        <v>6</v>
      </c>
      <c r="P182">
        <f t="shared" si="32"/>
        <v>1260</v>
      </c>
      <c r="Q182">
        <f t="shared" si="39"/>
        <v>0</v>
      </c>
      <c r="R182">
        <v>0</v>
      </c>
    </row>
    <row r="183" spans="1:18" x14ac:dyDescent="0.3">
      <c r="A183" t="s">
        <v>6</v>
      </c>
      <c r="B183" s="1">
        <v>45099</v>
      </c>
      <c r="C183" t="s">
        <v>8</v>
      </c>
      <c r="D183" t="s">
        <v>14</v>
      </c>
      <c r="E183">
        <v>5</v>
      </c>
      <c r="F183">
        <v>16</v>
      </c>
      <c r="G183">
        <v>0.5</v>
      </c>
      <c r="H183">
        <f t="shared" si="37"/>
        <v>0.5</v>
      </c>
      <c r="I183">
        <f t="shared" si="48"/>
        <v>1</v>
      </c>
      <c r="J183">
        <f t="shared" si="46"/>
        <v>17</v>
      </c>
      <c r="K183">
        <f t="shared" si="44"/>
        <v>0.69999999999999929</v>
      </c>
      <c r="L183">
        <f t="shared" si="47"/>
        <v>23.799999999999986</v>
      </c>
      <c r="M183">
        <f t="shared" si="38"/>
        <v>0.98360655737704927</v>
      </c>
      <c r="N183">
        <v>27</v>
      </c>
      <c r="O183">
        <f t="shared" si="43"/>
        <v>6.5</v>
      </c>
      <c r="P183">
        <f t="shared" si="32"/>
        <v>1365</v>
      </c>
      <c r="Q183">
        <f t="shared" si="39"/>
        <v>0</v>
      </c>
      <c r="R183">
        <v>0</v>
      </c>
    </row>
    <row r="184" spans="1:18" x14ac:dyDescent="0.3">
      <c r="A184" t="s">
        <v>0</v>
      </c>
      <c r="B184" s="1">
        <v>45100</v>
      </c>
      <c r="C184" t="s">
        <v>8</v>
      </c>
      <c r="D184" t="s">
        <v>14</v>
      </c>
      <c r="E184">
        <v>5</v>
      </c>
      <c r="F184">
        <v>16.3</v>
      </c>
      <c r="G184">
        <v>0</v>
      </c>
      <c r="H184">
        <f t="shared" si="37"/>
        <v>0.69999999999999929</v>
      </c>
      <c r="I184">
        <f>H184+G184</f>
        <v>0.69999999999999929</v>
      </c>
      <c r="J184">
        <f t="shared" si="46"/>
        <v>17</v>
      </c>
      <c r="K184">
        <f t="shared" si="44"/>
        <v>0.60000000000000142</v>
      </c>
      <c r="L184">
        <f t="shared" si="47"/>
        <v>24.399999999999988</v>
      </c>
      <c r="M184">
        <f t="shared" si="38"/>
        <v>0.98360655737704927</v>
      </c>
      <c r="N184">
        <v>28</v>
      </c>
      <c r="O184">
        <f t="shared" si="43"/>
        <v>6.5</v>
      </c>
      <c r="P184">
        <f t="shared" ref="P184:P247" si="49">O184*210</f>
        <v>1365</v>
      </c>
      <c r="Q184">
        <f t="shared" si="39"/>
        <v>0</v>
      </c>
      <c r="R184">
        <v>0</v>
      </c>
    </row>
    <row r="185" spans="1:18" x14ac:dyDescent="0.3">
      <c r="A185" t="s">
        <v>1</v>
      </c>
      <c r="B185" s="1">
        <v>45101</v>
      </c>
      <c r="C185" t="s">
        <v>8</v>
      </c>
      <c r="D185" t="s">
        <v>14</v>
      </c>
      <c r="E185">
        <v>5</v>
      </c>
      <c r="F185">
        <v>16.399999999999999</v>
      </c>
      <c r="G185">
        <v>0</v>
      </c>
      <c r="H185">
        <f t="shared" si="37"/>
        <v>0.60000000000000142</v>
      </c>
      <c r="I185">
        <f t="shared" ref="I185:I195" si="50">H185+G185</f>
        <v>0.60000000000000142</v>
      </c>
      <c r="J185">
        <f t="shared" si="46"/>
        <v>17</v>
      </c>
      <c r="K185">
        <f t="shared" si="44"/>
        <v>0.89999999999999858</v>
      </c>
      <c r="L185">
        <f t="shared" si="47"/>
        <v>25.299999999999986</v>
      </c>
      <c r="M185">
        <f t="shared" si="38"/>
        <v>0.98360655737704927</v>
      </c>
      <c r="N185">
        <v>29</v>
      </c>
      <c r="O185">
        <f t="shared" si="43"/>
        <v>6.5</v>
      </c>
      <c r="P185">
        <f t="shared" si="49"/>
        <v>1365</v>
      </c>
      <c r="Q185">
        <f t="shared" si="39"/>
        <v>0</v>
      </c>
      <c r="R185">
        <v>0</v>
      </c>
    </row>
    <row r="186" spans="1:18" x14ac:dyDescent="0.3">
      <c r="A186" t="s">
        <v>2</v>
      </c>
      <c r="B186" s="1">
        <v>45102</v>
      </c>
      <c r="C186" t="s">
        <v>8</v>
      </c>
      <c r="D186" t="s">
        <v>14</v>
      </c>
      <c r="E186">
        <v>5</v>
      </c>
      <c r="F186">
        <v>16.100000000000001</v>
      </c>
      <c r="G186">
        <v>0</v>
      </c>
      <c r="H186">
        <f t="shared" si="37"/>
        <v>0.89999999999999858</v>
      </c>
      <c r="I186">
        <f t="shared" si="50"/>
        <v>0.89999999999999858</v>
      </c>
      <c r="J186">
        <f t="shared" si="46"/>
        <v>17</v>
      </c>
      <c r="K186">
        <f t="shared" si="44"/>
        <v>1.0999999999999996</v>
      </c>
      <c r="L186">
        <f t="shared" si="47"/>
        <v>26.399999999999984</v>
      </c>
      <c r="M186">
        <f t="shared" si="38"/>
        <v>0.98360655737704927</v>
      </c>
      <c r="N186">
        <v>30</v>
      </c>
      <c r="O186">
        <f t="shared" si="43"/>
        <v>6.5</v>
      </c>
      <c r="P186">
        <f t="shared" si="49"/>
        <v>1365</v>
      </c>
      <c r="Q186">
        <f t="shared" si="39"/>
        <v>0</v>
      </c>
      <c r="R186">
        <v>0</v>
      </c>
    </row>
    <row r="187" spans="1:18" x14ac:dyDescent="0.3">
      <c r="A187" t="s">
        <v>3</v>
      </c>
      <c r="B187" s="1">
        <v>45103</v>
      </c>
      <c r="C187" t="s">
        <v>8</v>
      </c>
      <c r="D187" t="s">
        <v>14</v>
      </c>
      <c r="E187">
        <v>5</v>
      </c>
      <c r="F187">
        <v>15.9</v>
      </c>
      <c r="G187">
        <v>0.5</v>
      </c>
      <c r="H187">
        <f t="shared" si="37"/>
        <v>0.59999999999999964</v>
      </c>
      <c r="I187">
        <f t="shared" si="50"/>
        <v>1.0999999999999996</v>
      </c>
      <c r="J187">
        <f t="shared" si="46"/>
        <v>17</v>
      </c>
      <c r="K187">
        <f t="shared" si="44"/>
        <v>0.69999999999999929</v>
      </c>
      <c r="L187">
        <f t="shared" si="47"/>
        <v>27.099999999999984</v>
      </c>
      <c r="M187">
        <f t="shared" si="38"/>
        <v>0.98360655737704927</v>
      </c>
      <c r="N187">
        <v>31</v>
      </c>
      <c r="O187">
        <f t="shared" si="43"/>
        <v>7</v>
      </c>
      <c r="P187">
        <f t="shared" si="49"/>
        <v>1470</v>
      </c>
      <c r="Q187">
        <f t="shared" si="39"/>
        <v>0</v>
      </c>
      <c r="R187">
        <v>0</v>
      </c>
    </row>
    <row r="188" spans="1:18" x14ac:dyDescent="0.3">
      <c r="A188" t="s">
        <v>4</v>
      </c>
      <c r="B188" s="1">
        <v>45104</v>
      </c>
      <c r="C188" t="s">
        <v>8</v>
      </c>
      <c r="D188" t="s">
        <v>14</v>
      </c>
      <c r="E188">
        <v>5</v>
      </c>
      <c r="F188">
        <v>16.3</v>
      </c>
      <c r="G188">
        <v>0</v>
      </c>
      <c r="H188">
        <f t="shared" si="37"/>
        <v>0.69999999999999929</v>
      </c>
      <c r="I188">
        <f t="shared" si="50"/>
        <v>0.69999999999999929</v>
      </c>
      <c r="J188">
        <f>I188+F188</f>
        <v>17</v>
      </c>
      <c r="K188">
        <f t="shared" si="44"/>
        <v>1</v>
      </c>
      <c r="L188">
        <f t="shared" si="47"/>
        <v>28.099999999999984</v>
      </c>
      <c r="M188">
        <f t="shared" si="38"/>
        <v>0.98360655737704927</v>
      </c>
      <c r="N188">
        <v>32</v>
      </c>
      <c r="O188">
        <f t="shared" si="43"/>
        <v>7</v>
      </c>
      <c r="P188">
        <f t="shared" si="49"/>
        <v>1470</v>
      </c>
      <c r="Q188">
        <f t="shared" si="39"/>
        <v>0</v>
      </c>
      <c r="R188">
        <v>0</v>
      </c>
    </row>
    <row r="189" spans="1:18" x14ac:dyDescent="0.3">
      <c r="A189" t="s">
        <v>5</v>
      </c>
      <c r="B189" s="1">
        <v>45105</v>
      </c>
      <c r="C189" t="s">
        <v>8</v>
      </c>
      <c r="D189" t="s">
        <v>14</v>
      </c>
      <c r="E189">
        <v>5</v>
      </c>
      <c r="F189">
        <v>16</v>
      </c>
      <c r="G189">
        <v>0</v>
      </c>
      <c r="H189">
        <f t="shared" si="37"/>
        <v>1</v>
      </c>
      <c r="I189">
        <f t="shared" si="50"/>
        <v>1</v>
      </c>
      <c r="J189">
        <f t="shared" ref="J189:J195" si="51">I189+F189</f>
        <v>17</v>
      </c>
      <c r="K189">
        <f t="shared" si="44"/>
        <v>0.89999999999999858</v>
      </c>
      <c r="L189">
        <f t="shared" si="47"/>
        <v>28.999999999999982</v>
      </c>
      <c r="M189">
        <f t="shared" si="38"/>
        <v>0.98360655737704927</v>
      </c>
      <c r="N189">
        <v>33</v>
      </c>
      <c r="O189">
        <f t="shared" si="43"/>
        <v>7</v>
      </c>
      <c r="P189">
        <f t="shared" si="49"/>
        <v>1470</v>
      </c>
      <c r="Q189">
        <f t="shared" si="39"/>
        <v>0</v>
      </c>
      <c r="R189">
        <v>0</v>
      </c>
    </row>
    <row r="190" spans="1:18" x14ac:dyDescent="0.3">
      <c r="A190" t="s">
        <v>6</v>
      </c>
      <c r="B190" s="1">
        <v>45106</v>
      </c>
      <c r="C190" t="s">
        <v>8</v>
      </c>
      <c r="D190" t="s">
        <v>14</v>
      </c>
      <c r="E190">
        <v>5</v>
      </c>
      <c r="F190">
        <v>16.100000000000001</v>
      </c>
      <c r="G190">
        <v>0.5</v>
      </c>
      <c r="H190">
        <f t="shared" si="37"/>
        <v>0.39999999999999858</v>
      </c>
      <c r="I190">
        <f t="shared" si="50"/>
        <v>0.89999999999999858</v>
      </c>
      <c r="J190">
        <f t="shared" si="51"/>
        <v>17</v>
      </c>
      <c r="K190">
        <f t="shared" si="44"/>
        <v>1.0999999999999996</v>
      </c>
      <c r="L190">
        <f t="shared" si="47"/>
        <v>30.09999999999998</v>
      </c>
      <c r="M190">
        <f t="shared" si="38"/>
        <v>0.98360655737704927</v>
      </c>
      <c r="N190">
        <v>34</v>
      </c>
      <c r="O190">
        <f t="shared" si="43"/>
        <v>7.5</v>
      </c>
      <c r="P190">
        <f t="shared" si="49"/>
        <v>1575</v>
      </c>
      <c r="Q190">
        <f t="shared" si="39"/>
        <v>0</v>
      </c>
      <c r="R190">
        <v>0</v>
      </c>
    </row>
    <row r="191" spans="1:18" x14ac:dyDescent="0.3">
      <c r="A191" t="s">
        <v>0</v>
      </c>
      <c r="B191" s="1">
        <v>45107</v>
      </c>
      <c r="C191" t="s">
        <v>8</v>
      </c>
      <c r="D191" t="s">
        <v>14</v>
      </c>
      <c r="E191">
        <v>5</v>
      </c>
      <c r="F191">
        <v>15.9</v>
      </c>
      <c r="G191">
        <v>0</v>
      </c>
      <c r="H191">
        <f t="shared" si="37"/>
        <v>1.0999999999999996</v>
      </c>
      <c r="I191">
        <f t="shared" si="50"/>
        <v>1.0999999999999996</v>
      </c>
      <c r="J191">
        <f t="shared" si="51"/>
        <v>17</v>
      </c>
      <c r="K191">
        <f t="shared" si="44"/>
        <v>0.30000000000000071</v>
      </c>
      <c r="L191">
        <f t="shared" si="47"/>
        <v>30.399999999999981</v>
      </c>
      <c r="M191">
        <f t="shared" si="38"/>
        <v>0.98360655737704927</v>
      </c>
      <c r="N191">
        <v>35</v>
      </c>
      <c r="O191">
        <f t="shared" si="43"/>
        <v>7.5</v>
      </c>
      <c r="P191">
        <f t="shared" si="49"/>
        <v>1575</v>
      </c>
      <c r="Q191">
        <f t="shared" si="39"/>
        <v>0</v>
      </c>
      <c r="R191">
        <v>0</v>
      </c>
    </row>
    <row r="192" spans="1:18" x14ac:dyDescent="0.3">
      <c r="A192" t="s">
        <v>1</v>
      </c>
      <c r="B192" s="1">
        <v>45108</v>
      </c>
      <c r="C192" t="s">
        <v>8</v>
      </c>
      <c r="D192" t="s">
        <v>14</v>
      </c>
      <c r="E192">
        <v>5</v>
      </c>
      <c r="F192">
        <v>16.7</v>
      </c>
      <c r="G192">
        <v>0</v>
      </c>
      <c r="H192">
        <f t="shared" si="37"/>
        <v>0.30000000000000071</v>
      </c>
      <c r="I192">
        <f t="shared" si="50"/>
        <v>0.30000000000000071</v>
      </c>
      <c r="J192">
        <f t="shared" si="51"/>
        <v>17</v>
      </c>
      <c r="K192">
        <f t="shared" si="44"/>
        <v>0.39999999999999858</v>
      </c>
      <c r="L192">
        <f t="shared" si="47"/>
        <v>30.799999999999979</v>
      </c>
      <c r="M192">
        <f t="shared" si="38"/>
        <v>0.98360655737704927</v>
      </c>
      <c r="N192">
        <v>36</v>
      </c>
      <c r="O192">
        <f t="shared" si="43"/>
        <v>7.5</v>
      </c>
      <c r="P192">
        <f t="shared" si="49"/>
        <v>1575</v>
      </c>
      <c r="Q192">
        <f t="shared" si="39"/>
        <v>0</v>
      </c>
      <c r="R192">
        <v>0</v>
      </c>
    </row>
    <row r="193" spans="1:18" x14ac:dyDescent="0.3">
      <c r="A193" t="s">
        <v>2</v>
      </c>
      <c r="B193" s="1">
        <v>45109</v>
      </c>
      <c r="C193" t="s">
        <v>8</v>
      </c>
      <c r="D193" t="s">
        <v>14</v>
      </c>
      <c r="E193">
        <v>5</v>
      </c>
      <c r="F193">
        <v>16.600000000000001</v>
      </c>
      <c r="G193">
        <v>0</v>
      </c>
      <c r="H193">
        <f t="shared" si="37"/>
        <v>0.39999999999999858</v>
      </c>
      <c r="I193">
        <f t="shared" si="50"/>
        <v>0.39999999999999858</v>
      </c>
      <c r="J193">
        <f t="shared" si="51"/>
        <v>17</v>
      </c>
      <c r="K193">
        <f t="shared" si="44"/>
        <v>0.69999999999999929</v>
      </c>
      <c r="L193">
        <f t="shared" si="47"/>
        <v>31.499999999999979</v>
      </c>
      <c r="M193">
        <f t="shared" si="38"/>
        <v>0.98360655737704927</v>
      </c>
      <c r="N193">
        <v>37</v>
      </c>
      <c r="O193">
        <f t="shared" si="43"/>
        <v>7.5</v>
      </c>
      <c r="P193">
        <f t="shared" si="49"/>
        <v>1575</v>
      </c>
      <c r="Q193">
        <f t="shared" si="39"/>
        <v>0</v>
      </c>
      <c r="R193">
        <v>0</v>
      </c>
    </row>
    <row r="194" spans="1:18" x14ac:dyDescent="0.3">
      <c r="A194" t="s">
        <v>3</v>
      </c>
      <c r="B194" s="1">
        <v>45110</v>
      </c>
      <c r="C194" t="s">
        <v>8</v>
      </c>
      <c r="D194" t="s">
        <v>14</v>
      </c>
      <c r="E194">
        <v>5</v>
      </c>
      <c r="F194">
        <v>16.3</v>
      </c>
      <c r="G194">
        <v>0</v>
      </c>
      <c r="H194">
        <f t="shared" si="37"/>
        <v>0.69999999999999929</v>
      </c>
      <c r="I194">
        <f t="shared" si="50"/>
        <v>0.69999999999999929</v>
      </c>
      <c r="J194">
        <f t="shared" si="51"/>
        <v>17</v>
      </c>
      <c r="K194">
        <f t="shared" si="44"/>
        <v>0.69999999999999929</v>
      </c>
      <c r="L194">
        <f t="shared" si="47"/>
        <v>32.199999999999974</v>
      </c>
      <c r="M194">
        <f t="shared" si="38"/>
        <v>0.98360655737704927</v>
      </c>
      <c r="N194">
        <v>38</v>
      </c>
      <c r="O194">
        <f t="shared" si="43"/>
        <v>7.5</v>
      </c>
      <c r="P194">
        <f t="shared" si="49"/>
        <v>1575</v>
      </c>
      <c r="Q194">
        <f t="shared" si="39"/>
        <v>0</v>
      </c>
      <c r="R194">
        <v>0</v>
      </c>
    </row>
    <row r="195" spans="1:18" s="2" customFormat="1" x14ac:dyDescent="0.3">
      <c r="A195" s="2" t="s">
        <v>4</v>
      </c>
      <c r="B195" s="3">
        <v>45111</v>
      </c>
      <c r="C195" s="2" t="s">
        <v>8</v>
      </c>
      <c r="D195" s="2" t="s">
        <v>14</v>
      </c>
      <c r="E195" s="2">
        <v>5</v>
      </c>
      <c r="F195" s="2">
        <v>16.3</v>
      </c>
      <c r="G195" s="2">
        <v>0</v>
      </c>
      <c r="H195" s="2">
        <f t="shared" ref="H195:H258" si="52">17-F195-G195</f>
        <v>0.69999999999999929</v>
      </c>
      <c r="I195" s="2">
        <f t="shared" si="50"/>
        <v>0.69999999999999929</v>
      </c>
      <c r="J195" s="2">
        <f t="shared" si="51"/>
        <v>17</v>
      </c>
      <c r="O195" s="2">
        <f t="shared" si="43"/>
        <v>7.5</v>
      </c>
      <c r="P195">
        <f t="shared" si="49"/>
        <v>1575</v>
      </c>
      <c r="Q195">
        <f t="shared" ref="Q195:Q258" si="53">M195-M195</f>
        <v>0</v>
      </c>
      <c r="R195">
        <v>0</v>
      </c>
    </row>
    <row r="196" spans="1:18" x14ac:dyDescent="0.3">
      <c r="A196" t="s">
        <v>1</v>
      </c>
      <c r="B196" s="1">
        <v>45073</v>
      </c>
      <c r="C196" t="s">
        <v>8</v>
      </c>
      <c r="D196" t="s">
        <v>14</v>
      </c>
      <c r="E196">
        <v>6</v>
      </c>
      <c r="F196">
        <v>17</v>
      </c>
      <c r="G196">
        <v>0</v>
      </c>
      <c r="H196">
        <f t="shared" si="52"/>
        <v>0</v>
      </c>
      <c r="I196">
        <f>H196+G196</f>
        <v>0</v>
      </c>
      <c r="J196">
        <f>I196+F196</f>
        <v>17</v>
      </c>
      <c r="K196">
        <f>J196-F197</f>
        <v>0.5</v>
      </c>
      <c r="M196">
        <f t="shared" ref="M196:M258" si="54">(J196-11)/6.1</f>
        <v>0.98360655737704927</v>
      </c>
      <c r="N196">
        <v>1</v>
      </c>
      <c r="O196">
        <v>2.5</v>
      </c>
      <c r="P196">
        <f t="shared" si="49"/>
        <v>525</v>
      </c>
      <c r="Q196">
        <f t="shared" si="53"/>
        <v>0</v>
      </c>
      <c r="R196">
        <v>0</v>
      </c>
    </row>
    <row r="197" spans="1:18" x14ac:dyDescent="0.3">
      <c r="A197" t="s">
        <v>2</v>
      </c>
      <c r="B197" s="1">
        <v>45074</v>
      </c>
      <c r="C197" t="s">
        <v>8</v>
      </c>
      <c r="D197" t="s">
        <v>14</v>
      </c>
      <c r="E197">
        <v>6</v>
      </c>
      <c r="F197">
        <v>16.5</v>
      </c>
      <c r="G197">
        <v>0</v>
      </c>
      <c r="H197">
        <f t="shared" si="52"/>
        <v>0.5</v>
      </c>
      <c r="I197">
        <f>H197+G197</f>
        <v>0.5</v>
      </c>
      <c r="J197">
        <f>I197+F197</f>
        <v>17</v>
      </c>
      <c r="K197">
        <f t="shared" ref="K197:K233" si="55">J197-F198</f>
        <v>0.39999999999999858</v>
      </c>
      <c r="L197">
        <f>K196+K197</f>
        <v>0.89999999999999858</v>
      </c>
      <c r="M197">
        <f t="shared" si="54"/>
        <v>0.98360655737704927</v>
      </c>
      <c r="N197">
        <v>2</v>
      </c>
      <c r="O197">
        <f t="shared" ref="O197:O234" si="56">O196+G197</f>
        <v>2.5</v>
      </c>
      <c r="P197">
        <f t="shared" si="49"/>
        <v>525</v>
      </c>
      <c r="Q197">
        <f t="shared" si="53"/>
        <v>0</v>
      </c>
      <c r="R197">
        <v>0</v>
      </c>
    </row>
    <row r="198" spans="1:18" x14ac:dyDescent="0.3">
      <c r="A198" t="s">
        <v>3</v>
      </c>
      <c r="B198" s="1">
        <v>45075</v>
      </c>
      <c r="C198" t="s">
        <v>8</v>
      </c>
      <c r="D198" t="s">
        <v>14</v>
      </c>
      <c r="E198">
        <v>6</v>
      </c>
      <c r="F198">
        <v>16.600000000000001</v>
      </c>
      <c r="G198">
        <v>0.25</v>
      </c>
      <c r="H198">
        <f t="shared" si="52"/>
        <v>0.14999999999999858</v>
      </c>
      <c r="I198">
        <f>H198+G198</f>
        <v>0.39999999999999858</v>
      </c>
      <c r="J198">
        <f>I198+F198</f>
        <v>17</v>
      </c>
      <c r="K198">
        <f t="shared" si="55"/>
        <v>0.69999999999999929</v>
      </c>
      <c r="L198">
        <f>L197+K198</f>
        <v>1.5999999999999979</v>
      </c>
      <c r="M198">
        <f t="shared" si="54"/>
        <v>0.98360655737704927</v>
      </c>
      <c r="N198">
        <v>3</v>
      </c>
      <c r="O198">
        <f t="shared" si="56"/>
        <v>2.75</v>
      </c>
      <c r="P198">
        <f t="shared" si="49"/>
        <v>577.5</v>
      </c>
      <c r="Q198">
        <f t="shared" si="53"/>
        <v>0</v>
      </c>
      <c r="R198">
        <v>0</v>
      </c>
    </row>
    <row r="199" spans="1:18" x14ac:dyDescent="0.3">
      <c r="A199" t="s">
        <v>4</v>
      </c>
      <c r="B199" s="1">
        <v>45076</v>
      </c>
      <c r="C199" t="s">
        <v>8</v>
      </c>
      <c r="D199" t="s">
        <v>14</v>
      </c>
      <c r="E199">
        <v>6</v>
      </c>
      <c r="F199">
        <v>16.3</v>
      </c>
      <c r="G199">
        <v>0.25</v>
      </c>
      <c r="H199">
        <f t="shared" si="52"/>
        <v>0.44999999999999929</v>
      </c>
      <c r="I199">
        <f t="shared" ref="I199:I210" si="57">H199+G199</f>
        <v>0.69999999999999929</v>
      </c>
      <c r="J199">
        <f t="shared" ref="J199:J226" si="58">I199+F199</f>
        <v>17</v>
      </c>
      <c r="K199">
        <f t="shared" si="55"/>
        <v>1.0999999999999996</v>
      </c>
      <c r="L199">
        <f t="shared" ref="L199:L233" si="59">L198+K199</f>
        <v>2.6999999999999975</v>
      </c>
      <c r="M199">
        <f t="shared" si="54"/>
        <v>0.98360655737704927</v>
      </c>
      <c r="N199">
        <v>4</v>
      </c>
      <c r="O199">
        <f t="shared" si="56"/>
        <v>3</v>
      </c>
      <c r="P199">
        <f t="shared" si="49"/>
        <v>630</v>
      </c>
      <c r="Q199">
        <f t="shared" si="53"/>
        <v>0</v>
      </c>
      <c r="R199">
        <v>0</v>
      </c>
    </row>
    <row r="200" spans="1:18" x14ac:dyDescent="0.3">
      <c r="A200" t="s">
        <v>5</v>
      </c>
      <c r="B200" s="1">
        <v>45077</v>
      </c>
      <c r="C200" t="s">
        <v>8</v>
      </c>
      <c r="D200" t="s">
        <v>14</v>
      </c>
      <c r="E200">
        <v>6</v>
      </c>
      <c r="F200">
        <v>15.9</v>
      </c>
      <c r="G200">
        <v>0</v>
      </c>
      <c r="H200">
        <f t="shared" si="52"/>
        <v>1.0999999999999996</v>
      </c>
      <c r="I200">
        <f t="shared" si="57"/>
        <v>1.0999999999999996</v>
      </c>
      <c r="J200">
        <f t="shared" si="58"/>
        <v>17</v>
      </c>
      <c r="K200">
        <f t="shared" si="55"/>
        <v>0.69999999999999929</v>
      </c>
      <c r="L200">
        <f t="shared" si="59"/>
        <v>3.3999999999999968</v>
      </c>
      <c r="M200">
        <f t="shared" si="54"/>
        <v>0.98360655737704927</v>
      </c>
      <c r="N200">
        <v>5</v>
      </c>
      <c r="O200">
        <f t="shared" si="56"/>
        <v>3</v>
      </c>
      <c r="P200">
        <f t="shared" si="49"/>
        <v>630</v>
      </c>
      <c r="Q200">
        <f t="shared" si="53"/>
        <v>0</v>
      </c>
      <c r="R200">
        <v>0</v>
      </c>
    </row>
    <row r="201" spans="1:18" x14ac:dyDescent="0.3">
      <c r="A201" t="s">
        <v>6</v>
      </c>
      <c r="B201" s="1">
        <v>45078</v>
      </c>
      <c r="C201" t="s">
        <v>8</v>
      </c>
      <c r="D201" t="s">
        <v>14</v>
      </c>
      <c r="E201">
        <v>6</v>
      </c>
      <c r="F201">
        <v>16.3</v>
      </c>
      <c r="G201">
        <v>0.25</v>
      </c>
      <c r="H201">
        <f t="shared" si="52"/>
        <v>0.44999999999999929</v>
      </c>
      <c r="I201">
        <f t="shared" si="57"/>
        <v>0.69999999999999929</v>
      </c>
      <c r="J201">
        <f t="shared" si="58"/>
        <v>17</v>
      </c>
      <c r="K201">
        <f t="shared" si="55"/>
        <v>0.39999999999999858</v>
      </c>
      <c r="L201">
        <f t="shared" si="59"/>
        <v>3.7999999999999954</v>
      </c>
      <c r="M201">
        <f t="shared" si="54"/>
        <v>0.98360655737704927</v>
      </c>
      <c r="N201">
        <v>6</v>
      </c>
      <c r="O201">
        <f t="shared" si="56"/>
        <v>3.25</v>
      </c>
      <c r="P201">
        <f t="shared" si="49"/>
        <v>682.5</v>
      </c>
      <c r="Q201">
        <f t="shared" si="53"/>
        <v>0</v>
      </c>
      <c r="R201">
        <v>0</v>
      </c>
    </row>
    <row r="202" spans="1:18" x14ac:dyDescent="0.3">
      <c r="A202" t="s">
        <v>0</v>
      </c>
      <c r="B202" s="1">
        <v>45079</v>
      </c>
      <c r="C202" t="s">
        <v>8</v>
      </c>
      <c r="D202" t="s">
        <v>14</v>
      </c>
      <c r="E202">
        <v>6</v>
      </c>
      <c r="F202">
        <v>16.600000000000001</v>
      </c>
      <c r="G202">
        <v>0.25</v>
      </c>
      <c r="H202">
        <f t="shared" si="52"/>
        <v>0.14999999999999858</v>
      </c>
      <c r="I202">
        <f t="shared" si="57"/>
        <v>0.39999999999999858</v>
      </c>
      <c r="J202">
        <f t="shared" si="58"/>
        <v>17</v>
      </c>
      <c r="K202">
        <f t="shared" si="55"/>
        <v>0.39999999999999858</v>
      </c>
      <c r="L202">
        <f t="shared" si="59"/>
        <v>4.199999999999994</v>
      </c>
      <c r="M202">
        <f t="shared" si="54"/>
        <v>0.98360655737704927</v>
      </c>
      <c r="N202">
        <v>7</v>
      </c>
      <c r="O202">
        <f t="shared" si="56"/>
        <v>3.5</v>
      </c>
      <c r="P202">
        <f t="shared" si="49"/>
        <v>735</v>
      </c>
      <c r="Q202">
        <f t="shared" si="53"/>
        <v>0</v>
      </c>
      <c r="R202">
        <v>0</v>
      </c>
    </row>
    <row r="203" spans="1:18" x14ac:dyDescent="0.3">
      <c r="A203" t="s">
        <v>1</v>
      </c>
      <c r="B203" s="1">
        <v>45080</v>
      </c>
      <c r="C203" t="s">
        <v>8</v>
      </c>
      <c r="D203" t="s">
        <v>14</v>
      </c>
      <c r="E203">
        <v>6</v>
      </c>
      <c r="F203">
        <v>16.600000000000001</v>
      </c>
      <c r="G203">
        <v>0</v>
      </c>
      <c r="H203">
        <f t="shared" si="52"/>
        <v>0.39999999999999858</v>
      </c>
      <c r="I203">
        <f t="shared" si="57"/>
        <v>0.39999999999999858</v>
      </c>
      <c r="J203">
        <f t="shared" si="58"/>
        <v>17</v>
      </c>
      <c r="K203">
        <f t="shared" si="55"/>
        <v>0.69999999999999929</v>
      </c>
      <c r="L203">
        <f t="shared" si="59"/>
        <v>4.8999999999999932</v>
      </c>
      <c r="M203">
        <f t="shared" si="54"/>
        <v>0.98360655737704927</v>
      </c>
      <c r="N203">
        <v>8</v>
      </c>
      <c r="O203">
        <f t="shared" si="56"/>
        <v>3.5</v>
      </c>
      <c r="P203">
        <f t="shared" si="49"/>
        <v>735</v>
      </c>
      <c r="Q203">
        <f t="shared" si="53"/>
        <v>0</v>
      </c>
      <c r="R203">
        <v>0</v>
      </c>
    </row>
    <row r="204" spans="1:18" x14ac:dyDescent="0.3">
      <c r="A204" t="s">
        <v>2</v>
      </c>
      <c r="B204" s="1">
        <v>45081</v>
      </c>
      <c r="C204" t="s">
        <v>8</v>
      </c>
      <c r="D204" t="s">
        <v>14</v>
      </c>
      <c r="E204">
        <v>6</v>
      </c>
      <c r="F204">
        <v>16.3</v>
      </c>
      <c r="G204">
        <v>0</v>
      </c>
      <c r="H204">
        <f t="shared" si="52"/>
        <v>0.69999999999999929</v>
      </c>
      <c r="I204">
        <f t="shared" si="57"/>
        <v>0.69999999999999929</v>
      </c>
      <c r="J204">
        <f t="shared" si="58"/>
        <v>17</v>
      </c>
      <c r="K204">
        <f t="shared" si="55"/>
        <v>0.80000000000000071</v>
      </c>
      <c r="L204">
        <f t="shared" si="59"/>
        <v>5.699999999999994</v>
      </c>
      <c r="M204">
        <f t="shared" si="54"/>
        <v>0.98360655737704927</v>
      </c>
      <c r="N204">
        <v>9</v>
      </c>
      <c r="O204">
        <f t="shared" si="56"/>
        <v>3.5</v>
      </c>
      <c r="P204">
        <f t="shared" si="49"/>
        <v>735</v>
      </c>
      <c r="Q204">
        <f t="shared" si="53"/>
        <v>0</v>
      </c>
      <c r="R204">
        <v>0</v>
      </c>
    </row>
    <row r="205" spans="1:18" x14ac:dyDescent="0.3">
      <c r="A205" t="s">
        <v>3</v>
      </c>
      <c r="B205" s="1">
        <v>45082</v>
      </c>
      <c r="C205" t="s">
        <v>8</v>
      </c>
      <c r="D205" t="s">
        <v>14</v>
      </c>
      <c r="E205">
        <v>6</v>
      </c>
      <c r="F205">
        <v>16.2</v>
      </c>
      <c r="G205">
        <v>0.25</v>
      </c>
      <c r="H205">
        <f t="shared" si="52"/>
        <v>0.55000000000000071</v>
      </c>
      <c r="I205">
        <f t="shared" si="57"/>
        <v>0.80000000000000071</v>
      </c>
      <c r="J205">
        <f t="shared" si="58"/>
        <v>17</v>
      </c>
      <c r="K205">
        <f t="shared" si="55"/>
        <v>0.60000000000000142</v>
      </c>
      <c r="L205">
        <f t="shared" si="59"/>
        <v>6.2999999999999954</v>
      </c>
      <c r="M205">
        <f t="shared" si="54"/>
        <v>0.98360655737704927</v>
      </c>
      <c r="N205">
        <v>10</v>
      </c>
      <c r="O205">
        <f t="shared" si="56"/>
        <v>3.75</v>
      </c>
      <c r="P205">
        <f t="shared" si="49"/>
        <v>787.5</v>
      </c>
      <c r="Q205">
        <f t="shared" si="53"/>
        <v>0</v>
      </c>
      <c r="R205">
        <v>0</v>
      </c>
    </row>
    <row r="206" spans="1:18" x14ac:dyDescent="0.3">
      <c r="A206" t="s">
        <v>4</v>
      </c>
      <c r="B206" s="1">
        <v>45083</v>
      </c>
      <c r="C206" t="s">
        <v>8</v>
      </c>
      <c r="D206" t="s">
        <v>14</v>
      </c>
      <c r="E206">
        <v>6</v>
      </c>
      <c r="F206">
        <v>16.399999999999999</v>
      </c>
      <c r="G206">
        <v>0.25</v>
      </c>
      <c r="H206">
        <f t="shared" si="52"/>
        <v>0.35000000000000142</v>
      </c>
      <c r="I206">
        <f t="shared" si="57"/>
        <v>0.60000000000000142</v>
      </c>
      <c r="J206">
        <f t="shared" si="58"/>
        <v>17</v>
      </c>
      <c r="K206">
        <f t="shared" si="55"/>
        <v>1.0999999999999996</v>
      </c>
      <c r="L206">
        <f t="shared" si="59"/>
        <v>7.399999999999995</v>
      </c>
      <c r="M206">
        <f t="shared" si="54"/>
        <v>0.98360655737704927</v>
      </c>
      <c r="N206">
        <v>11</v>
      </c>
      <c r="O206">
        <f t="shared" si="56"/>
        <v>4</v>
      </c>
      <c r="P206">
        <f t="shared" si="49"/>
        <v>840</v>
      </c>
      <c r="Q206">
        <f t="shared" si="53"/>
        <v>0</v>
      </c>
      <c r="R206">
        <v>0</v>
      </c>
    </row>
    <row r="207" spans="1:18" x14ac:dyDescent="0.3">
      <c r="A207" t="s">
        <v>5</v>
      </c>
      <c r="B207" s="1">
        <v>45084</v>
      </c>
      <c r="C207" t="s">
        <v>8</v>
      </c>
      <c r="D207" t="s">
        <v>14</v>
      </c>
      <c r="E207">
        <v>6</v>
      </c>
      <c r="F207">
        <v>15.9</v>
      </c>
      <c r="G207">
        <v>0</v>
      </c>
      <c r="H207">
        <f t="shared" si="52"/>
        <v>1.0999999999999996</v>
      </c>
      <c r="I207">
        <f t="shared" si="57"/>
        <v>1.0999999999999996</v>
      </c>
      <c r="J207">
        <f t="shared" si="58"/>
        <v>17</v>
      </c>
      <c r="K207">
        <f t="shared" si="55"/>
        <v>1</v>
      </c>
      <c r="L207">
        <f t="shared" si="59"/>
        <v>8.399999999999995</v>
      </c>
      <c r="M207">
        <f t="shared" si="54"/>
        <v>0.98360655737704927</v>
      </c>
      <c r="N207">
        <v>12</v>
      </c>
      <c r="O207">
        <f t="shared" si="56"/>
        <v>4</v>
      </c>
      <c r="P207">
        <f t="shared" si="49"/>
        <v>840</v>
      </c>
      <c r="Q207">
        <f t="shared" si="53"/>
        <v>0</v>
      </c>
      <c r="R207">
        <v>0</v>
      </c>
    </row>
    <row r="208" spans="1:18" x14ac:dyDescent="0.3">
      <c r="A208" t="s">
        <v>6</v>
      </c>
      <c r="B208" s="1">
        <v>45085</v>
      </c>
      <c r="C208" t="s">
        <v>8</v>
      </c>
      <c r="D208" t="s">
        <v>14</v>
      </c>
      <c r="E208">
        <v>6</v>
      </c>
      <c r="F208">
        <v>16</v>
      </c>
      <c r="G208">
        <v>0.25</v>
      </c>
      <c r="H208">
        <f t="shared" si="52"/>
        <v>0.75</v>
      </c>
      <c r="I208">
        <f t="shared" si="57"/>
        <v>1</v>
      </c>
      <c r="J208">
        <f t="shared" si="58"/>
        <v>17</v>
      </c>
      <c r="K208">
        <f t="shared" si="55"/>
        <v>1.0999999999999996</v>
      </c>
      <c r="L208">
        <f t="shared" si="59"/>
        <v>9.4999999999999947</v>
      </c>
      <c r="M208">
        <f t="shared" si="54"/>
        <v>0.98360655737704927</v>
      </c>
      <c r="N208">
        <v>13</v>
      </c>
      <c r="O208">
        <f t="shared" si="56"/>
        <v>4.25</v>
      </c>
      <c r="P208">
        <f t="shared" si="49"/>
        <v>892.5</v>
      </c>
      <c r="Q208">
        <f t="shared" si="53"/>
        <v>0</v>
      </c>
      <c r="R208">
        <v>0</v>
      </c>
    </row>
    <row r="209" spans="1:18" x14ac:dyDescent="0.3">
      <c r="A209" t="s">
        <v>0</v>
      </c>
      <c r="B209" s="1">
        <v>45086</v>
      </c>
      <c r="C209" t="s">
        <v>8</v>
      </c>
      <c r="D209" t="s">
        <v>14</v>
      </c>
      <c r="E209">
        <v>6</v>
      </c>
      <c r="F209">
        <v>15.9</v>
      </c>
      <c r="G209">
        <v>0.25</v>
      </c>
      <c r="H209">
        <f t="shared" si="52"/>
        <v>0.84999999999999964</v>
      </c>
      <c r="I209">
        <f t="shared" si="57"/>
        <v>1.0999999999999996</v>
      </c>
      <c r="J209">
        <f t="shared" si="58"/>
        <v>17</v>
      </c>
      <c r="K209">
        <f t="shared" si="55"/>
        <v>1.5</v>
      </c>
      <c r="L209">
        <f t="shared" si="59"/>
        <v>10.999999999999995</v>
      </c>
      <c r="M209">
        <f t="shared" si="54"/>
        <v>0.98360655737704927</v>
      </c>
      <c r="N209">
        <v>14</v>
      </c>
      <c r="O209">
        <f t="shared" si="56"/>
        <v>4.5</v>
      </c>
      <c r="P209">
        <f t="shared" si="49"/>
        <v>945</v>
      </c>
      <c r="Q209">
        <f t="shared" si="53"/>
        <v>0</v>
      </c>
      <c r="R209">
        <v>0</v>
      </c>
    </row>
    <row r="210" spans="1:18" x14ac:dyDescent="0.3">
      <c r="A210" t="s">
        <v>1</v>
      </c>
      <c r="B210" s="1">
        <v>45087</v>
      </c>
      <c r="C210" t="s">
        <v>8</v>
      </c>
      <c r="D210" t="s">
        <v>14</v>
      </c>
      <c r="E210">
        <v>6</v>
      </c>
      <c r="F210">
        <v>15.5</v>
      </c>
      <c r="G210">
        <v>0</v>
      </c>
      <c r="H210">
        <f t="shared" si="52"/>
        <v>1.5</v>
      </c>
      <c r="I210">
        <f t="shared" si="57"/>
        <v>1.5</v>
      </c>
      <c r="J210">
        <f t="shared" si="58"/>
        <v>17</v>
      </c>
      <c r="K210">
        <f t="shared" si="55"/>
        <v>1.5</v>
      </c>
      <c r="L210">
        <f t="shared" si="59"/>
        <v>12.499999999999995</v>
      </c>
      <c r="M210">
        <f t="shared" si="54"/>
        <v>0.98360655737704927</v>
      </c>
      <c r="N210">
        <v>15</v>
      </c>
      <c r="O210">
        <f t="shared" si="56"/>
        <v>4.5</v>
      </c>
      <c r="P210">
        <f t="shared" si="49"/>
        <v>945</v>
      </c>
      <c r="Q210">
        <f t="shared" si="53"/>
        <v>0</v>
      </c>
      <c r="R210">
        <v>0</v>
      </c>
    </row>
    <row r="211" spans="1:18" x14ac:dyDescent="0.3">
      <c r="A211" t="s">
        <v>2</v>
      </c>
      <c r="B211" s="1">
        <v>45088</v>
      </c>
      <c r="C211" t="s">
        <v>8</v>
      </c>
      <c r="D211" t="s">
        <v>14</v>
      </c>
      <c r="E211">
        <v>6</v>
      </c>
      <c r="F211">
        <v>15.5</v>
      </c>
      <c r="G211">
        <v>0</v>
      </c>
      <c r="H211">
        <f t="shared" si="52"/>
        <v>1.5</v>
      </c>
      <c r="I211">
        <f>H211+G211</f>
        <v>1.5</v>
      </c>
      <c r="J211">
        <f t="shared" si="58"/>
        <v>17</v>
      </c>
      <c r="K211">
        <f t="shared" si="55"/>
        <v>1.5</v>
      </c>
      <c r="L211">
        <f t="shared" si="59"/>
        <v>13.999999999999995</v>
      </c>
      <c r="M211">
        <f t="shared" si="54"/>
        <v>0.98360655737704927</v>
      </c>
      <c r="N211">
        <v>16</v>
      </c>
      <c r="O211">
        <f t="shared" si="56"/>
        <v>4.5</v>
      </c>
      <c r="P211">
        <f t="shared" si="49"/>
        <v>945</v>
      </c>
      <c r="Q211">
        <f t="shared" si="53"/>
        <v>0</v>
      </c>
      <c r="R211">
        <v>0</v>
      </c>
    </row>
    <row r="212" spans="1:18" x14ac:dyDescent="0.3">
      <c r="A212" t="s">
        <v>3</v>
      </c>
      <c r="B212" s="1">
        <v>45089</v>
      </c>
      <c r="C212" t="s">
        <v>8</v>
      </c>
      <c r="D212" t="s">
        <v>14</v>
      </c>
      <c r="E212">
        <v>6</v>
      </c>
      <c r="F212">
        <v>15.5</v>
      </c>
      <c r="G212">
        <v>0.5</v>
      </c>
      <c r="H212">
        <f t="shared" si="52"/>
        <v>1</v>
      </c>
      <c r="I212">
        <f t="shared" ref="I212:I222" si="60">H212+G212</f>
        <v>1.5</v>
      </c>
      <c r="J212">
        <f t="shared" si="58"/>
        <v>17</v>
      </c>
      <c r="K212">
        <f t="shared" si="55"/>
        <v>0.30000000000000071</v>
      </c>
      <c r="L212">
        <f t="shared" si="59"/>
        <v>14.299999999999995</v>
      </c>
      <c r="M212">
        <f t="shared" si="54"/>
        <v>0.98360655737704927</v>
      </c>
      <c r="N212">
        <v>17</v>
      </c>
      <c r="O212">
        <f t="shared" si="56"/>
        <v>5</v>
      </c>
      <c r="P212">
        <f t="shared" si="49"/>
        <v>1050</v>
      </c>
      <c r="Q212">
        <f t="shared" si="53"/>
        <v>0</v>
      </c>
      <c r="R212">
        <v>0</v>
      </c>
    </row>
    <row r="213" spans="1:18" x14ac:dyDescent="0.3">
      <c r="A213" t="s">
        <v>4</v>
      </c>
      <c r="B213" s="1">
        <v>45090</v>
      </c>
      <c r="C213" t="s">
        <v>8</v>
      </c>
      <c r="D213" t="s">
        <v>14</v>
      </c>
      <c r="E213">
        <v>6</v>
      </c>
      <c r="F213">
        <v>16.7</v>
      </c>
      <c r="G213">
        <v>0</v>
      </c>
      <c r="H213">
        <f t="shared" si="52"/>
        <v>0.30000000000000071</v>
      </c>
      <c r="I213">
        <f t="shared" si="60"/>
        <v>0.30000000000000071</v>
      </c>
      <c r="J213">
        <f t="shared" si="58"/>
        <v>17</v>
      </c>
      <c r="K213">
        <f t="shared" si="55"/>
        <v>1.0999999999999996</v>
      </c>
      <c r="L213">
        <f t="shared" si="59"/>
        <v>15.399999999999995</v>
      </c>
      <c r="M213">
        <f t="shared" si="54"/>
        <v>0.98360655737704927</v>
      </c>
      <c r="N213">
        <v>18</v>
      </c>
      <c r="O213">
        <f t="shared" si="56"/>
        <v>5</v>
      </c>
      <c r="P213">
        <f t="shared" si="49"/>
        <v>1050</v>
      </c>
      <c r="Q213">
        <f t="shared" si="53"/>
        <v>0</v>
      </c>
      <c r="R213">
        <v>0</v>
      </c>
    </row>
    <row r="214" spans="1:18" x14ac:dyDescent="0.3">
      <c r="A214" t="s">
        <v>5</v>
      </c>
      <c r="B214" s="1">
        <v>45091</v>
      </c>
      <c r="C214" t="s">
        <v>8</v>
      </c>
      <c r="D214" t="s">
        <v>14</v>
      </c>
      <c r="E214">
        <v>6</v>
      </c>
      <c r="F214">
        <v>15.9</v>
      </c>
      <c r="G214">
        <v>0</v>
      </c>
      <c r="H214">
        <f t="shared" si="52"/>
        <v>1.0999999999999996</v>
      </c>
      <c r="I214">
        <f t="shared" si="60"/>
        <v>1.0999999999999996</v>
      </c>
      <c r="J214">
        <f t="shared" si="58"/>
        <v>17</v>
      </c>
      <c r="K214">
        <f t="shared" si="55"/>
        <v>1.5999999999999996</v>
      </c>
      <c r="L214">
        <f t="shared" si="59"/>
        <v>16.999999999999993</v>
      </c>
      <c r="M214">
        <f t="shared" si="54"/>
        <v>0.98360655737704927</v>
      </c>
      <c r="N214">
        <v>19</v>
      </c>
      <c r="O214">
        <f t="shared" si="56"/>
        <v>5</v>
      </c>
      <c r="P214">
        <f t="shared" si="49"/>
        <v>1050</v>
      </c>
      <c r="Q214">
        <f t="shared" si="53"/>
        <v>0</v>
      </c>
      <c r="R214">
        <v>0</v>
      </c>
    </row>
    <row r="215" spans="1:18" x14ac:dyDescent="0.3">
      <c r="A215" t="s">
        <v>6</v>
      </c>
      <c r="B215" s="1">
        <v>45092</v>
      </c>
      <c r="C215" t="s">
        <v>8</v>
      </c>
      <c r="D215" t="s">
        <v>14</v>
      </c>
      <c r="E215">
        <v>6</v>
      </c>
      <c r="F215">
        <v>15.4</v>
      </c>
      <c r="G215">
        <v>0.5</v>
      </c>
      <c r="H215">
        <f t="shared" si="52"/>
        <v>1.0999999999999996</v>
      </c>
      <c r="I215">
        <f t="shared" si="60"/>
        <v>1.5999999999999996</v>
      </c>
      <c r="J215">
        <f t="shared" si="58"/>
        <v>17</v>
      </c>
      <c r="K215">
        <f t="shared" si="55"/>
        <v>1.5999999999999996</v>
      </c>
      <c r="L215">
        <f t="shared" si="59"/>
        <v>18.599999999999994</v>
      </c>
      <c r="M215">
        <f t="shared" si="54"/>
        <v>0.98360655737704927</v>
      </c>
      <c r="N215">
        <v>20</v>
      </c>
      <c r="O215">
        <f t="shared" si="56"/>
        <v>5.5</v>
      </c>
      <c r="P215">
        <f t="shared" si="49"/>
        <v>1155</v>
      </c>
      <c r="Q215">
        <f t="shared" si="53"/>
        <v>0</v>
      </c>
      <c r="R215">
        <v>0</v>
      </c>
    </row>
    <row r="216" spans="1:18" x14ac:dyDescent="0.3">
      <c r="A216" t="s">
        <v>0</v>
      </c>
      <c r="B216" s="1">
        <v>45093</v>
      </c>
      <c r="C216" t="s">
        <v>8</v>
      </c>
      <c r="D216" t="s">
        <v>14</v>
      </c>
      <c r="E216">
        <v>6</v>
      </c>
      <c r="F216">
        <v>15.4</v>
      </c>
      <c r="G216">
        <v>0</v>
      </c>
      <c r="H216">
        <f t="shared" si="52"/>
        <v>1.5999999999999996</v>
      </c>
      <c r="I216">
        <f t="shared" si="60"/>
        <v>1.5999999999999996</v>
      </c>
      <c r="J216">
        <f t="shared" si="58"/>
        <v>17</v>
      </c>
      <c r="K216">
        <f t="shared" si="55"/>
        <v>1.5999999999999996</v>
      </c>
      <c r="L216">
        <f t="shared" si="59"/>
        <v>20.199999999999996</v>
      </c>
      <c r="M216">
        <f t="shared" si="54"/>
        <v>0.98360655737704927</v>
      </c>
      <c r="N216">
        <v>21</v>
      </c>
      <c r="O216">
        <f t="shared" si="56"/>
        <v>5.5</v>
      </c>
      <c r="P216">
        <f t="shared" si="49"/>
        <v>1155</v>
      </c>
      <c r="Q216">
        <f t="shared" si="53"/>
        <v>0</v>
      </c>
      <c r="R216">
        <v>0</v>
      </c>
    </row>
    <row r="217" spans="1:18" x14ac:dyDescent="0.3">
      <c r="A217" t="s">
        <v>1</v>
      </c>
      <c r="B217" s="1">
        <v>45094</v>
      </c>
      <c r="C217" t="s">
        <v>8</v>
      </c>
      <c r="D217" t="s">
        <v>14</v>
      </c>
      <c r="E217">
        <v>6</v>
      </c>
      <c r="F217">
        <v>15.4</v>
      </c>
      <c r="G217">
        <v>0</v>
      </c>
      <c r="H217">
        <f t="shared" si="52"/>
        <v>1.5999999999999996</v>
      </c>
      <c r="I217">
        <f t="shared" si="60"/>
        <v>1.5999999999999996</v>
      </c>
      <c r="J217">
        <f t="shared" si="58"/>
        <v>17</v>
      </c>
      <c r="K217">
        <f t="shared" si="55"/>
        <v>1.1999999999999993</v>
      </c>
      <c r="L217">
        <f t="shared" si="59"/>
        <v>21.399999999999995</v>
      </c>
      <c r="M217">
        <f t="shared" si="54"/>
        <v>0.98360655737704927</v>
      </c>
      <c r="N217">
        <v>22</v>
      </c>
      <c r="O217">
        <f t="shared" si="56"/>
        <v>5.5</v>
      </c>
      <c r="P217">
        <f t="shared" si="49"/>
        <v>1155</v>
      </c>
      <c r="Q217">
        <f t="shared" si="53"/>
        <v>0</v>
      </c>
      <c r="R217">
        <v>0</v>
      </c>
    </row>
    <row r="218" spans="1:18" x14ac:dyDescent="0.3">
      <c r="A218" t="s">
        <v>2</v>
      </c>
      <c r="B218" s="1">
        <v>45095</v>
      </c>
      <c r="C218" t="s">
        <v>8</v>
      </c>
      <c r="D218" t="s">
        <v>14</v>
      </c>
      <c r="E218">
        <v>6</v>
      </c>
      <c r="F218">
        <v>15.8</v>
      </c>
      <c r="G218">
        <v>0</v>
      </c>
      <c r="H218">
        <f t="shared" si="52"/>
        <v>1.1999999999999993</v>
      </c>
      <c r="I218">
        <f t="shared" si="60"/>
        <v>1.1999999999999993</v>
      </c>
      <c r="J218">
        <f t="shared" si="58"/>
        <v>17</v>
      </c>
      <c r="K218">
        <f t="shared" si="55"/>
        <v>1.6999999999999993</v>
      </c>
      <c r="L218">
        <f t="shared" si="59"/>
        <v>23.099999999999994</v>
      </c>
      <c r="M218">
        <f t="shared" si="54"/>
        <v>0.98360655737704927</v>
      </c>
      <c r="N218">
        <v>23</v>
      </c>
      <c r="O218">
        <f t="shared" si="56"/>
        <v>5.5</v>
      </c>
      <c r="P218">
        <f t="shared" si="49"/>
        <v>1155</v>
      </c>
      <c r="Q218">
        <f t="shared" si="53"/>
        <v>0</v>
      </c>
      <c r="R218">
        <v>0</v>
      </c>
    </row>
    <row r="219" spans="1:18" x14ac:dyDescent="0.3">
      <c r="A219" t="s">
        <v>3</v>
      </c>
      <c r="B219" s="1">
        <v>45096</v>
      </c>
      <c r="C219" t="s">
        <v>8</v>
      </c>
      <c r="D219" t="s">
        <v>14</v>
      </c>
      <c r="E219">
        <v>6</v>
      </c>
      <c r="F219">
        <v>15.3</v>
      </c>
      <c r="G219">
        <v>0.5</v>
      </c>
      <c r="H219">
        <f t="shared" si="52"/>
        <v>1.1999999999999993</v>
      </c>
      <c r="I219">
        <f t="shared" si="60"/>
        <v>1.6999999999999993</v>
      </c>
      <c r="J219">
        <f t="shared" si="58"/>
        <v>17</v>
      </c>
      <c r="K219">
        <f t="shared" si="55"/>
        <v>2</v>
      </c>
      <c r="L219">
        <f t="shared" si="59"/>
        <v>25.099999999999994</v>
      </c>
      <c r="M219">
        <f t="shared" si="54"/>
        <v>0.98360655737704927</v>
      </c>
      <c r="N219">
        <v>24</v>
      </c>
      <c r="O219">
        <f t="shared" si="56"/>
        <v>6</v>
      </c>
      <c r="P219">
        <f t="shared" si="49"/>
        <v>1260</v>
      </c>
      <c r="Q219">
        <f t="shared" si="53"/>
        <v>0</v>
      </c>
      <c r="R219">
        <v>0</v>
      </c>
    </row>
    <row r="220" spans="1:18" x14ac:dyDescent="0.3">
      <c r="A220" t="s">
        <v>4</v>
      </c>
      <c r="B220" s="1">
        <v>45097</v>
      </c>
      <c r="C220" t="s">
        <v>8</v>
      </c>
      <c r="D220" t="s">
        <v>14</v>
      </c>
      <c r="E220">
        <v>6</v>
      </c>
      <c r="F220">
        <v>15</v>
      </c>
      <c r="G220">
        <v>0</v>
      </c>
      <c r="H220">
        <f t="shared" si="52"/>
        <v>2</v>
      </c>
      <c r="I220">
        <f t="shared" si="60"/>
        <v>2</v>
      </c>
      <c r="J220">
        <f t="shared" si="58"/>
        <v>17</v>
      </c>
      <c r="K220">
        <f t="shared" si="55"/>
        <v>1.5999999999999996</v>
      </c>
      <c r="L220">
        <f t="shared" si="59"/>
        <v>26.699999999999996</v>
      </c>
      <c r="M220">
        <f t="shared" si="54"/>
        <v>0.98360655737704927</v>
      </c>
      <c r="N220">
        <v>25</v>
      </c>
      <c r="O220">
        <f t="shared" si="56"/>
        <v>6</v>
      </c>
      <c r="P220">
        <f t="shared" si="49"/>
        <v>1260</v>
      </c>
      <c r="Q220">
        <f t="shared" si="53"/>
        <v>0</v>
      </c>
      <c r="R220">
        <v>0</v>
      </c>
    </row>
    <row r="221" spans="1:18" x14ac:dyDescent="0.3">
      <c r="A221" t="s">
        <v>5</v>
      </c>
      <c r="B221" s="1">
        <v>45098</v>
      </c>
      <c r="C221" t="s">
        <v>8</v>
      </c>
      <c r="D221" t="s">
        <v>14</v>
      </c>
      <c r="E221">
        <v>6</v>
      </c>
      <c r="F221">
        <v>15.4</v>
      </c>
      <c r="G221">
        <v>0</v>
      </c>
      <c r="H221">
        <f t="shared" si="52"/>
        <v>1.5999999999999996</v>
      </c>
      <c r="I221">
        <f t="shared" si="60"/>
        <v>1.5999999999999996</v>
      </c>
      <c r="J221">
        <f t="shared" si="58"/>
        <v>17</v>
      </c>
      <c r="K221">
        <f t="shared" si="55"/>
        <v>1.4000000000000004</v>
      </c>
      <c r="L221">
        <f t="shared" si="59"/>
        <v>28.099999999999994</v>
      </c>
      <c r="M221">
        <f t="shared" si="54"/>
        <v>0.98360655737704927</v>
      </c>
      <c r="N221">
        <v>26</v>
      </c>
      <c r="O221">
        <f t="shared" si="56"/>
        <v>6</v>
      </c>
      <c r="P221">
        <f t="shared" si="49"/>
        <v>1260</v>
      </c>
      <c r="Q221">
        <f t="shared" si="53"/>
        <v>0</v>
      </c>
      <c r="R221">
        <v>0</v>
      </c>
    </row>
    <row r="222" spans="1:18" x14ac:dyDescent="0.3">
      <c r="A222" t="s">
        <v>6</v>
      </c>
      <c r="B222" s="1">
        <v>45099</v>
      </c>
      <c r="C222" t="s">
        <v>8</v>
      </c>
      <c r="D222" t="s">
        <v>14</v>
      </c>
      <c r="E222">
        <v>6</v>
      </c>
      <c r="F222">
        <v>15.6</v>
      </c>
      <c r="G222">
        <v>0.5</v>
      </c>
      <c r="H222">
        <f t="shared" si="52"/>
        <v>0.90000000000000036</v>
      </c>
      <c r="I222">
        <f t="shared" si="60"/>
        <v>1.4000000000000004</v>
      </c>
      <c r="J222">
        <f t="shared" si="58"/>
        <v>17</v>
      </c>
      <c r="K222">
        <f t="shared" si="55"/>
        <v>1</v>
      </c>
      <c r="L222">
        <f t="shared" si="59"/>
        <v>29.099999999999994</v>
      </c>
      <c r="M222">
        <f t="shared" si="54"/>
        <v>0.98360655737704927</v>
      </c>
      <c r="N222">
        <v>27</v>
      </c>
      <c r="O222">
        <f t="shared" si="56"/>
        <v>6.5</v>
      </c>
      <c r="P222">
        <f t="shared" si="49"/>
        <v>1365</v>
      </c>
      <c r="Q222">
        <f t="shared" si="53"/>
        <v>0</v>
      </c>
      <c r="R222">
        <v>0</v>
      </c>
    </row>
    <row r="223" spans="1:18" x14ac:dyDescent="0.3">
      <c r="A223" t="s">
        <v>0</v>
      </c>
      <c r="B223" s="1">
        <v>45100</v>
      </c>
      <c r="C223" t="s">
        <v>8</v>
      </c>
      <c r="D223" t="s">
        <v>14</v>
      </c>
      <c r="E223">
        <v>6</v>
      </c>
      <c r="F223">
        <v>16</v>
      </c>
      <c r="G223">
        <v>0</v>
      </c>
      <c r="H223">
        <f t="shared" si="52"/>
        <v>1</v>
      </c>
      <c r="I223">
        <f>H223+G223</f>
        <v>1</v>
      </c>
      <c r="J223">
        <f t="shared" si="58"/>
        <v>17</v>
      </c>
      <c r="K223">
        <f t="shared" si="55"/>
        <v>0.80000000000000071</v>
      </c>
      <c r="L223">
        <f t="shared" si="59"/>
        <v>29.899999999999995</v>
      </c>
      <c r="M223">
        <f t="shared" si="54"/>
        <v>0.98360655737704927</v>
      </c>
      <c r="N223">
        <v>28</v>
      </c>
      <c r="O223">
        <f t="shared" si="56"/>
        <v>6.5</v>
      </c>
      <c r="P223">
        <f t="shared" si="49"/>
        <v>1365</v>
      </c>
      <c r="Q223">
        <f t="shared" si="53"/>
        <v>0</v>
      </c>
      <c r="R223">
        <v>0</v>
      </c>
    </row>
    <row r="224" spans="1:18" x14ac:dyDescent="0.3">
      <c r="A224" t="s">
        <v>1</v>
      </c>
      <c r="B224" s="1">
        <v>45101</v>
      </c>
      <c r="C224" t="s">
        <v>8</v>
      </c>
      <c r="D224" t="s">
        <v>14</v>
      </c>
      <c r="E224">
        <v>6</v>
      </c>
      <c r="F224">
        <v>16.2</v>
      </c>
      <c r="G224">
        <v>0</v>
      </c>
      <c r="H224">
        <f t="shared" si="52"/>
        <v>0.80000000000000071</v>
      </c>
      <c r="I224">
        <f t="shared" ref="I224:I234" si="61">H224+G224</f>
        <v>0.80000000000000071</v>
      </c>
      <c r="J224">
        <f t="shared" si="58"/>
        <v>17</v>
      </c>
      <c r="K224">
        <f t="shared" si="55"/>
        <v>1</v>
      </c>
      <c r="L224">
        <f t="shared" si="59"/>
        <v>30.899999999999995</v>
      </c>
      <c r="M224">
        <f t="shared" si="54"/>
        <v>0.98360655737704927</v>
      </c>
      <c r="N224">
        <v>29</v>
      </c>
      <c r="O224">
        <f t="shared" si="56"/>
        <v>6.5</v>
      </c>
      <c r="P224">
        <f t="shared" si="49"/>
        <v>1365</v>
      </c>
      <c r="Q224">
        <f t="shared" si="53"/>
        <v>0</v>
      </c>
      <c r="R224">
        <v>0</v>
      </c>
    </row>
    <row r="225" spans="1:18" x14ac:dyDescent="0.3">
      <c r="A225" t="s">
        <v>2</v>
      </c>
      <c r="B225" s="1">
        <v>45102</v>
      </c>
      <c r="C225" t="s">
        <v>8</v>
      </c>
      <c r="D225" t="s">
        <v>14</v>
      </c>
      <c r="E225">
        <v>6</v>
      </c>
      <c r="F225">
        <v>16</v>
      </c>
      <c r="G225">
        <v>0</v>
      </c>
      <c r="H225">
        <f t="shared" si="52"/>
        <v>1</v>
      </c>
      <c r="I225">
        <f t="shared" si="61"/>
        <v>1</v>
      </c>
      <c r="J225">
        <f t="shared" si="58"/>
        <v>17</v>
      </c>
      <c r="K225">
        <f t="shared" si="55"/>
        <v>1.3000000000000007</v>
      </c>
      <c r="L225">
        <f t="shared" si="59"/>
        <v>32.199999999999996</v>
      </c>
      <c r="M225">
        <f t="shared" si="54"/>
        <v>0.98360655737704927</v>
      </c>
      <c r="N225">
        <v>30</v>
      </c>
      <c r="O225">
        <f t="shared" si="56"/>
        <v>6.5</v>
      </c>
      <c r="P225">
        <f t="shared" si="49"/>
        <v>1365</v>
      </c>
      <c r="Q225">
        <f t="shared" si="53"/>
        <v>0</v>
      </c>
      <c r="R225">
        <v>0</v>
      </c>
    </row>
    <row r="226" spans="1:18" x14ac:dyDescent="0.3">
      <c r="A226" t="s">
        <v>3</v>
      </c>
      <c r="B226" s="1">
        <v>45103</v>
      </c>
      <c r="C226" t="s">
        <v>8</v>
      </c>
      <c r="D226" t="s">
        <v>14</v>
      </c>
      <c r="E226">
        <v>6</v>
      </c>
      <c r="F226">
        <v>15.7</v>
      </c>
      <c r="G226">
        <v>0.5</v>
      </c>
      <c r="H226">
        <f t="shared" si="52"/>
        <v>0.80000000000000071</v>
      </c>
      <c r="I226">
        <f t="shared" si="61"/>
        <v>1.3000000000000007</v>
      </c>
      <c r="J226">
        <f t="shared" si="58"/>
        <v>17</v>
      </c>
      <c r="K226">
        <f t="shared" si="55"/>
        <v>0.89999999999999858</v>
      </c>
      <c r="L226">
        <f t="shared" si="59"/>
        <v>33.099999999999994</v>
      </c>
      <c r="M226">
        <f t="shared" si="54"/>
        <v>0.98360655737704927</v>
      </c>
      <c r="N226">
        <v>31</v>
      </c>
      <c r="O226">
        <f t="shared" si="56"/>
        <v>7</v>
      </c>
      <c r="P226">
        <f t="shared" si="49"/>
        <v>1470</v>
      </c>
      <c r="Q226">
        <f t="shared" si="53"/>
        <v>0</v>
      </c>
      <c r="R226">
        <v>0</v>
      </c>
    </row>
    <row r="227" spans="1:18" x14ac:dyDescent="0.3">
      <c r="A227" t="s">
        <v>4</v>
      </c>
      <c r="B227" s="1">
        <v>45104</v>
      </c>
      <c r="C227" t="s">
        <v>8</v>
      </c>
      <c r="D227" t="s">
        <v>14</v>
      </c>
      <c r="E227">
        <v>6</v>
      </c>
      <c r="F227">
        <v>16.100000000000001</v>
      </c>
      <c r="G227">
        <v>0</v>
      </c>
      <c r="H227">
        <f t="shared" si="52"/>
        <v>0.89999999999999858</v>
      </c>
      <c r="I227">
        <f t="shared" si="61"/>
        <v>0.89999999999999858</v>
      </c>
      <c r="J227">
        <f>I227+F227</f>
        <v>17</v>
      </c>
      <c r="K227">
        <f t="shared" si="55"/>
        <v>1.4000000000000004</v>
      </c>
      <c r="L227">
        <f t="shared" si="59"/>
        <v>34.499999999999993</v>
      </c>
      <c r="M227">
        <f t="shared" si="54"/>
        <v>0.98360655737704927</v>
      </c>
      <c r="N227">
        <v>32</v>
      </c>
      <c r="O227">
        <f t="shared" si="56"/>
        <v>7</v>
      </c>
      <c r="P227">
        <f t="shared" si="49"/>
        <v>1470</v>
      </c>
      <c r="Q227">
        <f t="shared" si="53"/>
        <v>0</v>
      </c>
      <c r="R227">
        <v>0</v>
      </c>
    </row>
    <row r="228" spans="1:18" x14ac:dyDescent="0.3">
      <c r="A228" t="s">
        <v>5</v>
      </c>
      <c r="B228" s="1">
        <v>45105</v>
      </c>
      <c r="C228" t="s">
        <v>8</v>
      </c>
      <c r="D228" t="s">
        <v>14</v>
      </c>
      <c r="E228">
        <v>6</v>
      </c>
      <c r="F228">
        <v>15.6</v>
      </c>
      <c r="G228">
        <v>0</v>
      </c>
      <c r="H228">
        <f t="shared" si="52"/>
        <v>1.4000000000000004</v>
      </c>
      <c r="I228">
        <f t="shared" si="61"/>
        <v>1.4000000000000004</v>
      </c>
      <c r="J228">
        <f t="shared" ref="J228:J234" si="62">I228+F228</f>
        <v>17</v>
      </c>
      <c r="K228">
        <f t="shared" si="55"/>
        <v>1.3000000000000007</v>
      </c>
      <c r="L228">
        <f t="shared" si="59"/>
        <v>35.799999999999997</v>
      </c>
      <c r="M228">
        <f t="shared" si="54"/>
        <v>0.98360655737704927</v>
      </c>
      <c r="N228">
        <v>33</v>
      </c>
      <c r="O228">
        <f t="shared" si="56"/>
        <v>7</v>
      </c>
      <c r="P228">
        <f t="shared" si="49"/>
        <v>1470</v>
      </c>
      <c r="Q228">
        <f t="shared" si="53"/>
        <v>0</v>
      </c>
      <c r="R228">
        <v>0</v>
      </c>
    </row>
    <row r="229" spans="1:18" x14ac:dyDescent="0.3">
      <c r="A229" t="s">
        <v>6</v>
      </c>
      <c r="B229" s="1">
        <v>45106</v>
      </c>
      <c r="C229" t="s">
        <v>8</v>
      </c>
      <c r="D229" t="s">
        <v>14</v>
      </c>
      <c r="E229">
        <v>6</v>
      </c>
      <c r="F229">
        <v>15.7</v>
      </c>
      <c r="G229">
        <v>0.5</v>
      </c>
      <c r="H229">
        <f t="shared" si="52"/>
        <v>0.80000000000000071</v>
      </c>
      <c r="I229">
        <f t="shared" si="61"/>
        <v>1.3000000000000007</v>
      </c>
      <c r="J229">
        <f t="shared" si="62"/>
        <v>17</v>
      </c>
      <c r="K229">
        <f t="shared" si="55"/>
        <v>1.5</v>
      </c>
      <c r="L229">
        <f t="shared" si="59"/>
        <v>37.299999999999997</v>
      </c>
      <c r="M229">
        <f t="shared" si="54"/>
        <v>0.98360655737704927</v>
      </c>
      <c r="N229">
        <v>34</v>
      </c>
      <c r="O229">
        <f t="shared" si="56"/>
        <v>7.5</v>
      </c>
      <c r="P229">
        <f t="shared" si="49"/>
        <v>1575</v>
      </c>
      <c r="Q229">
        <f t="shared" si="53"/>
        <v>0</v>
      </c>
      <c r="R229">
        <v>0</v>
      </c>
    </row>
    <row r="230" spans="1:18" x14ac:dyDescent="0.3">
      <c r="A230" t="s">
        <v>0</v>
      </c>
      <c r="B230" s="1">
        <v>45107</v>
      </c>
      <c r="C230" t="s">
        <v>8</v>
      </c>
      <c r="D230" t="s">
        <v>14</v>
      </c>
      <c r="E230">
        <v>6</v>
      </c>
      <c r="F230">
        <v>15.5</v>
      </c>
      <c r="G230">
        <v>0</v>
      </c>
      <c r="H230">
        <f t="shared" si="52"/>
        <v>1.5</v>
      </c>
      <c r="I230">
        <f t="shared" si="61"/>
        <v>1.5</v>
      </c>
      <c r="J230">
        <f t="shared" si="62"/>
        <v>17</v>
      </c>
      <c r="K230">
        <f t="shared" si="55"/>
        <v>0.60000000000000142</v>
      </c>
      <c r="L230">
        <f t="shared" si="59"/>
        <v>37.9</v>
      </c>
      <c r="M230">
        <f t="shared" si="54"/>
        <v>0.98360655737704927</v>
      </c>
      <c r="N230">
        <v>35</v>
      </c>
      <c r="O230">
        <f t="shared" si="56"/>
        <v>7.5</v>
      </c>
      <c r="P230">
        <f t="shared" si="49"/>
        <v>1575</v>
      </c>
      <c r="Q230">
        <f t="shared" si="53"/>
        <v>0</v>
      </c>
      <c r="R230">
        <v>0</v>
      </c>
    </row>
    <row r="231" spans="1:18" x14ac:dyDescent="0.3">
      <c r="A231" t="s">
        <v>1</v>
      </c>
      <c r="B231" s="1">
        <v>45108</v>
      </c>
      <c r="C231" t="s">
        <v>8</v>
      </c>
      <c r="D231" t="s">
        <v>14</v>
      </c>
      <c r="E231">
        <v>6</v>
      </c>
      <c r="F231">
        <v>16.399999999999999</v>
      </c>
      <c r="G231">
        <v>0</v>
      </c>
      <c r="H231">
        <f t="shared" si="52"/>
        <v>0.60000000000000142</v>
      </c>
      <c r="I231">
        <f t="shared" si="61"/>
        <v>0.60000000000000142</v>
      </c>
      <c r="J231">
        <f t="shared" si="62"/>
        <v>17</v>
      </c>
      <c r="K231">
        <f t="shared" si="55"/>
        <v>0.60000000000000142</v>
      </c>
      <c r="L231">
        <f t="shared" si="59"/>
        <v>38.5</v>
      </c>
      <c r="M231">
        <f t="shared" si="54"/>
        <v>0.98360655737704927</v>
      </c>
      <c r="N231">
        <v>36</v>
      </c>
      <c r="O231">
        <f t="shared" si="56"/>
        <v>7.5</v>
      </c>
      <c r="P231">
        <f t="shared" si="49"/>
        <v>1575</v>
      </c>
      <c r="Q231">
        <f t="shared" si="53"/>
        <v>0</v>
      </c>
      <c r="R231">
        <v>0</v>
      </c>
    </row>
    <row r="232" spans="1:18" x14ac:dyDescent="0.3">
      <c r="A232" t="s">
        <v>2</v>
      </c>
      <c r="B232" s="1">
        <v>45109</v>
      </c>
      <c r="C232" t="s">
        <v>8</v>
      </c>
      <c r="D232" t="s">
        <v>14</v>
      </c>
      <c r="E232">
        <v>6</v>
      </c>
      <c r="F232">
        <v>16.399999999999999</v>
      </c>
      <c r="G232">
        <v>0</v>
      </c>
      <c r="H232">
        <f t="shared" si="52"/>
        <v>0.60000000000000142</v>
      </c>
      <c r="I232">
        <f t="shared" si="61"/>
        <v>0.60000000000000142</v>
      </c>
      <c r="J232">
        <f t="shared" si="62"/>
        <v>17</v>
      </c>
      <c r="K232">
        <f t="shared" si="55"/>
        <v>1</v>
      </c>
      <c r="L232">
        <f t="shared" si="59"/>
        <v>39.5</v>
      </c>
      <c r="M232">
        <f t="shared" si="54"/>
        <v>0.98360655737704927</v>
      </c>
      <c r="N232">
        <v>37</v>
      </c>
      <c r="O232">
        <f t="shared" si="56"/>
        <v>7.5</v>
      </c>
      <c r="P232">
        <f t="shared" si="49"/>
        <v>1575</v>
      </c>
      <c r="Q232">
        <f t="shared" si="53"/>
        <v>0</v>
      </c>
      <c r="R232">
        <v>0</v>
      </c>
    </row>
    <row r="233" spans="1:18" x14ac:dyDescent="0.3">
      <c r="A233" t="s">
        <v>3</v>
      </c>
      <c r="B233" s="1">
        <v>45110</v>
      </c>
      <c r="C233" t="s">
        <v>8</v>
      </c>
      <c r="D233" t="s">
        <v>14</v>
      </c>
      <c r="E233">
        <v>6</v>
      </c>
      <c r="F233">
        <v>16</v>
      </c>
      <c r="G233">
        <v>0</v>
      </c>
      <c r="H233">
        <f t="shared" si="52"/>
        <v>1</v>
      </c>
      <c r="I233">
        <f t="shared" si="61"/>
        <v>1</v>
      </c>
      <c r="J233">
        <f t="shared" si="62"/>
        <v>17</v>
      </c>
      <c r="K233">
        <f t="shared" si="55"/>
        <v>0.89999999999999858</v>
      </c>
      <c r="L233">
        <f t="shared" si="59"/>
        <v>40.4</v>
      </c>
      <c r="M233">
        <f t="shared" si="54"/>
        <v>0.98360655737704927</v>
      </c>
      <c r="N233">
        <v>38</v>
      </c>
      <c r="O233">
        <f t="shared" si="56"/>
        <v>7.5</v>
      </c>
      <c r="P233">
        <f t="shared" si="49"/>
        <v>1575</v>
      </c>
      <c r="Q233">
        <f t="shared" si="53"/>
        <v>0</v>
      </c>
      <c r="R233">
        <v>0</v>
      </c>
    </row>
    <row r="234" spans="1:18" s="2" customFormat="1" x14ac:dyDescent="0.3">
      <c r="A234" s="2" t="s">
        <v>4</v>
      </c>
      <c r="B234" s="3">
        <v>45111</v>
      </c>
      <c r="C234" s="2" t="s">
        <v>8</v>
      </c>
      <c r="D234" s="2" t="s">
        <v>14</v>
      </c>
      <c r="E234" s="2">
        <v>6</v>
      </c>
      <c r="F234" s="2">
        <v>16.100000000000001</v>
      </c>
      <c r="G234" s="2">
        <v>0</v>
      </c>
      <c r="H234" s="2">
        <f t="shared" si="52"/>
        <v>0.89999999999999858</v>
      </c>
      <c r="I234" s="2">
        <f t="shared" si="61"/>
        <v>0.89999999999999858</v>
      </c>
      <c r="J234" s="2">
        <f t="shared" si="62"/>
        <v>17</v>
      </c>
      <c r="O234" s="2">
        <f t="shared" si="56"/>
        <v>7.5</v>
      </c>
      <c r="P234">
        <f t="shared" si="49"/>
        <v>1575</v>
      </c>
      <c r="Q234">
        <f t="shared" si="53"/>
        <v>0</v>
      </c>
      <c r="R234">
        <v>0</v>
      </c>
    </row>
    <row r="235" spans="1:18" x14ac:dyDescent="0.3">
      <c r="A235" t="s">
        <v>1</v>
      </c>
      <c r="B235" s="1">
        <v>45073</v>
      </c>
      <c r="C235" t="s">
        <v>8</v>
      </c>
      <c r="D235" t="s">
        <v>14</v>
      </c>
      <c r="E235">
        <v>7</v>
      </c>
      <c r="F235">
        <v>17</v>
      </c>
      <c r="G235">
        <v>0</v>
      </c>
      <c r="H235">
        <f t="shared" si="52"/>
        <v>0</v>
      </c>
      <c r="I235">
        <f>H235+G235</f>
        <v>0</v>
      </c>
      <c r="J235">
        <f>I235+F235</f>
        <v>17</v>
      </c>
      <c r="K235">
        <f>J235-F236</f>
        <v>0.19999999999999929</v>
      </c>
      <c r="M235">
        <f t="shared" si="54"/>
        <v>0.98360655737704927</v>
      </c>
      <c r="N235">
        <v>1</v>
      </c>
      <c r="O235">
        <v>2.5</v>
      </c>
      <c r="P235">
        <f t="shared" si="49"/>
        <v>525</v>
      </c>
      <c r="Q235">
        <f t="shared" si="53"/>
        <v>0</v>
      </c>
      <c r="R235">
        <v>0</v>
      </c>
    </row>
    <row r="236" spans="1:18" x14ac:dyDescent="0.3">
      <c r="A236" t="s">
        <v>2</v>
      </c>
      <c r="B236" s="1">
        <v>45074</v>
      </c>
      <c r="C236" t="s">
        <v>8</v>
      </c>
      <c r="D236" t="s">
        <v>14</v>
      </c>
      <c r="E236">
        <v>7</v>
      </c>
      <c r="F236">
        <v>16.8</v>
      </c>
      <c r="G236">
        <v>0</v>
      </c>
      <c r="H236">
        <f t="shared" si="52"/>
        <v>0.19999999999999929</v>
      </c>
      <c r="I236">
        <f>H236+G236</f>
        <v>0.19999999999999929</v>
      </c>
      <c r="J236">
        <f>I236+F236</f>
        <v>17</v>
      </c>
      <c r="K236">
        <f t="shared" ref="K236:K272" si="63">J236-F237</f>
        <v>0.30000000000000071</v>
      </c>
      <c r="L236">
        <f>K235+K236</f>
        <v>0.5</v>
      </c>
      <c r="M236">
        <f t="shared" si="54"/>
        <v>0.98360655737704927</v>
      </c>
      <c r="N236">
        <v>2</v>
      </c>
      <c r="O236">
        <f t="shared" ref="O236:O273" si="64">O235+G236</f>
        <v>2.5</v>
      </c>
      <c r="P236">
        <f t="shared" si="49"/>
        <v>525</v>
      </c>
      <c r="Q236">
        <f t="shared" si="53"/>
        <v>0</v>
      </c>
      <c r="R236">
        <v>0</v>
      </c>
    </row>
    <row r="237" spans="1:18" x14ac:dyDescent="0.3">
      <c r="A237" t="s">
        <v>3</v>
      </c>
      <c r="B237" s="1">
        <v>45075</v>
      </c>
      <c r="C237" t="s">
        <v>8</v>
      </c>
      <c r="D237" t="s">
        <v>14</v>
      </c>
      <c r="E237">
        <v>7</v>
      </c>
      <c r="F237">
        <v>16.7</v>
      </c>
      <c r="G237">
        <v>0.25</v>
      </c>
      <c r="H237">
        <f t="shared" si="52"/>
        <v>5.0000000000000711E-2</v>
      </c>
      <c r="I237">
        <f>H237+G237</f>
        <v>0.30000000000000071</v>
      </c>
      <c r="J237">
        <f>I237+F237</f>
        <v>17</v>
      </c>
      <c r="K237">
        <f t="shared" si="63"/>
        <v>0.60000000000000142</v>
      </c>
      <c r="L237">
        <f>L236+K237</f>
        <v>1.1000000000000014</v>
      </c>
      <c r="M237">
        <f t="shared" si="54"/>
        <v>0.98360655737704927</v>
      </c>
      <c r="N237">
        <v>3</v>
      </c>
      <c r="O237">
        <f t="shared" si="64"/>
        <v>2.75</v>
      </c>
      <c r="P237">
        <f t="shared" si="49"/>
        <v>577.5</v>
      </c>
      <c r="Q237">
        <f t="shared" si="53"/>
        <v>0</v>
      </c>
      <c r="R237">
        <v>0</v>
      </c>
    </row>
    <row r="238" spans="1:18" x14ac:dyDescent="0.3">
      <c r="A238" t="s">
        <v>4</v>
      </c>
      <c r="B238" s="1">
        <v>45076</v>
      </c>
      <c r="C238" t="s">
        <v>8</v>
      </c>
      <c r="D238" t="s">
        <v>14</v>
      </c>
      <c r="E238">
        <v>7</v>
      </c>
      <c r="F238">
        <v>16.399999999999999</v>
      </c>
      <c r="G238">
        <v>0.25</v>
      </c>
      <c r="H238">
        <f t="shared" si="52"/>
        <v>0.35000000000000142</v>
      </c>
      <c r="I238">
        <f t="shared" ref="I238:I249" si="65">H238+G238</f>
        <v>0.60000000000000142</v>
      </c>
      <c r="J238">
        <f t="shared" ref="J238:J265" si="66">I238+F238</f>
        <v>17</v>
      </c>
      <c r="K238">
        <f t="shared" si="63"/>
        <v>0.60000000000000142</v>
      </c>
      <c r="L238">
        <f t="shared" ref="L238:L272" si="67">L237+K238</f>
        <v>1.7000000000000028</v>
      </c>
      <c r="M238">
        <f t="shared" si="54"/>
        <v>0.98360655737704927</v>
      </c>
      <c r="N238">
        <v>4</v>
      </c>
      <c r="O238">
        <f t="shared" si="64"/>
        <v>3</v>
      </c>
      <c r="P238">
        <f t="shared" si="49"/>
        <v>630</v>
      </c>
      <c r="Q238">
        <f t="shared" si="53"/>
        <v>0</v>
      </c>
      <c r="R238">
        <v>0</v>
      </c>
    </row>
    <row r="239" spans="1:18" x14ac:dyDescent="0.3">
      <c r="A239" t="s">
        <v>5</v>
      </c>
      <c r="B239" s="1">
        <v>45077</v>
      </c>
      <c r="C239" t="s">
        <v>8</v>
      </c>
      <c r="D239" t="s">
        <v>14</v>
      </c>
      <c r="E239">
        <v>7</v>
      </c>
      <c r="F239">
        <v>16.399999999999999</v>
      </c>
      <c r="G239">
        <v>0</v>
      </c>
      <c r="H239">
        <f t="shared" si="52"/>
        <v>0.60000000000000142</v>
      </c>
      <c r="I239">
        <f t="shared" si="65"/>
        <v>0.60000000000000142</v>
      </c>
      <c r="J239">
        <f t="shared" si="66"/>
        <v>17</v>
      </c>
      <c r="K239">
        <f t="shared" si="63"/>
        <v>0.5</v>
      </c>
      <c r="L239">
        <f t="shared" si="67"/>
        <v>2.2000000000000028</v>
      </c>
      <c r="M239">
        <f t="shared" si="54"/>
        <v>0.98360655737704927</v>
      </c>
      <c r="N239">
        <v>5</v>
      </c>
      <c r="O239">
        <f t="shared" si="64"/>
        <v>3</v>
      </c>
      <c r="P239">
        <f t="shared" si="49"/>
        <v>630</v>
      </c>
      <c r="Q239">
        <f t="shared" si="53"/>
        <v>0</v>
      </c>
      <c r="R239">
        <v>0</v>
      </c>
    </row>
    <row r="240" spans="1:18" x14ac:dyDescent="0.3">
      <c r="A240" t="s">
        <v>6</v>
      </c>
      <c r="B240" s="1">
        <v>45078</v>
      </c>
      <c r="C240" t="s">
        <v>8</v>
      </c>
      <c r="D240" t="s">
        <v>14</v>
      </c>
      <c r="E240">
        <v>7</v>
      </c>
      <c r="F240">
        <v>16.5</v>
      </c>
      <c r="G240">
        <v>0.25</v>
      </c>
      <c r="H240">
        <f t="shared" si="52"/>
        <v>0.25</v>
      </c>
      <c r="I240">
        <f t="shared" si="65"/>
        <v>0.5</v>
      </c>
      <c r="J240">
        <f t="shared" si="66"/>
        <v>17</v>
      </c>
      <c r="K240">
        <f t="shared" si="63"/>
        <v>0.5</v>
      </c>
      <c r="L240">
        <f t="shared" si="67"/>
        <v>2.7000000000000028</v>
      </c>
      <c r="M240">
        <f t="shared" si="54"/>
        <v>0.98360655737704927</v>
      </c>
      <c r="N240">
        <v>6</v>
      </c>
      <c r="O240">
        <f t="shared" si="64"/>
        <v>3.25</v>
      </c>
      <c r="P240">
        <f t="shared" si="49"/>
        <v>682.5</v>
      </c>
      <c r="Q240">
        <f t="shared" si="53"/>
        <v>0</v>
      </c>
      <c r="R240">
        <v>0</v>
      </c>
    </row>
    <row r="241" spans="1:18" x14ac:dyDescent="0.3">
      <c r="A241" t="s">
        <v>0</v>
      </c>
      <c r="B241" s="1">
        <v>45079</v>
      </c>
      <c r="C241" t="s">
        <v>8</v>
      </c>
      <c r="D241" t="s">
        <v>14</v>
      </c>
      <c r="E241">
        <v>7</v>
      </c>
      <c r="F241">
        <v>16.5</v>
      </c>
      <c r="G241">
        <v>0.25</v>
      </c>
      <c r="H241">
        <f t="shared" si="52"/>
        <v>0.25</v>
      </c>
      <c r="I241">
        <f t="shared" si="65"/>
        <v>0.5</v>
      </c>
      <c r="J241">
        <f t="shared" si="66"/>
        <v>17</v>
      </c>
      <c r="K241">
        <f t="shared" si="63"/>
        <v>0</v>
      </c>
      <c r="L241">
        <f t="shared" si="67"/>
        <v>2.7000000000000028</v>
      </c>
      <c r="M241">
        <f t="shared" si="54"/>
        <v>0.98360655737704927</v>
      </c>
      <c r="N241">
        <v>7</v>
      </c>
      <c r="O241">
        <f t="shared" si="64"/>
        <v>3.5</v>
      </c>
      <c r="P241">
        <f t="shared" si="49"/>
        <v>735</v>
      </c>
      <c r="Q241">
        <f t="shared" si="53"/>
        <v>0</v>
      </c>
      <c r="R241">
        <v>0</v>
      </c>
    </row>
    <row r="242" spans="1:18" x14ac:dyDescent="0.3">
      <c r="A242" t="s">
        <v>1</v>
      </c>
      <c r="B242" s="1">
        <v>45080</v>
      </c>
      <c r="C242" t="s">
        <v>8</v>
      </c>
      <c r="D242" t="s">
        <v>14</v>
      </c>
      <c r="E242">
        <v>7</v>
      </c>
      <c r="F242">
        <v>17</v>
      </c>
      <c r="G242">
        <v>0</v>
      </c>
      <c r="H242">
        <f t="shared" si="52"/>
        <v>0</v>
      </c>
      <c r="I242">
        <f t="shared" si="65"/>
        <v>0</v>
      </c>
      <c r="J242">
        <f t="shared" si="66"/>
        <v>17</v>
      </c>
      <c r="K242">
        <f t="shared" si="63"/>
        <v>0.39999999999999858</v>
      </c>
      <c r="L242">
        <f t="shared" si="67"/>
        <v>3.1000000000000014</v>
      </c>
      <c r="M242">
        <f t="shared" si="54"/>
        <v>0.98360655737704927</v>
      </c>
      <c r="N242">
        <v>8</v>
      </c>
      <c r="O242">
        <f t="shared" si="64"/>
        <v>3.5</v>
      </c>
      <c r="P242">
        <f t="shared" si="49"/>
        <v>735</v>
      </c>
      <c r="Q242">
        <f t="shared" si="53"/>
        <v>0</v>
      </c>
      <c r="R242">
        <v>0</v>
      </c>
    </row>
    <row r="243" spans="1:18" x14ac:dyDescent="0.3">
      <c r="A243" t="s">
        <v>2</v>
      </c>
      <c r="B243" s="1">
        <v>45081</v>
      </c>
      <c r="C243" t="s">
        <v>8</v>
      </c>
      <c r="D243" t="s">
        <v>14</v>
      </c>
      <c r="E243">
        <v>7</v>
      </c>
      <c r="F243">
        <v>16.600000000000001</v>
      </c>
      <c r="G243">
        <v>0</v>
      </c>
      <c r="H243">
        <f t="shared" si="52"/>
        <v>0.39999999999999858</v>
      </c>
      <c r="I243">
        <f t="shared" si="65"/>
        <v>0.39999999999999858</v>
      </c>
      <c r="J243">
        <f t="shared" si="66"/>
        <v>17</v>
      </c>
      <c r="K243">
        <f t="shared" si="63"/>
        <v>0.60000000000000142</v>
      </c>
      <c r="L243">
        <f t="shared" si="67"/>
        <v>3.7000000000000028</v>
      </c>
      <c r="M243">
        <f t="shared" si="54"/>
        <v>0.98360655737704927</v>
      </c>
      <c r="N243">
        <v>9</v>
      </c>
      <c r="O243">
        <f t="shared" si="64"/>
        <v>3.5</v>
      </c>
      <c r="P243">
        <f t="shared" si="49"/>
        <v>735</v>
      </c>
      <c r="Q243">
        <f t="shared" si="53"/>
        <v>0</v>
      </c>
      <c r="R243">
        <v>0</v>
      </c>
    </row>
    <row r="244" spans="1:18" x14ac:dyDescent="0.3">
      <c r="A244" t="s">
        <v>3</v>
      </c>
      <c r="B244" s="1">
        <v>45082</v>
      </c>
      <c r="C244" t="s">
        <v>8</v>
      </c>
      <c r="D244" t="s">
        <v>14</v>
      </c>
      <c r="E244">
        <v>7</v>
      </c>
      <c r="F244">
        <v>16.399999999999999</v>
      </c>
      <c r="G244">
        <v>0.25</v>
      </c>
      <c r="H244">
        <f t="shared" si="52"/>
        <v>0.35000000000000142</v>
      </c>
      <c r="I244">
        <f t="shared" si="65"/>
        <v>0.60000000000000142</v>
      </c>
      <c r="J244">
        <f t="shared" si="66"/>
        <v>17</v>
      </c>
      <c r="K244">
        <f t="shared" si="63"/>
        <v>0.19999999999999929</v>
      </c>
      <c r="L244">
        <f t="shared" si="67"/>
        <v>3.9000000000000021</v>
      </c>
      <c r="M244">
        <f t="shared" si="54"/>
        <v>0.98360655737704927</v>
      </c>
      <c r="N244">
        <v>10</v>
      </c>
      <c r="O244">
        <f t="shared" si="64"/>
        <v>3.75</v>
      </c>
      <c r="P244">
        <f t="shared" si="49"/>
        <v>787.5</v>
      </c>
      <c r="Q244">
        <f t="shared" si="53"/>
        <v>0</v>
      </c>
      <c r="R244">
        <v>0</v>
      </c>
    </row>
    <row r="245" spans="1:18" x14ac:dyDescent="0.3">
      <c r="A245" t="s">
        <v>4</v>
      </c>
      <c r="B245" s="1">
        <v>45083</v>
      </c>
      <c r="C245" t="s">
        <v>8</v>
      </c>
      <c r="D245" t="s">
        <v>14</v>
      </c>
      <c r="E245">
        <v>7</v>
      </c>
      <c r="F245">
        <v>16.8</v>
      </c>
      <c r="G245">
        <v>0.25</v>
      </c>
      <c r="H245">
        <v>0</v>
      </c>
      <c r="I245">
        <f t="shared" si="65"/>
        <v>0.25</v>
      </c>
      <c r="J245">
        <f t="shared" si="66"/>
        <v>17.05</v>
      </c>
      <c r="K245">
        <f t="shared" si="63"/>
        <v>0.65000000000000213</v>
      </c>
      <c r="L245">
        <f t="shared" si="67"/>
        <v>4.5500000000000043</v>
      </c>
      <c r="M245">
        <f t="shared" si="54"/>
        <v>0.9918032786885248</v>
      </c>
      <c r="N245">
        <v>11</v>
      </c>
      <c r="O245">
        <f t="shared" si="64"/>
        <v>4</v>
      </c>
      <c r="P245">
        <f t="shared" si="49"/>
        <v>840</v>
      </c>
      <c r="Q245">
        <f t="shared" si="53"/>
        <v>0</v>
      </c>
      <c r="R245">
        <v>0</v>
      </c>
    </row>
    <row r="246" spans="1:18" x14ac:dyDescent="0.3">
      <c r="A246" t="s">
        <v>5</v>
      </c>
      <c r="B246" s="1">
        <v>45084</v>
      </c>
      <c r="C246" t="s">
        <v>8</v>
      </c>
      <c r="D246" t="s">
        <v>14</v>
      </c>
      <c r="E246">
        <v>7</v>
      </c>
      <c r="F246">
        <v>16.399999999999999</v>
      </c>
      <c r="G246">
        <v>0</v>
      </c>
      <c r="H246">
        <f t="shared" si="52"/>
        <v>0.60000000000000142</v>
      </c>
      <c r="I246">
        <f t="shared" si="65"/>
        <v>0.60000000000000142</v>
      </c>
      <c r="J246">
        <f t="shared" si="66"/>
        <v>17</v>
      </c>
      <c r="K246">
        <f t="shared" si="63"/>
        <v>0.5</v>
      </c>
      <c r="L246">
        <f t="shared" si="67"/>
        <v>5.0500000000000043</v>
      </c>
      <c r="M246">
        <f t="shared" si="54"/>
        <v>0.98360655737704927</v>
      </c>
      <c r="N246">
        <v>12</v>
      </c>
      <c r="O246">
        <f t="shared" si="64"/>
        <v>4</v>
      </c>
      <c r="P246">
        <f t="shared" si="49"/>
        <v>840</v>
      </c>
      <c r="Q246">
        <f t="shared" si="53"/>
        <v>0</v>
      </c>
      <c r="R246">
        <v>0</v>
      </c>
    </row>
    <row r="247" spans="1:18" x14ac:dyDescent="0.3">
      <c r="A247" t="s">
        <v>6</v>
      </c>
      <c r="B247" s="1">
        <v>45085</v>
      </c>
      <c r="C247" t="s">
        <v>8</v>
      </c>
      <c r="D247" t="s">
        <v>14</v>
      </c>
      <c r="E247">
        <v>7</v>
      </c>
      <c r="F247">
        <v>16.5</v>
      </c>
      <c r="G247">
        <v>0.25</v>
      </c>
      <c r="H247">
        <f t="shared" si="52"/>
        <v>0.25</v>
      </c>
      <c r="I247">
        <f t="shared" si="65"/>
        <v>0.5</v>
      </c>
      <c r="J247">
        <f t="shared" si="66"/>
        <v>17</v>
      </c>
      <c r="K247">
        <f t="shared" si="63"/>
        <v>0.60000000000000142</v>
      </c>
      <c r="L247">
        <f t="shared" si="67"/>
        <v>5.6500000000000057</v>
      </c>
      <c r="M247">
        <f t="shared" si="54"/>
        <v>0.98360655737704927</v>
      </c>
      <c r="N247">
        <v>13</v>
      </c>
      <c r="O247">
        <f t="shared" si="64"/>
        <v>4.25</v>
      </c>
      <c r="P247">
        <f t="shared" si="49"/>
        <v>892.5</v>
      </c>
      <c r="Q247">
        <f t="shared" si="53"/>
        <v>0</v>
      </c>
      <c r="R247">
        <v>0</v>
      </c>
    </row>
    <row r="248" spans="1:18" x14ac:dyDescent="0.3">
      <c r="A248" t="s">
        <v>0</v>
      </c>
      <c r="B248" s="1">
        <v>45086</v>
      </c>
      <c r="C248" t="s">
        <v>8</v>
      </c>
      <c r="D248" t="s">
        <v>14</v>
      </c>
      <c r="E248">
        <v>7</v>
      </c>
      <c r="F248">
        <v>16.399999999999999</v>
      </c>
      <c r="G248">
        <v>0.25</v>
      </c>
      <c r="H248">
        <f t="shared" si="52"/>
        <v>0.35000000000000142</v>
      </c>
      <c r="I248">
        <f t="shared" si="65"/>
        <v>0.60000000000000142</v>
      </c>
      <c r="J248">
        <f t="shared" si="66"/>
        <v>17</v>
      </c>
      <c r="K248">
        <f t="shared" si="63"/>
        <v>0.89999999999999858</v>
      </c>
      <c r="L248">
        <f t="shared" si="67"/>
        <v>6.5500000000000043</v>
      </c>
      <c r="M248">
        <f t="shared" si="54"/>
        <v>0.98360655737704927</v>
      </c>
      <c r="N248">
        <v>14</v>
      </c>
      <c r="O248">
        <f t="shared" si="64"/>
        <v>4.5</v>
      </c>
      <c r="P248">
        <f t="shared" ref="P248:P311" si="68">O248*210</f>
        <v>945</v>
      </c>
      <c r="Q248">
        <f t="shared" si="53"/>
        <v>0</v>
      </c>
      <c r="R248">
        <v>0</v>
      </c>
    </row>
    <row r="249" spans="1:18" x14ac:dyDescent="0.3">
      <c r="A249" t="s">
        <v>1</v>
      </c>
      <c r="B249" s="1">
        <v>45087</v>
      </c>
      <c r="C249" t="s">
        <v>8</v>
      </c>
      <c r="D249" t="s">
        <v>14</v>
      </c>
      <c r="E249">
        <v>7</v>
      </c>
      <c r="F249">
        <v>16.100000000000001</v>
      </c>
      <c r="G249">
        <v>0</v>
      </c>
      <c r="H249">
        <f t="shared" si="52"/>
        <v>0.89999999999999858</v>
      </c>
      <c r="I249">
        <f t="shared" si="65"/>
        <v>0.89999999999999858</v>
      </c>
      <c r="J249">
        <f t="shared" si="66"/>
        <v>17</v>
      </c>
      <c r="K249">
        <f t="shared" si="63"/>
        <v>0.89999999999999858</v>
      </c>
      <c r="L249">
        <f t="shared" si="67"/>
        <v>7.4500000000000028</v>
      </c>
      <c r="M249">
        <f t="shared" si="54"/>
        <v>0.98360655737704927</v>
      </c>
      <c r="N249">
        <v>15</v>
      </c>
      <c r="O249">
        <f t="shared" si="64"/>
        <v>4.5</v>
      </c>
      <c r="P249">
        <f t="shared" si="68"/>
        <v>945</v>
      </c>
      <c r="Q249">
        <f t="shared" si="53"/>
        <v>0</v>
      </c>
      <c r="R249">
        <v>0</v>
      </c>
    </row>
    <row r="250" spans="1:18" x14ac:dyDescent="0.3">
      <c r="A250" t="s">
        <v>2</v>
      </c>
      <c r="B250" s="1">
        <v>45088</v>
      </c>
      <c r="C250" t="s">
        <v>8</v>
      </c>
      <c r="D250" t="s">
        <v>14</v>
      </c>
      <c r="E250">
        <v>7</v>
      </c>
      <c r="F250">
        <v>16.100000000000001</v>
      </c>
      <c r="G250">
        <v>0</v>
      </c>
      <c r="H250">
        <f t="shared" si="52"/>
        <v>0.89999999999999858</v>
      </c>
      <c r="I250">
        <f>H250+G250</f>
        <v>0.89999999999999858</v>
      </c>
      <c r="J250">
        <f t="shared" si="66"/>
        <v>17</v>
      </c>
      <c r="K250">
        <f t="shared" si="63"/>
        <v>0.69999999999999929</v>
      </c>
      <c r="L250">
        <f t="shared" si="67"/>
        <v>8.1500000000000021</v>
      </c>
      <c r="M250">
        <f t="shared" si="54"/>
        <v>0.98360655737704927</v>
      </c>
      <c r="N250">
        <v>16</v>
      </c>
      <c r="O250">
        <f t="shared" si="64"/>
        <v>4.5</v>
      </c>
      <c r="P250">
        <f t="shared" si="68"/>
        <v>945</v>
      </c>
      <c r="Q250">
        <f t="shared" si="53"/>
        <v>0</v>
      </c>
      <c r="R250">
        <v>0</v>
      </c>
    </row>
    <row r="251" spans="1:18" x14ac:dyDescent="0.3">
      <c r="A251" t="s">
        <v>3</v>
      </c>
      <c r="B251" s="1">
        <v>45089</v>
      </c>
      <c r="C251" t="s">
        <v>8</v>
      </c>
      <c r="D251" t="s">
        <v>14</v>
      </c>
      <c r="E251">
        <v>7</v>
      </c>
      <c r="F251">
        <v>16.3</v>
      </c>
      <c r="G251">
        <v>0.5</v>
      </c>
      <c r="H251">
        <f t="shared" si="52"/>
        <v>0.19999999999999929</v>
      </c>
      <c r="I251">
        <f t="shared" ref="I251:I261" si="69">H251+G251</f>
        <v>0.69999999999999929</v>
      </c>
      <c r="J251">
        <f t="shared" si="66"/>
        <v>17</v>
      </c>
      <c r="K251">
        <f t="shared" si="63"/>
        <v>0.39999999999999858</v>
      </c>
      <c r="L251">
        <f t="shared" si="67"/>
        <v>8.5500000000000007</v>
      </c>
      <c r="M251">
        <f t="shared" si="54"/>
        <v>0.98360655737704927</v>
      </c>
      <c r="N251">
        <v>17</v>
      </c>
      <c r="O251">
        <f t="shared" si="64"/>
        <v>5</v>
      </c>
      <c r="P251">
        <f t="shared" si="68"/>
        <v>1050</v>
      </c>
      <c r="Q251">
        <f t="shared" si="53"/>
        <v>0</v>
      </c>
      <c r="R251">
        <v>0</v>
      </c>
    </row>
    <row r="252" spans="1:18" x14ac:dyDescent="0.3">
      <c r="A252" t="s">
        <v>4</v>
      </c>
      <c r="B252" s="1">
        <v>45090</v>
      </c>
      <c r="C252" t="s">
        <v>8</v>
      </c>
      <c r="D252" t="s">
        <v>14</v>
      </c>
      <c r="E252">
        <v>7</v>
      </c>
      <c r="F252">
        <v>16.600000000000001</v>
      </c>
      <c r="G252">
        <v>0</v>
      </c>
      <c r="H252">
        <f t="shared" si="52"/>
        <v>0.39999999999999858</v>
      </c>
      <c r="I252">
        <f t="shared" si="69"/>
        <v>0.39999999999999858</v>
      </c>
      <c r="J252">
        <f t="shared" si="66"/>
        <v>17</v>
      </c>
      <c r="K252">
        <f t="shared" si="63"/>
        <v>0.69999999999999929</v>
      </c>
      <c r="L252">
        <f t="shared" si="67"/>
        <v>9.25</v>
      </c>
      <c r="M252">
        <f t="shared" si="54"/>
        <v>0.98360655737704927</v>
      </c>
      <c r="N252">
        <v>18</v>
      </c>
      <c r="O252">
        <f t="shared" si="64"/>
        <v>5</v>
      </c>
      <c r="P252">
        <f t="shared" si="68"/>
        <v>1050</v>
      </c>
      <c r="Q252">
        <f t="shared" si="53"/>
        <v>0</v>
      </c>
      <c r="R252">
        <v>0</v>
      </c>
    </row>
    <row r="253" spans="1:18" x14ac:dyDescent="0.3">
      <c r="A253" t="s">
        <v>5</v>
      </c>
      <c r="B253" s="1">
        <v>45091</v>
      </c>
      <c r="C253" t="s">
        <v>8</v>
      </c>
      <c r="D253" t="s">
        <v>14</v>
      </c>
      <c r="E253">
        <v>7</v>
      </c>
      <c r="F253">
        <v>16.3</v>
      </c>
      <c r="G253">
        <v>0</v>
      </c>
      <c r="H253">
        <f t="shared" si="52"/>
        <v>0.69999999999999929</v>
      </c>
      <c r="I253">
        <f t="shared" si="69"/>
        <v>0.69999999999999929</v>
      </c>
      <c r="J253">
        <f t="shared" si="66"/>
        <v>17</v>
      </c>
      <c r="K253">
        <f t="shared" si="63"/>
        <v>1</v>
      </c>
      <c r="L253">
        <f t="shared" si="67"/>
        <v>10.25</v>
      </c>
      <c r="M253">
        <f t="shared" si="54"/>
        <v>0.98360655737704927</v>
      </c>
      <c r="N253">
        <v>19</v>
      </c>
      <c r="O253">
        <f t="shared" si="64"/>
        <v>5</v>
      </c>
      <c r="P253">
        <f t="shared" si="68"/>
        <v>1050</v>
      </c>
      <c r="Q253">
        <f t="shared" si="53"/>
        <v>0</v>
      </c>
      <c r="R253">
        <v>0</v>
      </c>
    </row>
    <row r="254" spans="1:18" x14ac:dyDescent="0.3">
      <c r="A254" t="s">
        <v>6</v>
      </c>
      <c r="B254" s="1">
        <v>45092</v>
      </c>
      <c r="C254" t="s">
        <v>8</v>
      </c>
      <c r="D254" t="s">
        <v>14</v>
      </c>
      <c r="E254">
        <v>7</v>
      </c>
      <c r="F254">
        <v>16</v>
      </c>
      <c r="G254">
        <v>0.5</v>
      </c>
      <c r="H254">
        <f t="shared" si="52"/>
        <v>0.5</v>
      </c>
      <c r="I254">
        <f t="shared" si="69"/>
        <v>1</v>
      </c>
      <c r="J254">
        <f t="shared" si="66"/>
        <v>17</v>
      </c>
      <c r="K254">
        <f t="shared" si="63"/>
        <v>0.80000000000000071</v>
      </c>
      <c r="L254">
        <f t="shared" si="67"/>
        <v>11.05</v>
      </c>
      <c r="M254">
        <f t="shared" si="54"/>
        <v>0.98360655737704927</v>
      </c>
      <c r="N254">
        <v>20</v>
      </c>
      <c r="O254">
        <f t="shared" si="64"/>
        <v>5.5</v>
      </c>
      <c r="P254">
        <f t="shared" si="68"/>
        <v>1155</v>
      </c>
      <c r="Q254">
        <f t="shared" si="53"/>
        <v>0</v>
      </c>
      <c r="R254">
        <v>0</v>
      </c>
    </row>
    <row r="255" spans="1:18" x14ac:dyDescent="0.3">
      <c r="A255" t="s">
        <v>0</v>
      </c>
      <c r="B255" s="1">
        <v>45093</v>
      </c>
      <c r="C255" t="s">
        <v>8</v>
      </c>
      <c r="D255" t="s">
        <v>14</v>
      </c>
      <c r="E255">
        <v>7</v>
      </c>
      <c r="F255">
        <v>16.2</v>
      </c>
      <c r="G255">
        <v>0</v>
      </c>
      <c r="H255">
        <f t="shared" si="52"/>
        <v>0.80000000000000071</v>
      </c>
      <c r="I255">
        <f t="shared" si="69"/>
        <v>0.80000000000000071</v>
      </c>
      <c r="J255">
        <f t="shared" si="66"/>
        <v>17</v>
      </c>
      <c r="K255">
        <f t="shared" si="63"/>
        <v>0.89999999999999858</v>
      </c>
      <c r="L255">
        <f t="shared" si="67"/>
        <v>11.95</v>
      </c>
      <c r="M255">
        <f t="shared" si="54"/>
        <v>0.98360655737704927</v>
      </c>
      <c r="N255">
        <v>21</v>
      </c>
      <c r="O255">
        <f t="shared" si="64"/>
        <v>5.5</v>
      </c>
      <c r="P255">
        <f t="shared" si="68"/>
        <v>1155</v>
      </c>
      <c r="Q255">
        <f t="shared" si="53"/>
        <v>0</v>
      </c>
      <c r="R255">
        <v>0</v>
      </c>
    </row>
    <row r="256" spans="1:18" x14ac:dyDescent="0.3">
      <c r="A256" t="s">
        <v>1</v>
      </c>
      <c r="B256" s="1">
        <v>45094</v>
      </c>
      <c r="C256" t="s">
        <v>8</v>
      </c>
      <c r="D256" t="s">
        <v>14</v>
      </c>
      <c r="E256">
        <v>7</v>
      </c>
      <c r="F256">
        <v>16.100000000000001</v>
      </c>
      <c r="G256">
        <v>0</v>
      </c>
      <c r="H256">
        <f t="shared" si="52"/>
        <v>0.89999999999999858</v>
      </c>
      <c r="I256">
        <f t="shared" si="69"/>
        <v>0.89999999999999858</v>
      </c>
      <c r="J256">
        <f t="shared" si="66"/>
        <v>17</v>
      </c>
      <c r="K256">
        <f t="shared" si="63"/>
        <v>0.69999999999999929</v>
      </c>
      <c r="L256">
        <f t="shared" si="67"/>
        <v>12.649999999999999</v>
      </c>
      <c r="M256">
        <f t="shared" si="54"/>
        <v>0.98360655737704927</v>
      </c>
      <c r="N256">
        <v>22</v>
      </c>
      <c r="O256">
        <f t="shared" si="64"/>
        <v>5.5</v>
      </c>
      <c r="P256">
        <f t="shared" si="68"/>
        <v>1155</v>
      </c>
      <c r="Q256">
        <f t="shared" si="53"/>
        <v>0</v>
      </c>
      <c r="R256">
        <v>0</v>
      </c>
    </row>
    <row r="257" spans="1:18" x14ac:dyDescent="0.3">
      <c r="A257" t="s">
        <v>2</v>
      </c>
      <c r="B257" s="1">
        <v>45095</v>
      </c>
      <c r="C257" t="s">
        <v>8</v>
      </c>
      <c r="D257" t="s">
        <v>14</v>
      </c>
      <c r="E257">
        <v>7</v>
      </c>
      <c r="F257">
        <v>16.3</v>
      </c>
      <c r="G257">
        <v>0</v>
      </c>
      <c r="H257">
        <f t="shared" si="52"/>
        <v>0.69999999999999929</v>
      </c>
      <c r="I257">
        <f t="shared" si="69"/>
        <v>0.69999999999999929</v>
      </c>
      <c r="J257">
        <f t="shared" si="66"/>
        <v>17</v>
      </c>
      <c r="K257">
        <f t="shared" si="63"/>
        <v>1</v>
      </c>
      <c r="L257">
        <f t="shared" si="67"/>
        <v>13.649999999999999</v>
      </c>
      <c r="M257">
        <f t="shared" si="54"/>
        <v>0.98360655737704927</v>
      </c>
      <c r="N257">
        <v>23</v>
      </c>
      <c r="O257">
        <f t="shared" si="64"/>
        <v>5.5</v>
      </c>
      <c r="P257">
        <f t="shared" si="68"/>
        <v>1155</v>
      </c>
      <c r="Q257">
        <f t="shared" si="53"/>
        <v>0</v>
      </c>
      <c r="R257">
        <v>0</v>
      </c>
    </row>
    <row r="258" spans="1:18" x14ac:dyDescent="0.3">
      <c r="A258" t="s">
        <v>3</v>
      </c>
      <c r="B258" s="1">
        <v>45096</v>
      </c>
      <c r="C258" t="s">
        <v>8</v>
      </c>
      <c r="D258" t="s">
        <v>14</v>
      </c>
      <c r="E258">
        <v>7</v>
      </c>
      <c r="F258">
        <v>16</v>
      </c>
      <c r="G258">
        <v>0.5</v>
      </c>
      <c r="H258">
        <f t="shared" si="52"/>
        <v>0.5</v>
      </c>
      <c r="I258">
        <f t="shared" si="69"/>
        <v>1</v>
      </c>
      <c r="J258">
        <f t="shared" si="66"/>
        <v>17</v>
      </c>
      <c r="K258">
        <f t="shared" si="63"/>
        <v>1.0999999999999996</v>
      </c>
      <c r="L258">
        <f t="shared" si="67"/>
        <v>14.749999999999998</v>
      </c>
      <c r="M258">
        <f t="shared" si="54"/>
        <v>0.98360655737704927</v>
      </c>
      <c r="N258">
        <v>24</v>
      </c>
      <c r="O258">
        <f t="shared" si="64"/>
        <v>6</v>
      </c>
      <c r="P258">
        <f t="shared" si="68"/>
        <v>1260</v>
      </c>
      <c r="Q258">
        <f t="shared" si="53"/>
        <v>0</v>
      </c>
      <c r="R258">
        <v>0</v>
      </c>
    </row>
    <row r="259" spans="1:18" x14ac:dyDescent="0.3">
      <c r="A259" t="s">
        <v>4</v>
      </c>
      <c r="B259" s="1">
        <v>45097</v>
      </c>
      <c r="C259" t="s">
        <v>8</v>
      </c>
      <c r="D259" t="s">
        <v>14</v>
      </c>
      <c r="E259">
        <v>7</v>
      </c>
      <c r="F259">
        <v>15.9</v>
      </c>
      <c r="G259">
        <v>0</v>
      </c>
      <c r="H259">
        <f t="shared" ref="H259:H311" si="70">17-F259-G259</f>
        <v>1.0999999999999996</v>
      </c>
      <c r="I259">
        <f t="shared" si="69"/>
        <v>1.0999999999999996</v>
      </c>
      <c r="J259">
        <f t="shared" si="66"/>
        <v>17</v>
      </c>
      <c r="K259">
        <f t="shared" si="63"/>
        <v>1.0999999999999996</v>
      </c>
      <c r="L259">
        <f t="shared" si="67"/>
        <v>15.849999999999998</v>
      </c>
      <c r="M259">
        <f t="shared" ref="M259:M310" si="71">(J259-11)/6.1</f>
        <v>0.98360655737704927</v>
      </c>
      <c r="N259">
        <v>25</v>
      </c>
      <c r="O259">
        <f t="shared" si="64"/>
        <v>6</v>
      </c>
      <c r="P259">
        <f t="shared" si="68"/>
        <v>1260</v>
      </c>
      <c r="Q259">
        <f t="shared" ref="Q259:Q311" si="72">M259-M259</f>
        <v>0</v>
      </c>
      <c r="R259">
        <v>0</v>
      </c>
    </row>
    <row r="260" spans="1:18" x14ac:dyDescent="0.3">
      <c r="A260" t="s">
        <v>5</v>
      </c>
      <c r="B260" s="1">
        <v>45098</v>
      </c>
      <c r="C260" t="s">
        <v>8</v>
      </c>
      <c r="D260" t="s">
        <v>14</v>
      </c>
      <c r="E260">
        <v>7</v>
      </c>
      <c r="F260">
        <v>15.9</v>
      </c>
      <c r="G260">
        <v>0</v>
      </c>
      <c r="H260">
        <f t="shared" si="70"/>
        <v>1.0999999999999996</v>
      </c>
      <c r="I260">
        <f t="shared" si="69"/>
        <v>1.0999999999999996</v>
      </c>
      <c r="J260">
        <f t="shared" si="66"/>
        <v>17</v>
      </c>
      <c r="K260">
        <f t="shared" si="63"/>
        <v>1</v>
      </c>
      <c r="L260">
        <f t="shared" si="67"/>
        <v>16.849999999999998</v>
      </c>
      <c r="M260">
        <f t="shared" si="71"/>
        <v>0.98360655737704927</v>
      </c>
      <c r="N260">
        <v>26</v>
      </c>
      <c r="O260">
        <f t="shared" si="64"/>
        <v>6</v>
      </c>
      <c r="P260">
        <f t="shared" si="68"/>
        <v>1260</v>
      </c>
      <c r="Q260">
        <f t="shared" si="72"/>
        <v>0</v>
      </c>
      <c r="R260">
        <v>0</v>
      </c>
    </row>
    <row r="261" spans="1:18" x14ac:dyDescent="0.3">
      <c r="A261" t="s">
        <v>6</v>
      </c>
      <c r="B261" s="1">
        <v>45099</v>
      </c>
      <c r="C261" t="s">
        <v>8</v>
      </c>
      <c r="D261" t="s">
        <v>14</v>
      </c>
      <c r="E261">
        <v>7</v>
      </c>
      <c r="F261">
        <v>16</v>
      </c>
      <c r="G261">
        <v>0.5</v>
      </c>
      <c r="H261">
        <f t="shared" si="70"/>
        <v>0.5</v>
      </c>
      <c r="I261">
        <f t="shared" si="69"/>
        <v>1</v>
      </c>
      <c r="J261">
        <f t="shared" si="66"/>
        <v>17</v>
      </c>
      <c r="K261">
        <f t="shared" si="63"/>
        <v>0.69999999999999929</v>
      </c>
      <c r="L261">
        <f t="shared" si="67"/>
        <v>17.549999999999997</v>
      </c>
      <c r="M261">
        <f t="shared" si="71"/>
        <v>0.98360655737704927</v>
      </c>
      <c r="N261">
        <v>27</v>
      </c>
      <c r="O261">
        <f t="shared" si="64"/>
        <v>6.5</v>
      </c>
      <c r="P261">
        <f t="shared" si="68"/>
        <v>1365</v>
      </c>
      <c r="Q261">
        <f t="shared" si="72"/>
        <v>0</v>
      </c>
      <c r="R261">
        <v>0</v>
      </c>
    </row>
    <row r="262" spans="1:18" x14ac:dyDescent="0.3">
      <c r="A262" t="s">
        <v>0</v>
      </c>
      <c r="B262" s="1">
        <v>45100</v>
      </c>
      <c r="C262" t="s">
        <v>8</v>
      </c>
      <c r="D262" t="s">
        <v>14</v>
      </c>
      <c r="E262">
        <v>7</v>
      </c>
      <c r="F262">
        <v>16.3</v>
      </c>
      <c r="G262">
        <v>0</v>
      </c>
      <c r="H262">
        <f t="shared" si="70"/>
        <v>0.69999999999999929</v>
      </c>
      <c r="I262">
        <f>H262+G262</f>
        <v>0.69999999999999929</v>
      </c>
      <c r="J262">
        <f t="shared" si="66"/>
        <v>17</v>
      </c>
      <c r="K262">
        <f t="shared" si="63"/>
        <v>0.60000000000000142</v>
      </c>
      <c r="L262">
        <f t="shared" si="67"/>
        <v>18.149999999999999</v>
      </c>
      <c r="M262">
        <f t="shared" si="71"/>
        <v>0.98360655737704927</v>
      </c>
      <c r="N262">
        <v>28</v>
      </c>
      <c r="O262">
        <f t="shared" si="64"/>
        <v>6.5</v>
      </c>
      <c r="P262">
        <f t="shared" si="68"/>
        <v>1365</v>
      </c>
      <c r="Q262">
        <f t="shared" si="72"/>
        <v>0</v>
      </c>
      <c r="R262">
        <v>0</v>
      </c>
    </row>
    <row r="263" spans="1:18" x14ac:dyDescent="0.3">
      <c r="A263" t="s">
        <v>1</v>
      </c>
      <c r="B263" s="1">
        <v>45101</v>
      </c>
      <c r="C263" t="s">
        <v>8</v>
      </c>
      <c r="D263" t="s">
        <v>14</v>
      </c>
      <c r="E263">
        <v>7</v>
      </c>
      <c r="F263">
        <v>16.399999999999999</v>
      </c>
      <c r="G263">
        <v>0</v>
      </c>
      <c r="H263">
        <f t="shared" si="70"/>
        <v>0.60000000000000142</v>
      </c>
      <c r="I263">
        <f t="shared" ref="I263:I273" si="73">H263+G263</f>
        <v>0.60000000000000142</v>
      </c>
      <c r="J263">
        <f t="shared" si="66"/>
        <v>17</v>
      </c>
      <c r="K263">
        <f t="shared" si="63"/>
        <v>1.1999999999999993</v>
      </c>
      <c r="L263">
        <f t="shared" si="67"/>
        <v>19.349999999999998</v>
      </c>
      <c r="M263">
        <f t="shared" si="71"/>
        <v>0.98360655737704927</v>
      </c>
      <c r="N263">
        <v>29</v>
      </c>
      <c r="O263">
        <f t="shared" si="64"/>
        <v>6.5</v>
      </c>
      <c r="P263">
        <f t="shared" si="68"/>
        <v>1365</v>
      </c>
      <c r="Q263">
        <f t="shared" si="72"/>
        <v>0</v>
      </c>
      <c r="R263">
        <v>0</v>
      </c>
    </row>
    <row r="264" spans="1:18" x14ac:dyDescent="0.3">
      <c r="A264" t="s">
        <v>2</v>
      </c>
      <c r="B264" s="1">
        <v>45102</v>
      </c>
      <c r="C264" t="s">
        <v>8</v>
      </c>
      <c r="D264" t="s">
        <v>14</v>
      </c>
      <c r="E264">
        <v>7</v>
      </c>
      <c r="F264">
        <v>15.8</v>
      </c>
      <c r="G264">
        <v>0</v>
      </c>
      <c r="H264">
        <f t="shared" si="70"/>
        <v>1.1999999999999993</v>
      </c>
      <c r="I264">
        <f t="shared" si="73"/>
        <v>1.1999999999999993</v>
      </c>
      <c r="J264">
        <f t="shared" si="66"/>
        <v>17</v>
      </c>
      <c r="K264">
        <f t="shared" si="63"/>
        <v>1</v>
      </c>
      <c r="L264">
        <f t="shared" si="67"/>
        <v>20.349999999999998</v>
      </c>
      <c r="M264">
        <f t="shared" si="71"/>
        <v>0.98360655737704927</v>
      </c>
      <c r="N264">
        <v>30</v>
      </c>
      <c r="O264">
        <f t="shared" si="64"/>
        <v>6.5</v>
      </c>
      <c r="P264">
        <f t="shared" si="68"/>
        <v>1365</v>
      </c>
      <c r="Q264">
        <f t="shared" si="72"/>
        <v>0</v>
      </c>
      <c r="R264">
        <v>0</v>
      </c>
    </row>
    <row r="265" spans="1:18" x14ac:dyDescent="0.3">
      <c r="A265" t="s">
        <v>3</v>
      </c>
      <c r="B265" s="1">
        <v>45103</v>
      </c>
      <c r="C265" t="s">
        <v>8</v>
      </c>
      <c r="D265" t="s">
        <v>14</v>
      </c>
      <c r="E265">
        <v>7</v>
      </c>
      <c r="F265">
        <v>16</v>
      </c>
      <c r="G265">
        <v>0.5</v>
      </c>
      <c r="H265">
        <f t="shared" si="70"/>
        <v>0.5</v>
      </c>
      <c r="I265">
        <f t="shared" si="73"/>
        <v>1</v>
      </c>
      <c r="J265">
        <f t="shared" si="66"/>
        <v>17</v>
      </c>
      <c r="K265">
        <f t="shared" si="63"/>
        <v>0.60000000000000142</v>
      </c>
      <c r="L265">
        <f t="shared" si="67"/>
        <v>20.95</v>
      </c>
      <c r="M265">
        <f t="shared" si="71"/>
        <v>0.98360655737704927</v>
      </c>
      <c r="N265">
        <v>31</v>
      </c>
      <c r="O265">
        <f t="shared" si="64"/>
        <v>7</v>
      </c>
      <c r="P265">
        <f t="shared" si="68"/>
        <v>1470</v>
      </c>
      <c r="Q265">
        <f t="shared" si="72"/>
        <v>0</v>
      </c>
      <c r="R265">
        <v>0</v>
      </c>
    </row>
    <row r="266" spans="1:18" x14ac:dyDescent="0.3">
      <c r="A266" t="s">
        <v>4</v>
      </c>
      <c r="B266" s="1">
        <v>45104</v>
      </c>
      <c r="C266" t="s">
        <v>8</v>
      </c>
      <c r="D266" t="s">
        <v>14</v>
      </c>
      <c r="E266">
        <v>7</v>
      </c>
      <c r="F266">
        <v>16.399999999999999</v>
      </c>
      <c r="G266">
        <v>0</v>
      </c>
      <c r="H266">
        <f t="shared" si="70"/>
        <v>0.60000000000000142</v>
      </c>
      <c r="I266">
        <f t="shared" si="73"/>
        <v>0.60000000000000142</v>
      </c>
      <c r="J266">
        <f>I266+F266</f>
        <v>17</v>
      </c>
      <c r="K266">
        <f t="shared" si="63"/>
        <v>1</v>
      </c>
      <c r="L266">
        <f t="shared" si="67"/>
        <v>21.95</v>
      </c>
      <c r="M266">
        <f t="shared" si="71"/>
        <v>0.98360655737704927</v>
      </c>
      <c r="N266">
        <v>32</v>
      </c>
      <c r="O266">
        <f t="shared" si="64"/>
        <v>7</v>
      </c>
      <c r="P266">
        <f t="shared" si="68"/>
        <v>1470</v>
      </c>
      <c r="Q266">
        <f t="shared" si="72"/>
        <v>0</v>
      </c>
      <c r="R266">
        <v>0</v>
      </c>
    </row>
    <row r="267" spans="1:18" x14ac:dyDescent="0.3">
      <c r="A267" t="s">
        <v>5</v>
      </c>
      <c r="B267" s="1">
        <v>45105</v>
      </c>
      <c r="C267" t="s">
        <v>8</v>
      </c>
      <c r="D267" t="s">
        <v>14</v>
      </c>
      <c r="E267">
        <v>7</v>
      </c>
      <c r="F267">
        <v>16</v>
      </c>
      <c r="G267">
        <v>0</v>
      </c>
      <c r="H267">
        <f t="shared" si="70"/>
        <v>1</v>
      </c>
      <c r="I267">
        <f t="shared" si="73"/>
        <v>1</v>
      </c>
      <c r="J267">
        <f t="shared" ref="J267:J273" si="74">I267+F267</f>
        <v>17</v>
      </c>
      <c r="K267">
        <f t="shared" si="63"/>
        <v>1.0999999999999996</v>
      </c>
      <c r="L267">
        <f t="shared" si="67"/>
        <v>23.049999999999997</v>
      </c>
      <c r="M267">
        <f t="shared" si="71"/>
        <v>0.98360655737704927</v>
      </c>
      <c r="N267">
        <v>33</v>
      </c>
      <c r="O267">
        <f t="shared" si="64"/>
        <v>7</v>
      </c>
      <c r="P267">
        <f t="shared" si="68"/>
        <v>1470</v>
      </c>
      <c r="Q267">
        <f t="shared" si="72"/>
        <v>0</v>
      </c>
      <c r="R267">
        <v>0</v>
      </c>
    </row>
    <row r="268" spans="1:18" x14ac:dyDescent="0.3">
      <c r="A268" t="s">
        <v>6</v>
      </c>
      <c r="B268" s="1">
        <v>45106</v>
      </c>
      <c r="C268" t="s">
        <v>8</v>
      </c>
      <c r="D268" t="s">
        <v>14</v>
      </c>
      <c r="E268">
        <v>7</v>
      </c>
      <c r="F268">
        <v>15.9</v>
      </c>
      <c r="G268">
        <v>0.5</v>
      </c>
      <c r="H268">
        <f t="shared" si="70"/>
        <v>0.59999999999999964</v>
      </c>
      <c r="I268">
        <f t="shared" si="73"/>
        <v>1.0999999999999996</v>
      </c>
      <c r="J268">
        <f t="shared" si="74"/>
        <v>17</v>
      </c>
      <c r="K268">
        <f t="shared" si="63"/>
        <v>1.0999999999999996</v>
      </c>
      <c r="L268">
        <f t="shared" si="67"/>
        <v>24.15</v>
      </c>
      <c r="M268">
        <f t="shared" si="71"/>
        <v>0.98360655737704927</v>
      </c>
      <c r="N268">
        <v>34</v>
      </c>
      <c r="O268">
        <f t="shared" si="64"/>
        <v>7.5</v>
      </c>
      <c r="P268">
        <f t="shared" si="68"/>
        <v>1575</v>
      </c>
      <c r="Q268">
        <f t="shared" si="72"/>
        <v>0</v>
      </c>
      <c r="R268">
        <v>0</v>
      </c>
    </row>
    <row r="269" spans="1:18" x14ac:dyDescent="0.3">
      <c r="A269" t="s">
        <v>0</v>
      </c>
      <c r="B269" s="1">
        <v>45107</v>
      </c>
      <c r="C269" t="s">
        <v>8</v>
      </c>
      <c r="D269" t="s">
        <v>14</v>
      </c>
      <c r="E269">
        <v>7</v>
      </c>
      <c r="F269">
        <v>15.9</v>
      </c>
      <c r="G269">
        <v>0</v>
      </c>
      <c r="H269">
        <f t="shared" si="70"/>
        <v>1.0999999999999996</v>
      </c>
      <c r="I269">
        <f t="shared" si="73"/>
        <v>1.0999999999999996</v>
      </c>
      <c r="J269">
        <f t="shared" si="74"/>
        <v>17</v>
      </c>
      <c r="K269">
        <f t="shared" si="63"/>
        <v>0.30000000000000071</v>
      </c>
      <c r="L269">
        <f t="shared" si="67"/>
        <v>24.45</v>
      </c>
      <c r="M269">
        <f t="shared" si="71"/>
        <v>0.98360655737704927</v>
      </c>
      <c r="N269">
        <v>35</v>
      </c>
      <c r="O269">
        <f t="shared" si="64"/>
        <v>7.5</v>
      </c>
      <c r="P269">
        <f t="shared" si="68"/>
        <v>1575</v>
      </c>
      <c r="Q269">
        <f t="shared" si="72"/>
        <v>0</v>
      </c>
      <c r="R269">
        <v>0</v>
      </c>
    </row>
    <row r="270" spans="1:18" x14ac:dyDescent="0.3">
      <c r="A270" t="s">
        <v>1</v>
      </c>
      <c r="B270" s="1">
        <v>45108</v>
      </c>
      <c r="C270" t="s">
        <v>8</v>
      </c>
      <c r="D270" t="s">
        <v>14</v>
      </c>
      <c r="E270">
        <v>7</v>
      </c>
      <c r="F270">
        <v>16.7</v>
      </c>
      <c r="G270">
        <v>0</v>
      </c>
      <c r="H270">
        <f t="shared" si="70"/>
        <v>0.30000000000000071</v>
      </c>
      <c r="I270">
        <f t="shared" si="73"/>
        <v>0.30000000000000071</v>
      </c>
      <c r="J270">
        <f t="shared" si="74"/>
        <v>17</v>
      </c>
      <c r="K270">
        <f t="shared" si="63"/>
        <v>0.39999999999999858</v>
      </c>
      <c r="L270">
        <f t="shared" si="67"/>
        <v>24.849999999999998</v>
      </c>
      <c r="M270">
        <f t="shared" si="71"/>
        <v>0.98360655737704927</v>
      </c>
      <c r="N270">
        <v>36</v>
      </c>
      <c r="O270">
        <f t="shared" si="64"/>
        <v>7.5</v>
      </c>
      <c r="P270">
        <f t="shared" si="68"/>
        <v>1575</v>
      </c>
      <c r="Q270">
        <f t="shared" si="72"/>
        <v>0</v>
      </c>
      <c r="R270">
        <v>0</v>
      </c>
    </row>
    <row r="271" spans="1:18" x14ac:dyDescent="0.3">
      <c r="A271" t="s">
        <v>2</v>
      </c>
      <c r="B271" s="1">
        <v>45109</v>
      </c>
      <c r="C271" t="s">
        <v>8</v>
      </c>
      <c r="D271" t="s">
        <v>14</v>
      </c>
      <c r="E271">
        <v>7</v>
      </c>
      <c r="F271">
        <v>16.600000000000001</v>
      </c>
      <c r="G271">
        <v>0</v>
      </c>
      <c r="H271">
        <f t="shared" si="70"/>
        <v>0.39999999999999858</v>
      </c>
      <c r="I271">
        <f t="shared" si="73"/>
        <v>0.39999999999999858</v>
      </c>
      <c r="J271">
        <f t="shared" si="74"/>
        <v>17</v>
      </c>
      <c r="K271">
        <f t="shared" si="63"/>
        <v>0.60000000000000142</v>
      </c>
      <c r="L271">
        <f t="shared" si="67"/>
        <v>25.45</v>
      </c>
      <c r="M271">
        <f t="shared" si="71"/>
        <v>0.98360655737704927</v>
      </c>
      <c r="N271">
        <v>37</v>
      </c>
      <c r="O271">
        <f t="shared" si="64"/>
        <v>7.5</v>
      </c>
      <c r="P271">
        <f t="shared" si="68"/>
        <v>1575</v>
      </c>
      <c r="Q271">
        <f t="shared" si="72"/>
        <v>0</v>
      </c>
      <c r="R271">
        <v>0</v>
      </c>
    </row>
    <row r="272" spans="1:18" x14ac:dyDescent="0.3">
      <c r="A272" t="s">
        <v>3</v>
      </c>
      <c r="B272" s="1">
        <v>45110</v>
      </c>
      <c r="C272" t="s">
        <v>8</v>
      </c>
      <c r="D272" t="s">
        <v>14</v>
      </c>
      <c r="E272">
        <v>7</v>
      </c>
      <c r="F272">
        <v>16.399999999999999</v>
      </c>
      <c r="G272">
        <v>0</v>
      </c>
      <c r="H272">
        <f t="shared" si="70"/>
        <v>0.60000000000000142</v>
      </c>
      <c r="I272">
        <f t="shared" si="73"/>
        <v>0.60000000000000142</v>
      </c>
      <c r="J272">
        <f t="shared" si="74"/>
        <v>17</v>
      </c>
      <c r="K272">
        <f t="shared" si="63"/>
        <v>0.69999999999999929</v>
      </c>
      <c r="L272">
        <f t="shared" si="67"/>
        <v>26.15</v>
      </c>
      <c r="M272">
        <f t="shared" si="71"/>
        <v>0.98360655737704927</v>
      </c>
      <c r="N272">
        <v>38</v>
      </c>
      <c r="O272">
        <f t="shared" si="64"/>
        <v>7.5</v>
      </c>
      <c r="P272">
        <f t="shared" si="68"/>
        <v>1575</v>
      </c>
      <c r="Q272">
        <f t="shared" si="72"/>
        <v>0</v>
      </c>
      <c r="R272">
        <v>0</v>
      </c>
    </row>
    <row r="273" spans="1:18" s="2" customFormat="1" x14ac:dyDescent="0.3">
      <c r="A273" s="2" t="s">
        <v>4</v>
      </c>
      <c r="B273" s="3">
        <v>45111</v>
      </c>
      <c r="C273" s="2" t="s">
        <v>8</v>
      </c>
      <c r="D273" s="2" t="s">
        <v>14</v>
      </c>
      <c r="E273" s="2">
        <v>7</v>
      </c>
      <c r="F273" s="2">
        <v>16.3</v>
      </c>
      <c r="G273" s="2">
        <v>0</v>
      </c>
      <c r="H273" s="2">
        <f t="shared" si="70"/>
        <v>0.69999999999999929</v>
      </c>
      <c r="I273" s="2">
        <f t="shared" si="73"/>
        <v>0.69999999999999929</v>
      </c>
      <c r="J273" s="2">
        <f t="shared" si="74"/>
        <v>17</v>
      </c>
      <c r="O273" s="2">
        <f t="shared" si="64"/>
        <v>7.5</v>
      </c>
      <c r="P273">
        <f t="shared" si="68"/>
        <v>1575</v>
      </c>
      <c r="Q273">
        <f t="shared" si="72"/>
        <v>0</v>
      </c>
      <c r="R273">
        <v>0</v>
      </c>
    </row>
    <row r="274" spans="1:18" x14ac:dyDescent="0.3">
      <c r="A274" t="s">
        <v>1</v>
      </c>
      <c r="B274" s="1">
        <v>45073</v>
      </c>
      <c r="C274" t="s">
        <v>8</v>
      </c>
      <c r="D274" t="s">
        <v>14</v>
      </c>
      <c r="E274">
        <v>8</v>
      </c>
      <c r="F274">
        <v>17</v>
      </c>
      <c r="G274">
        <v>0</v>
      </c>
      <c r="H274">
        <f t="shared" si="70"/>
        <v>0</v>
      </c>
      <c r="I274">
        <f>H274+G274</f>
        <v>0</v>
      </c>
      <c r="J274">
        <f>I274+F274</f>
        <v>17</v>
      </c>
      <c r="K274">
        <f>J274-F275</f>
        <v>0.5</v>
      </c>
      <c r="M274">
        <f t="shared" si="71"/>
        <v>0.98360655737704927</v>
      </c>
      <c r="N274">
        <v>1</v>
      </c>
      <c r="O274">
        <v>2.5</v>
      </c>
      <c r="P274">
        <f t="shared" si="68"/>
        <v>525</v>
      </c>
      <c r="Q274">
        <f t="shared" si="72"/>
        <v>0</v>
      </c>
      <c r="R274">
        <v>0</v>
      </c>
    </row>
    <row r="275" spans="1:18" x14ac:dyDescent="0.3">
      <c r="A275" t="s">
        <v>2</v>
      </c>
      <c r="B275" s="1">
        <v>45074</v>
      </c>
      <c r="C275" t="s">
        <v>8</v>
      </c>
      <c r="D275" t="s">
        <v>14</v>
      </c>
      <c r="E275">
        <v>8</v>
      </c>
      <c r="F275">
        <v>16.5</v>
      </c>
      <c r="G275">
        <v>0</v>
      </c>
      <c r="H275">
        <f t="shared" si="70"/>
        <v>0.5</v>
      </c>
      <c r="I275">
        <f>H275+G275</f>
        <v>0.5</v>
      </c>
      <c r="J275">
        <f>I275+F275</f>
        <v>17</v>
      </c>
      <c r="K275">
        <f t="shared" ref="K275:K310" si="75">J275-F276</f>
        <v>0.69999999999999929</v>
      </c>
      <c r="L275">
        <f>K274+K275</f>
        <v>1.1999999999999993</v>
      </c>
      <c r="M275">
        <f t="shared" si="71"/>
        <v>0.98360655737704927</v>
      </c>
      <c r="N275">
        <v>2</v>
      </c>
      <c r="O275">
        <f t="shared" ref="O275:O311" si="76">O274+G275</f>
        <v>2.5</v>
      </c>
      <c r="P275">
        <f t="shared" si="68"/>
        <v>525</v>
      </c>
      <c r="Q275">
        <f t="shared" si="72"/>
        <v>0</v>
      </c>
      <c r="R275">
        <v>0</v>
      </c>
    </row>
    <row r="276" spans="1:18" x14ac:dyDescent="0.3">
      <c r="A276" t="s">
        <v>3</v>
      </c>
      <c r="B276" s="1">
        <v>45075</v>
      </c>
      <c r="C276" t="s">
        <v>8</v>
      </c>
      <c r="D276" t="s">
        <v>14</v>
      </c>
      <c r="E276">
        <v>8</v>
      </c>
      <c r="F276">
        <v>16.3</v>
      </c>
      <c r="G276">
        <v>0.25</v>
      </c>
      <c r="H276">
        <f t="shared" si="70"/>
        <v>0.44999999999999929</v>
      </c>
      <c r="I276">
        <f>H276+G276</f>
        <v>0.69999999999999929</v>
      </c>
      <c r="J276">
        <f>I276+F276</f>
        <v>17</v>
      </c>
      <c r="K276">
        <f t="shared" si="75"/>
        <v>1</v>
      </c>
      <c r="L276">
        <f>L275+K276</f>
        <v>2.1999999999999993</v>
      </c>
      <c r="M276">
        <f t="shared" si="71"/>
        <v>0.98360655737704927</v>
      </c>
      <c r="N276">
        <v>3</v>
      </c>
      <c r="O276">
        <f t="shared" si="76"/>
        <v>2.75</v>
      </c>
      <c r="P276">
        <f t="shared" si="68"/>
        <v>577.5</v>
      </c>
      <c r="Q276">
        <f t="shared" si="72"/>
        <v>0</v>
      </c>
      <c r="R276">
        <v>0</v>
      </c>
    </row>
    <row r="277" spans="1:18" x14ac:dyDescent="0.3">
      <c r="A277" t="s">
        <v>4</v>
      </c>
      <c r="B277" s="1">
        <v>45076</v>
      </c>
      <c r="C277" t="s">
        <v>8</v>
      </c>
      <c r="D277" t="s">
        <v>14</v>
      </c>
      <c r="E277">
        <v>8</v>
      </c>
      <c r="F277">
        <v>16</v>
      </c>
      <c r="G277">
        <v>0.25</v>
      </c>
      <c r="H277">
        <f t="shared" si="70"/>
        <v>0.75</v>
      </c>
      <c r="I277">
        <f t="shared" ref="I277:I288" si="77">H277+G277</f>
        <v>1</v>
      </c>
      <c r="J277">
        <f t="shared" ref="J277:J304" si="78">I277+F277</f>
        <v>17</v>
      </c>
      <c r="K277">
        <f t="shared" si="75"/>
        <v>1.0999999999999996</v>
      </c>
      <c r="L277">
        <f t="shared" ref="L277:L310" si="79">L276+K277</f>
        <v>3.2999999999999989</v>
      </c>
      <c r="M277">
        <f t="shared" si="71"/>
        <v>0.98360655737704927</v>
      </c>
      <c r="N277">
        <v>4</v>
      </c>
      <c r="O277">
        <f t="shared" si="76"/>
        <v>3</v>
      </c>
      <c r="P277">
        <f t="shared" si="68"/>
        <v>630</v>
      </c>
      <c r="Q277">
        <f t="shared" si="72"/>
        <v>0</v>
      </c>
      <c r="R277">
        <v>0</v>
      </c>
    </row>
    <row r="278" spans="1:18" x14ac:dyDescent="0.3">
      <c r="A278" t="s">
        <v>5</v>
      </c>
      <c r="B278" s="1">
        <v>45077</v>
      </c>
      <c r="C278" t="s">
        <v>8</v>
      </c>
      <c r="D278" t="s">
        <v>14</v>
      </c>
      <c r="E278">
        <v>8</v>
      </c>
      <c r="F278">
        <v>15.9</v>
      </c>
      <c r="G278">
        <v>0</v>
      </c>
      <c r="H278">
        <f t="shared" si="70"/>
        <v>1.0999999999999996</v>
      </c>
      <c r="I278">
        <f t="shared" si="77"/>
        <v>1.0999999999999996</v>
      </c>
      <c r="J278">
        <f t="shared" si="78"/>
        <v>17</v>
      </c>
      <c r="K278">
        <f t="shared" si="75"/>
        <v>0.80000000000000071</v>
      </c>
      <c r="L278">
        <f t="shared" si="79"/>
        <v>4.0999999999999996</v>
      </c>
      <c r="M278">
        <f t="shared" si="71"/>
        <v>0.98360655737704927</v>
      </c>
      <c r="N278">
        <v>5</v>
      </c>
      <c r="O278">
        <f t="shared" si="76"/>
        <v>3</v>
      </c>
      <c r="P278">
        <f t="shared" si="68"/>
        <v>630</v>
      </c>
      <c r="Q278">
        <f t="shared" si="72"/>
        <v>0</v>
      </c>
      <c r="R278">
        <v>0</v>
      </c>
    </row>
    <row r="279" spans="1:18" x14ac:dyDescent="0.3">
      <c r="A279" t="s">
        <v>6</v>
      </c>
      <c r="B279" s="1">
        <v>45078</v>
      </c>
      <c r="C279" t="s">
        <v>8</v>
      </c>
      <c r="D279" t="s">
        <v>14</v>
      </c>
      <c r="E279">
        <v>8</v>
      </c>
      <c r="F279">
        <v>16.2</v>
      </c>
      <c r="G279">
        <v>0.25</v>
      </c>
      <c r="H279">
        <f t="shared" si="70"/>
        <v>0.55000000000000071</v>
      </c>
      <c r="I279">
        <f t="shared" si="77"/>
        <v>0.80000000000000071</v>
      </c>
      <c r="J279">
        <f t="shared" si="78"/>
        <v>17</v>
      </c>
      <c r="K279">
        <f t="shared" si="75"/>
        <v>0.5</v>
      </c>
      <c r="L279">
        <f t="shared" si="79"/>
        <v>4.5999999999999996</v>
      </c>
      <c r="M279">
        <f t="shared" si="71"/>
        <v>0.98360655737704927</v>
      </c>
      <c r="N279">
        <v>6</v>
      </c>
      <c r="O279">
        <f t="shared" si="76"/>
        <v>3.25</v>
      </c>
      <c r="P279">
        <f t="shared" si="68"/>
        <v>682.5</v>
      </c>
      <c r="Q279">
        <f t="shared" si="72"/>
        <v>0</v>
      </c>
      <c r="R279">
        <v>0</v>
      </c>
    </row>
    <row r="280" spans="1:18" x14ac:dyDescent="0.3">
      <c r="A280" t="s">
        <v>0</v>
      </c>
      <c r="B280" s="1">
        <v>45079</v>
      </c>
      <c r="C280" t="s">
        <v>8</v>
      </c>
      <c r="D280" t="s">
        <v>14</v>
      </c>
      <c r="E280">
        <v>8</v>
      </c>
      <c r="F280">
        <v>16.5</v>
      </c>
      <c r="G280">
        <v>0.25</v>
      </c>
      <c r="H280">
        <f t="shared" si="70"/>
        <v>0.25</v>
      </c>
      <c r="I280">
        <f t="shared" si="77"/>
        <v>0.5</v>
      </c>
      <c r="J280">
        <f t="shared" si="78"/>
        <v>17</v>
      </c>
      <c r="K280">
        <f t="shared" si="75"/>
        <v>0.30000000000000071</v>
      </c>
      <c r="L280">
        <f t="shared" si="79"/>
        <v>4.9000000000000004</v>
      </c>
      <c r="M280">
        <f t="shared" si="71"/>
        <v>0.98360655737704927</v>
      </c>
      <c r="N280">
        <v>7</v>
      </c>
      <c r="O280">
        <f t="shared" si="76"/>
        <v>3.5</v>
      </c>
      <c r="P280">
        <f t="shared" si="68"/>
        <v>735</v>
      </c>
      <c r="Q280">
        <f t="shared" si="72"/>
        <v>0</v>
      </c>
      <c r="R280">
        <v>0</v>
      </c>
    </row>
    <row r="281" spans="1:18" x14ac:dyDescent="0.3">
      <c r="A281" t="s">
        <v>1</v>
      </c>
      <c r="B281" s="1">
        <v>45080</v>
      </c>
      <c r="C281" t="s">
        <v>8</v>
      </c>
      <c r="D281" t="s">
        <v>14</v>
      </c>
      <c r="E281">
        <v>8</v>
      </c>
      <c r="F281">
        <v>16.7</v>
      </c>
      <c r="G281">
        <v>0</v>
      </c>
      <c r="H281">
        <f t="shared" si="70"/>
        <v>0.30000000000000071</v>
      </c>
      <c r="I281">
        <f t="shared" si="77"/>
        <v>0.30000000000000071</v>
      </c>
      <c r="J281">
        <f t="shared" si="78"/>
        <v>17</v>
      </c>
      <c r="K281">
        <f t="shared" si="75"/>
        <v>0.69999999999999929</v>
      </c>
      <c r="L281">
        <f t="shared" si="79"/>
        <v>5.6</v>
      </c>
      <c r="M281">
        <f t="shared" si="71"/>
        <v>0.98360655737704927</v>
      </c>
      <c r="N281">
        <v>8</v>
      </c>
      <c r="O281">
        <f t="shared" si="76"/>
        <v>3.5</v>
      </c>
      <c r="P281">
        <f t="shared" si="68"/>
        <v>735</v>
      </c>
      <c r="Q281">
        <f t="shared" si="72"/>
        <v>0</v>
      </c>
      <c r="R281">
        <v>0</v>
      </c>
    </row>
    <row r="282" spans="1:18" x14ac:dyDescent="0.3">
      <c r="A282" t="s">
        <v>2</v>
      </c>
      <c r="B282" s="1">
        <v>45081</v>
      </c>
      <c r="C282" t="s">
        <v>8</v>
      </c>
      <c r="D282" t="s">
        <v>14</v>
      </c>
      <c r="E282">
        <v>8</v>
      </c>
      <c r="F282">
        <v>16.3</v>
      </c>
      <c r="G282">
        <v>0</v>
      </c>
      <c r="H282">
        <f t="shared" si="70"/>
        <v>0.69999999999999929</v>
      </c>
      <c r="I282">
        <f t="shared" si="77"/>
        <v>0.69999999999999929</v>
      </c>
      <c r="J282">
        <f t="shared" si="78"/>
        <v>17</v>
      </c>
      <c r="K282">
        <f t="shared" si="75"/>
        <v>0.80000000000000071</v>
      </c>
      <c r="L282">
        <f t="shared" si="79"/>
        <v>6.4</v>
      </c>
      <c r="M282">
        <f t="shared" si="71"/>
        <v>0.98360655737704927</v>
      </c>
      <c r="N282">
        <v>9</v>
      </c>
      <c r="O282">
        <f t="shared" si="76"/>
        <v>3.5</v>
      </c>
      <c r="P282">
        <f t="shared" si="68"/>
        <v>735</v>
      </c>
      <c r="Q282">
        <f t="shared" si="72"/>
        <v>0</v>
      </c>
      <c r="R282">
        <v>0</v>
      </c>
    </row>
    <row r="283" spans="1:18" x14ac:dyDescent="0.3">
      <c r="A283" t="s">
        <v>3</v>
      </c>
      <c r="B283" s="1">
        <v>45082</v>
      </c>
      <c r="C283" t="s">
        <v>8</v>
      </c>
      <c r="D283" t="s">
        <v>14</v>
      </c>
      <c r="E283">
        <v>8</v>
      </c>
      <c r="F283">
        <v>16.2</v>
      </c>
      <c r="G283">
        <v>0.25</v>
      </c>
      <c r="H283">
        <f t="shared" si="70"/>
        <v>0.55000000000000071</v>
      </c>
      <c r="I283">
        <f t="shared" si="77"/>
        <v>0.80000000000000071</v>
      </c>
      <c r="J283">
        <f t="shared" si="78"/>
        <v>17</v>
      </c>
      <c r="K283">
        <f t="shared" si="75"/>
        <v>0.5</v>
      </c>
      <c r="L283">
        <f t="shared" si="79"/>
        <v>6.9</v>
      </c>
      <c r="M283">
        <f t="shared" si="71"/>
        <v>0.98360655737704927</v>
      </c>
      <c r="N283">
        <v>10</v>
      </c>
      <c r="O283">
        <f t="shared" si="76"/>
        <v>3.75</v>
      </c>
      <c r="P283">
        <f t="shared" si="68"/>
        <v>787.5</v>
      </c>
      <c r="Q283">
        <f t="shared" si="72"/>
        <v>0</v>
      </c>
      <c r="R283">
        <v>0</v>
      </c>
    </row>
    <row r="284" spans="1:18" x14ac:dyDescent="0.3">
      <c r="A284" t="s">
        <v>4</v>
      </c>
      <c r="B284" s="1">
        <v>45083</v>
      </c>
      <c r="C284" t="s">
        <v>8</v>
      </c>
      <c r="D284" t="s">
        <v>14</v>
      </c>
      <c r="E284">
        <v>8</v>
      </c>
      <c r="F284">
        <v>16.5</v>
      </c>
      <c r="G284">
        <v>0.25</v>
      </c>
      <c r="H284">
        <f t="shared" si="70"/>
        <v>0.25</v>
      </c>
      <c r="I284">
        <f t="shared" si="77"/>
        <v>0.5</v>
      </c>
      <c r="J284">
        <f t="shared" si="78"/>
        <v>17</v>
      </c>
      <c r="K284">
        <f t="shared" si="75"/>
        <v>1.1999999999999993</v>
      </c>
      <c r="L284">
        <f t="shared" si="79"/>
        <v>8.1</v>
      </c>
      <c r="M284">
        <f t="shared" si="71"/>
        <v>0.98360655737704927</v>
      </c>
      <c r="N284">
        <v>11</v>
      </c>
      <c r="O284">
        <f t="shared" si="76"/>
        <v>4</v>
      </c>
      <c r="P284">
        <f t="shared" si="68"/>
        <v>840</v>
      </c>
      <c r="Q284">
        <f t="shared" si="72"/>
        <v>0</v>
      </c>
      <c r="R284">
        <v>0</v>
      </c>
    </row>
    <row r="285" spans="1:18" x14ac:dyDescent="0.3">
      <c r="A285" t="s">
        <v>5</v>
      </c>
      <c r="B285" s="1">
        <v>45084</v>
      </c>
      <c r="C285" t="s">
        <v>8</v>
      </c>
      <c r="D285" t="s">
        <v>14</v>
      </c>
      <c r="E285">
        <v>8</v>
      </c>
      <c r="F285">
        <v>15.8</v>
      </c>
      <c r="G285">
        <v>0</v>
      </c>
      <c r="H285">
        <f t="shared" si="70"/>
        <v>1.1999999999999993</v>
      </c>
      <c r="I285">
        <f t="shared" si="77"/>
        <v>1.1999999999999993</v>
      </c>
      <c r="J285">
        <f t="shared" si="78"/>
        <v>17</v>
      </c>
      <c r="K285">
        <f t="shared" si="75"/>
        <v>0.80000000000000071</v>
      </c>
      <c r="L285">
        <f t="shared" si="79"/>
        <v>8.9</v>
      </c>
      <c r="M285">
        <f t="shared" si="71"/>
        <v>0.98360655737704927</v>
      </c>
      <c r="N285">
        <v>12</v>
      </c>
      <c r="O285">
        <f t="shared" si="76"/>
        <v>4</v>
      </c>
      <c r="P285">
        <f t="shared" si="68"/>
        <v>840</v>
      </c>
      <c r="Q285">
        <f t="shared" si="72"/>
        <v>0</v>
      </c>
      <c r="R285">
        <v>0</v>
      </c>
    </row>
    <row r="286" spans="1:18" x14ac:dyDescent="0.3">
      <c r="A286" t="s">
        <v>6</v>
      </c>
      <c r="B286" s="1">
        <v>45085</v>
      </c>
      <c r="C286" t="s">
        <v>8</v>
      </c>
      <c r="D286" t="s">
        <v>14</v>
      </c>
      <c r="E286">
        <v>8</v>
      </c>
      <c r="F286">
        <v>16.2</v>
      </c>
      <c r="G286">
        <v>0.25</v>
      </c>
      <c r="H286">
        <f t="shared" si="70"/>
        <v>0.55000000000000071</v>
      </c>
      <c r="I286">
        <f t="shared" si="77"/>
        <v>0.80000000000000071</v>
      </c>
      <c r="J286">
        <f t="shared" si="78"/>
        <v>17</v>
      </c>
      <c r="K286">
        <f t="shared" si="75"/>
        <v>1.0999999999999996</v>
      </c>
      <c r="L286">
        <f t="shared" si="79"/>
        <v>10</v>
      </c>
      <c r="M286">
        <f t="shared" si="71"/>
        <v>0.98360655737704927</v>
      </c>
      <c r="N286">
        <v>13</v>
      </c>
      <c r="O286">
        <f t="shared" si="76"/>
        <v>4.25</v>
      </c>
      <c r="P286">
        <f t="shared" si="68"/>
        <v>892.5</v>
      </c>
      <c r="Q286">
        <f t="shared" si="72"/>
        <v>0</v>
      </c>
      <c r="R286">
        <v>0</v>
      </c>
    </row>
    <row r="287" spans="1:18" x14ac:dyDescent="0.3">
      <c r="A287" t="s">
        <v>0</v>
      </c>
      <c r="B287" s="1">
        <v>45086</v>
      </c>
      <c r="C287" t="s">
        <v>8</v>
      </c>
      <c r="D287" t="s">
        <v>14</v>
      </c>
      <c r="E287">
        <v>8</v>
      </c>
      <c r="F287">
        <v>15.9</v>
      </c>
      <c r="G287">
        <v>0.25</v>
      </c>
      <c r="H287">
        <f t="shared" si="70"/>
        <v>0.84999999999999964</v>
      </c>
      <c r="I287">
        <f t="shared" si="77"/>
        <v>1.0999999999999996</v>
      </c>
      <c r="J287">
        <f t="shared" si="78"/>
        <v>17</v>
      </c>
      <c r="K287">
        <f t="shared" si="75"/>
        <v>1.0999999999999996</v>
      </c>
      <c r="L287">
        <f t="shared" si="79"/>
        <v>11.1</v>
      </c>
      <c r="M287">
        <f t="shared" si="71"/>
        <v>0.98360655737704927</v>
      </c>
      <c r="N287">
        <v>14</v>
      </c>
      <c r="O287">
        <f t="shared" si="76"/>
        <v>4.5</v>
      </c>
      <c r="P287">
        <f t="shared" si="68"/>
        <v>945</v>
      </c>
      <c r="Q287">
        <f t="shared" si="72"/>
        <v>0</v>
      </c>
      <c r="R287">
        <v>0</v>
      </c>
    </row>
    <row r="288" spans="1:18" x14ac:dyDescent="0.3">
      <c r="A288" t="s">
        <v>1</v>
      </c>
      <c r="B288" s="1">
        <v>45087</v>
      </c>
      <c r="C288" t="s">
        <v>8</v>
      </c>
      <c r="D288" t="s">
        <v>14</v>
      </c>
      <c r="E288">
        <v>8</v>
      </c>
      <c r="F288">
        <v>15.9</v>
      </c>
      <c r="G288">
        <v>0</v>
      </c>
      <c r="H288">
        <f t="shared" si="70"/>
        <v>1.0999999999999996</v>
      </c>
      <c r="I288">
        <f t="shared" si="77"/>
        <v>1.0999999999999996</v>
      </c>
      <c r="J288">
        <f t="shared" si="78"/>
        <v>17</v>
      </c>
      <c r="K288">
        <f t="shared" si="75"/>
        <v>1.4000000000000004</v>
      </c>
      <c r="L288">
        <f t="shared" si="79"/>
        <v>12.5</v>
      </c>
      <c r="M288">
        <f t="shared" si="71"/>
        <v>0.98360655737704927</v>
      </c>
      <c r="N288">
        <v>15</v>
      </c>
      <c r="O288">
        <f t="shared" si="76"/>
        <v>4.5</v>
      </c>
      <c r="P288">
        <f t="shared" si="68"/>
        <v>945</v>
      </c>
      <c r="Q288">
        <f t="shared" si="72"/>
        <v>0</v>
      </c>
      <c r="R288">
        <v>0</v>
      </c>
    </row>
    <row r="289" spans="1:18" x14ac:dyDescent="0.3">
      <c r="A289" t="s">
        <v>2</v>
      </c>
      <c r="B289" s="1">
        <v>45088</v>
      </c>
      <c r="C289" t="s">
        <v>8</v>
      </c>
      <c r="D289" t="s">
        <v>14</v>
      </c>
      <c r="E289">
        <v>8</v>
      </c>
      <c r="F289">
        <v>15.6</v>
      </c>
      <c r="G289">
        <v>0</v>
      </c>
      <c r="H289">
        <f t="shared" si="70"/>
        <v>1.4000000000000004</v>
      </c>
      <c r="I289">
        <f>H289+G289</f>
        <v>1.4000000000000004</v>
      </c>
      <c r="J289">
        <f t="shared" si="78"/>
        <v>17</v>
      </c>
      <c r="K289">
        <f t="shared" si="75"/>
        <v>1.1999999999999993</v>
      </c>
      <c r="L289">
        <f t="shared" si="79"/>
        <v>13.7</v>
      </c>
      <c r="M289">
        <f t="shared" si="71"/>
        <v>0.98360655737704927</v>
      </c>
      <c r="N289">
        <v>16</v>
      </c>
      <c r="O289">
        <f t="shared" si="76"/>
        <v>4.5</v>
      </c>
      <c r="P289">
        <f t="shared" si="68"/>
        <v>945</v>
      </c>
      <c r="Q289">
        <f t="shared" si="72"/>
        <v>0</v>
      </c>
      <c r="R289">
        <v>0</v>
      </c>
    </row>
    <row r="290" spans="1:18" x14ac:dyDescent="0.3">
      <c r="A290" t="s">
        <v>3</v>
      </c>
      <c r="B290" s="1">
        <v>45089</v>
      </c>
      <c r="C290" t="s">
        <v>8</v>
      </c>
      <c r="D290" t="s">
        <v>14</v>
      </c>
      <c r="E290">
        <v>8</v>
      </c>
      <c r="F290">
        <v>15.8</v>
      </c>
      <c r="G290">
        <v>0.5</v>
      </c>
      <c r="H290">
        <f t="shared" si="70"/>
        <v>0.69999999999999929</v>
      </c>
      <c r="I290">
        <f t="shared" ref="I290:I300" si="80">H290+G290</f>
        <v>1.1999999999999993</v>
      </c>
      <c r="J290">
        <f t="shared" si="78"/>
        <v>17</v>
      </c>
      <c r="K290">
        <f t="shared" si="75"/>
        <v>0.19999999999999929</v>
      </c>
      <c r="L290">
        <f t="shared" si="79"/>
        <v>13.899999999999999</v>
      </c>
      <c r="M290">
        <f t="shared" si="71"/>
        <v>0.98360655737704927</v>
      </c>
      <c r="N290">
        <v>17</v>
      </c>
      <c r="O290">
        <f t="shared" si="76"/>
        <v>5</v>
      </c>
      <c r="P290">
        <f t="shared" si="68"/>
        <v>1050</v>
      </c>
      <c r="Q290">
        <f t="shared" si="72"/>
        <v>0</v>
      </c>
      <c r="R290">
        <v>0</v>
      </c>
    </row>
    <row r="291" spans="1:18" x14ac:dyDescent="0.3">
      <c r="A291" t="s">
        <v>4</v>
      </c>
      <c r="B291" s="1">
        <v>45090</v>
      </c>
      <c r="C291" t="s">
        <v>8</v>
      </c>
      <c r="D291" t="s">
        <v>14</v>
      </c>
      <c r="E291">
        <v>8</v>
      </c>
      <c r="F291">
        <v>16.8</v>
      </c>
      <c r="G291">
        <v>0</v>
      </c>
      <c r="H291">
        <f t="shared" si="70"/>
        <v>0.19999999999999929</v>
      </c>
      <c r="I291">
        <f t="shared" si="80"/>
        <v>0.19999999999999929</v>
      </c>
      <c r="J291">
        <f t="shared" si="78"/>
        <v>17</v>
      </c>
      <c r="K291">
        <f t="shared" si="75"/>
        <v>1</v>
      </c>
      <c r="L291">
        <f t="shared" si="79"/>
        <v>14.899999999999999</v>
      </c>
      <c r="M291">
        <f t="shared" si="71"/>
        <v>0.98360655737704927</v>
      </c>
      <c r="N291">
        <v>18</v>
      </c>
      <c r="O291">
        <f t="shared" si="76"/>
        <v>5</v>
      </c>
      <c r="P291">
        <f t="shared" si="68"/>
        <v>1050</v>
      </c>
      <c r="Q291">
        <f t="shared" si="72"/>
        <v>0</v>
      </c>
      <c r="R291">
        <v>0</v>
      </c>
    </row>
    <row r="292" spans="1:18" x14ac:dyDescent="0.3">
      <c r="A292" t="s">
        <v>5</v>
      </c>
      <c r="B292" s="1">
        <v>45091</v>
      </c>
      <c r="C292" t="s">
        <v>8</v>
      </c>
      <c r="D292" t="s">
        <v>14</v>
      </c>
      <c r="E292">
        <v>8</v>
      </c>
      <c r="F292">
        <v>16</v>
      </c>
      <c r="G292">
        <v>0</v>
      </c>
      <c r="H292">
        <f t="shared" si="70"/>
        <v>1</v>
      </c>
      <c r="I292">
        <f t="shared" si="80"/>
        <v>1</v>
      </c>
      <c r="J292">
        <f t="shared" si="78"/>
        <v>17</v>
      </c>
      <c r="K292">
        <f t="shared" si="75"/>
        <v>1.3000000000000007</v>
      </c>
      <c r="L292">
        <f t="shared" si="79"/>
        <v>16.2</v>
      </c>
      <c r="M292">
        <f t="shared" si="71"/>
        <v>0.98360655737704927</v>
      </c>
      <c r="N292">
        <v>19</v>
      </c>
      <c r="O292">
        <f t="shared" si="76"/>
        <v>5</v>
      </c>
      <c r="P292">
        <f t="shared" si="68"/>
        <v>1050</v>
      </c>
      <c r="Q292">
        <f t="shared" si="72"/>
        <v>0</v>
      </c>
      <c r="R292">
        <v>0</v>
      </c>
    </row>
    <row r="293" spans="1:18" x14ac:dyDescent="0.3">
      <c r="A293" t="s">
        <v>6</v>
      </c>
      <c r="B293" s="1">
        <v>45092</v>
      </c>
      <c r="C293" t="s">
        <v>8</v>
      </c>
      <c r="D293" t="s">
        <v>14</v>
      </c>
      <c r="E293">
        <v>8</v>
      </c>
      <c r="F293">
        <v>15.7</v>
      </c>
      <c r="G293">
        <v>0.5</v>
      </c>
      <c r="H293">
        <f t="shared" si="70"/>
        <v>0.80000000000000071</v>
      </c>
      <c r="I293">
        <f t="shared" si="80"/>
        <v>1.3000000000000007</v>
      </c>
      <c r="J293">
        <f t="shared" si="78"/>
        <v>17</v>
      </c>
      <c r="K293">
        <f t="shared" si="75"/>
        <v>1.4000000000000004</v>
      </c>
      <c r="L293">
        <f t="shared" si="79"/>
        <v>17.600000000000001</v>
      </c>
      <c r="M293">
        <f t="shared" si="71"/>
        <v>0.98360655737704927</v>
      </c>
      <c r="N293">
        <v>20</v>
      </c>
      <c r="O293">
        <f t="shared" si="76"/>
        <v>5.5</v>
      </c>
      <c r="P293">
        <f t="shared" si="68"/>
        <v>1155</v>
      </c>
      <c r="Q293">
        <f t="shared" si="72"/>
        <v>0</v>
      </c>
      <c r="R293">
        <v>0</v>
      </c>
    </row>
    <row r="294" spans="1:18" x14ac:dyDescent="0.3">
      <c r="A294" t="s">
        <v>0</v>
      </c>
      <c r="B294" s="1">
        <v>45093</v>
      </c>
      <c r="C294" t="s">
        <v>8</v>
      </c>
      <c r="D294" t="s">
        <v>14</v>
      </c>
      <c r="E294">
        <v>8</v>
      </c>
      <c r="F294">
        <v>15.6</v>
      </c>
      <c r="G294">
        <v>0</v>
      </c>
      <c r="H294">
        <f t="shared" si="70"/>
        <v>1.4000000000000004</v>
      </c>
      <c r="I294">
        <f t="shared" si="80"/>
        <v>1.4000000000000004</v>
      </c>
      <c r="J294">
        <f t="shared" si="78"/>
        <v>17</v>
      </c>
      <c r="K294">
        <f t="shared" si="75"/>
        <v>1.1999999999999993</v>
      </c>
      <c r="L294">
        <f t="shared" si="79"/>
        <v>18.8</v>
      </c>
      <c r="M294">
        <f t="shared" si="71"/>
        <v>0.98360655737704927</v>
      </c>
      <c r="N294">
        <v>21</v>
      </c>
      <c r="O294">
        <f t="shared" si="76"/>
        <v>5.5</v>
      </c>
      <c r="P294">
        <f t="shared" si="68"/>
        <v>1155</v>
      </c>
      <c r="Q294">
        <f t="shared" si="72"/>
        <v>0</v>
      </c>
      <c r="R294">
        <v>0</v>
      </c>
    </row>
    <row r="295" spans="1:18" x14ac:dyDescent="0.3">
      <c r="A295" t="s">
        <v>1</v>
      </c>
      <c r="B295" s="1">
        <v>45094</v>
      </c>
      <c r="C295" t="s">
        <v>8</v>
      </c>
      <c r="D295" t="s">
        <v>14</v>
      </c>
      <c r="E295">
        <v>8</v>
      </c>
      <c r="F295">
        <v>15.8</v>
      </c>
      <c r="G295">
        <v>0</v>
      </c>
      <c r="H295">
        <f t="shared" si="70"/>
        <v>1.1999999999999993</v>
      </c>
      <c r="I295">
        <f t="shared" si="80"/>
        <v>1.1999999999999993</v>
      </c>
      <c r="J295">
        <f t="shared" si="78"/>
        <v>17</v>
      </c>
      <c r="K295">
        <f t="shared" si="75"/>
        <v>0.89999999999999858</v>
      </c>
      <c r="L295">
        <f t="shared" si="79"/>
        <v>19.7</v>
      </c>
      <c r="M295">
        <f t="shared" si="71"/>
        <v>0.98360655737704927</v>
      </c>
      <c r="N295">
        <v>22</v>
      </c>
      <c r="O295">
        <f t="shared" si="76"/>
        <v>5.5</v>
      </c>
      <c r="P295">
        <f t="shared" si="68"/>
        <v>1155</v>
      </c>
      <c r="Q295">
        <f t="shared" si="72"/>
        <v>0</v>
      </c>
      <c r="R295">
        <v>0</v>
      </c>
    </row>
    <row r="296" spans="1:18" x14ac:dyDescent="0.3">
      <c r="A296" t="s">
        <v>2</v>
      </c>
      <c r="B296" s="1">
        <v>45095</v>
      </c>
      <c r="C296" t="s">
        <v>8</v>
      </c>
      <c r="D296" t="s">
        <v>14</v>
      </c>
      <c r="E296">
        <v>8</v>
      </c>
      <c r="F296">
        <v>16.100000000000001</v>
      </c>
      <c r="G296">
        <v>0</v>
      </c>
      <c r="H296">
        <f t="shared" si="70"/>
        <v>0.89999999999999858</v>
      </c>
      <c r="I296">
        <f t="shared" si="80"/>
        <v>0.89999999999999858</v>
      </c>
      <c r="J296">
        <f t="shared" si="78"/>
        <v>17</v>
      </c>
      <c r="K296">
        <f t="shared" si="75"/>
        <v>1.3000000000000007</v>
      </c>
      <c r="L296">
        <f t="shared" si="79"/>
        <v>21</v>
      </c>
      <c r="M296">
        <f t="shared" si="71"/>
        <v>0.98360655737704927</v>
      </c>
      <c r="N296">
        <v>23</v>
      </c>
      <c r="O296">
        <f t="shared" si="76"/>
        <v>5.5</v>
      </c>
      <c r="P296">
        <f t="shared" si="68"/>
        <v>1155</v>
      </c>
      <c r="Q296">
        <f t="shared" si="72"/>
        <v>0</v>
      </c>
      <c r="R296">
        <v>0</v>
      </c>
    </row>
    <row r="297" spans="1:18" x14ac:dyDescent="0.3">
      <c r="A297" t="s">
        <v>3</v>
      </c>
      <c r="B297" s="1">
        <v>45096</v>
      </c>
      <c r="C297" t="s">
        <v>8</v>
      </c>
      <c r="D297" t="s">
        <v>14</v>
      </c>
      <c r="E297">
        <v>8</v>
      </c>
      <c r="F297">
        <v>15.7</v>
      </c>
      <c r="G297">
        <v>0.5</v>
      </c>
      <c r="H297">
        <f t="shared" si="70"/>
        <v>0.80000000000000071</v>
      </c>
      <c r="I297">
        <f t="shared" si="80"/>
        <v>1.3000000000000007</v>
      </c>
      <c r="J297">
        <f t="shared" si="78"/>
        <v>17</v>
      </c>
      <c r="K297">
        <f t="shared" si="75"/>
        <v>1.5999999999999996</v>
      </c>
      <c r="L297">
        <f t="shared" si="79"/>
        <v>22.6</v>
      </c>
      <c r="M297">
        <f t="shared" si="71"/>
        <v>0.98360655737704927</v>
      </c>
      <c r="N297">
        <v>24</v>
      </c>
      <c r="O297">
        <f t="shared" si="76"/>
        <v>6</v>
      </c>
      <c r="P297">
        <f t="shared" si="68"/>
        <v>1260</v>
      </c>
      <c r="Q297">
        <f t="shared" si="72"/>
        <v>0</v>
      </c>
      <c r="R297">
        <v>0</v>
      </c>
    </row>
    <row r="298" spans="1:18" x14ac:dyDescent="0.3">
      <c r="A298" t="s">
        <v>4</v>
      </c>
      <c r="B298" s="1">
        <v>45097</v>
      </c>
      <c r="C298" t="s">
        <v>8</v>
      </c>
      <c r="D298" t="s">
        <v>14</v>
      </c>
      <c r="E298">
        <v>8</v>
      </c>
      <c r="F298">
        <v>15.4</v>
      </c>
      <c r="G298">
        <v>0</v>
      </c>
      <c r="H298">
        <f t="shared" si="70"/>
        <v>1.5999999999999996</v>
      </c>
      <c r="I298">
        <f t="shared" si="80"/>
        <v>1.5999999999999996</v>
      </c>
      <c r="J298">
        <f t="shared" si="78"/>
        <v>17</v>
      </c>
      <c r="K298">
        <f t="shared" si="75"/>
        <v>1.3000000000000007</v>
      </c>
      <c r="L298">
        <f t="shared" si="79"/>
        <v>23.900000000000002</v>
      </c>
      <c r="M298">
        <f t="shared" si="71"/>
        <v>0.98360655737704927</v>
      </c>
      <c r="N298">
        <v>25</v>
      </c>
      <c r="O298">
        <f t="shared" si="76"/>
        <v>6</v>
      </c>
      <c r="P298">
        <f t="shared" si="68"/>
        <v>1260</v>
      </c>
      <c r="Q298">
        <f t="shared" si="72"/>
        <v>0</v>
      </c>
      <c r="R298">
        <v>0</v>
      </c>
    </row>
    <row r="299" spans="1:18" x14ac:dyDescent="0.3">
      <c r="A299" t="s">
        <v>5</v>
      </c>
      <c r="B299" s="1">
        <v>45098</v>
      </c>
      <c r="C299" t="s">
        <v>8</v>
      </c>
      <c r="D299" t="s">
        <v>14</v>
      </c>
      <c r="E299">
        <v>8</v>
      </c>
      <c r="F299">
        <v>15.7</v>
      </c>
      <c r="G299">
        <v>0</v>
      </c>
      <c r="H299">
        <f t="shared" si="70"/>
        <v>1.3000000000000007</v>
      </c>
      <c r="I299">
        <f t="shared" si="80"/>
        <v>1.3000000000000007</v>
      </c>
      <c r="J299">
        <f t="shared" si="78"/>
        <v>17</v>
      </c>
      <c r="K299">
        <f t="shared" si="75"/>
        <v>1.1999999999999993</v>
      </c>
      <c r="L299">
        <f t="shared" si="79"/>
        <v>25.1</v>
      </c>
      <c r="M299">
        <f t="shared" si="71"/>
        <v>0.98360655737704927</v>
      </c>
      <c r="N299">
        <v>26</v>
      </c>
      <c r="O299">
        <f t="shared" si="76"/>
        <v>6</v>
      </c>
      <c r="P299">
        <f t="shared" si="68"/>
        <v>1260</v>
      </c>
      <c r="Q299">
        <f t="shared" si="72"/>
        <v>0</v>
      </c>
      <c r="R299">
        <v>0</v>
      </c>
    </row>
    <row r="300" spans="1:18" x14ac:dyDescent="0.3">
      <c r="A300" t="s">
        <v>6</v>
      </c>
      <c r="B300" s="1">
        <v>45099</v>
      </c>
      <c r="C300" t="s">
        <v>8</v>
      </c>
      <c r="D300" t="s">
        <v>14</v>
      </c>
      <c r="E300">
        <v>8</v>
      </c>
      <c r="F300">
        <v>15.8</v>
      </c>
      <c r="G300">
        <v>0.5</v>
      </c>
      <c r="H300">
        <f t="shared" si="70"/>
        <v>0.69999999999999929</v>
      </c>
      <c r="I300">
        <f t="shared" si="80"/>
        <v>1.1999999999999993</v>
      </c>
      <c r="J300">
        <f t="shared" si="78"/>
        <v>17</v>
      </c>
      <c r="K300">
        <f t="shared" si="75"/>
        <v>0.89999999999999858</v>
      </c>
      <c r="L300">
        <f t="shared" si="79"/>
        <v>26</v>
      </c>
      <c r="M300">
        <f t="shared" si="71"/>
        <v>0.98360655737704927</v>
      </c>
      <c r="N300">
        <v>27</v>
      </c>
      <c r="O300">
        <f t="shared" si="76"/>
        <v>6.5</v>
      </c>
      <c r="P300">
        <f t="shared" si="68"/>
        <v>1365</v>
      </c>
      <c r="Q300">
        <f t="shared" si="72"/>
        <v>0</v>
      </c>
      <c r="R300">
        <v>0</v>
      </c>
    </row>
    <row r="301" spans="1:18" x14ac:dyDescent="0.3">
      <c r="A301" t="s">
        <v>0</v>
      </c>
      <c r="B301" s="1">
        <v>45100</v>
      </c>
      <c r="C301" t="s">
        <v>8</v>
      </c>
      <c r="D301" t="s">
        <v>14</v>
      </c>
      <c r="E301">
        <v>8</v>
      </c>
      <c r="F301">
        <v>16.100000000000001</v>
      </c>
      <c r="G301">
        <v>0</v>
      </c>
      <c r="H301">
        <f t="shared" si="70"/>
        <v>0.89999999999999858</v>
      </c>
      <c r="I301">
        <f>H301+G301</f>
        <v>0.89999999999999858</v>
      </c>
      <c r="J301">
        <f t="shared" si="78"/>
        <v>17</v>
      </c>
      <c r="K301">
        <f t="shared" si="75"/>
        <v>0.69999999999999929</v>
      </c>
      <c r="L301">
        <f t="shared" si="79"/>
        <v>26.7</v>
      </c>
      <c r="M301">
        <f t="shared" si="71"/>
        <v>0.98360655737704927</v>
      </c>
      <c r="N301">
        <v>28</v>
      </c>
      <c r="O301">
        <f t="shared" si="76"/>
        <v>6.5</v>
      </c>
      <c r="P301">
        <f t="shared" si="68"/>
        <v>1365</v>
      </c>
      <c r="Q301">
        <f t="shared" si="72"/>
        <v>0</v>
      </c>
      <c r="R301">
        <v>0</v>
      </c>
    </row>
    <row r="302" spans="1:18" x14ac:dyDescent="0.3">
      <c r="A302" t="s">
        <v>1</v>
      </c>
      <c r="B302" s="1">
        <v>45101</v>
      </c>
      <c r="C302" t="s">
        <v>8</v>
      </c>
      <c r="D302" t="s">
        <v>14</v>
      </c>
      <c r="E302">
        <v>8</v>
      </c>
      <c r="F302">
        <v>16.3</v>
      </c>
      <c r="G302">
        <v>0</v>
      </c>
      <c r="H302">
        <f t="shared" si="70"/>
        <v>0.69999999999999929</v>
      </c>
      <c r="I302">
        <f t="shared" ref="I302:I311" si="81">H302+G302</f>
        <v>0.69999999999999929</v>
      </c>
      <c r="J302">
        <f t="shared" si="78"/>
        <v>17</v>
      </c>
      <c r="K302">
        <f t="shared" si="75"/>
        <v>1.1999999999999993</v>
      </c>
      <c r="L302">
        <f t="shared" si="79"/>
        <v>27.9</v>
      </c>
      <c r="M302">
        <f t="shared" si="71"/>
        <v>0.98360655737704927</v>
      </c>
      <c r="N302">
        <v>29</v>
      </c>
      <c r="O302">
        <f t="shared" si="76"/>
        <v>6.5</v>
      </c>
      <c r="P302">
        <f t="shared" si="68"/>
        <v>1365</v>
      </c>
      <c r="Q302">
        <f t="shared" si="72"/>
        <v>0</v>
      </c>
      <c r="R302">
        <v>0</v>
      </c>
    </row>
    <row r="303" spans="1:18" x14ac:dyDescent="0.3">
      <c r="A303" t="s">
        <v>2</v>
      </c>
      <c r="B303" s="1">
        <v>45102</v>
      </c>
      <c r="C303" t="s">
        <v>8</v>
      </c>
      <c r="D303" t="s">
        <v>14</v>
      </c>
      <c r="E303">
        <v>8</v>
      </c>
      <c r="F303">
        <v>15.8</v>
      </c>
      <c r="G303">
        <v>0</v>
      </c>
      <c r="H303">
        <f t="shared" si="70"/>
        <v>1.1999999999999993</v>
      </c>
      <c r="I303">
        <f t="shared" si="81"/>
        <v>1.1999999999999993</v>
      </c>
      <c r="J303">
        <f t="shared" si="78"/>
        <v>17</v>
      </c>
      <c r="K303">
        <f t="shared" si="75"/>
        <v>1.0999999999999996</v>
      </c>
      <c r="L303">
        <f t="shared" si="79"/>
        <v>29</v>
      </c>
      <c r="M303">
        <f t="shared" si="71"/>
        <v>0.98360655737704927</v>
      </c>
      <c r="N303">
        <v>30</v>
      </c>
      <c r="O303">
        <f t="shared" si="76"/>
        <v>6.5</v>
      </c>
      <c r="P303">
        <f t="shared" si="68"/>
        <v>1365</v>
      </c>
      <c r="Q303">
        <f t="shared" si="72"/>
        <v>0</v>
      </c>
      <c r="R303">
        <v>0</v>
      </c>
    </row>
    <row r="304" spans="1:18" x14ac:dyDescent="0.3">
      <c r="A304" t="s">
        <v>3</v>
      </c>
      <c r="B304" s="1">
        <v>45103</v>
      </c>
      <c r="C304" t="s">
        <v>8</v>
      </c>
      <c r="D304" t="s">
        <v>14</v>
      </c>
      <c r="E304">
        <v>8</v>
      </c>
      <c r="F304">
        <v>15.9</v>
      </c>
      <c r="G304">
        <v>0.5</v>
      </c>
      <c r="H304">
        <f t="shared" si="70"/>
        <v>0.59999999999999964</v>
      </c>
      <c r="I304">
        <f t="shared" si="81"/>
        <v>1.0999999999999996</v>
      </c>
      <c r="J304">
        <f t="shared" si="78"/>
        <v>17</v>
      </c>
      <c r="K304">
        <f t="shared" si="75"/>
        <v>0.89999999999999858</v>
      </c>
      <c r="L304">
        <f t="shared" si="79"/>
        <v>29.9</v>
      </c>
      <c r="M304">
        <f t="shared" si="71"/>
        <v>0.98360655737704927</v>
      </c>
      <c r="N304">
        <v>31</v>
      </c>
      <c r="O304">
        <f t="shared" si="76"/>
        <v>7</v>
      </c>
      <c r="P304">
        <f t="shared" si="68"/>
        <v>1470</v>
      </c>
      <c r="Q304">
        <f t="shared" si="72"/>
        <v>0</v>
      </c>
      <c r="R304">
        <v>0</v>
      </c>
    </row>
    <row r="305" spans="1:18" x14ac:dyDescent="0.3">
      <c r="A305" t="s">
        <v>4</v>
      </c>
      <c r="B305" s="1">
        <v>45104</v>
      </c>
      <c r="C305" t="s">
        <v>8</v>
      </c>
      <c r="D305" t="s">
        <v>14</v>
      </c>
      <c r="E305">
        <v>8</v>
      </c>
      <c r="F305">
        <v>16.100000000000001</v>
      </c>
      <c r="G305">
        <v>0</v>
      </c>
      <c r="H305">
        <f t="shared" si="70"/>
        <v>0.89999999999999858</v>
      </c>
      <c r="I305">
        <f t="shared" si="81"/>
        <v>0.89999999999999858</v>
      </c>
      <c r="J305">
        <f>I305+F305</f>
        <v>17</v>
      </c>
      <c r="K305">
        <f t="shared" si="75"/>
        <v>1.0999999999999996</v>
      </c>
      <c r="L305">
        <f t="shared" si="79"/>
        <v>31</v>
      </c>
      <c r="M305">
        <f t="shared" si="71"/>
        <v>0.98360655737704927</v>
      </c>
      <c r="N305">
        <v>32</v>
      </c>
      <c r="O305">
        <f t="shared" si="76"/>
        <v>7</v>
      </c>
      <c r="P305">
        <f t="shared" si="68"/>
        <v>1470</v>
      </c>
      <c r="Q305">
        <f t="shared" si="72"/>
        <v>0</v>
      </c>
      <c r="R305">
        <v>0</v>
      </c>
    </row>
    <row r="306" spans="1:18" x14ac:dyDescent="0.3">
      <c r="A306" t="s">
        <v>5</v>
      </c>
      <c r="B306" s="1">
        <v>45105</v>
      </c>
      <c r="C306" t="s">
        <v>8</v>
      </c>
      <c r="D306" t="s">
        <v>14</v>
      </c>
      <c r="E306">
        <v>8</v>
      </c>
      <c r="F306">
        <v>15.9</v>
      </c>
      <c r="G306">
        <v>0</v>
      </c>
      <c r="H306">
        <f t="shared" si="70"/>
        <v>1.0999999999999996</v>
      </c>
      <c r="I306">
        <f t="shared" si="81"/>
        <v>1.0999999999999996</v>
      </c>
      <c r="J306">
        <f t="shared" ref="J306:J311" si="82">I306+F306</f>
        <v>17</v>
      </c>
      <c r="K306">
        <f t="shared" si="75"/>
        <v>1.1999999999999993</v>
      </c>
      <c r="L306">
        <f t="shared" si="79"/>
        <v>32.200000000000003</v>
      </c>
      <c r="M306">
        <f t="shared" si="71"/>
        <v>0.98360655737704927</v>
      </c>
      <c r="N306">
        <v>33</v>
      </c>
      <c r="O306">
        <f t="shared" si="76"/>
        <v>7</v>
      </c>
      <c r="P306">
        <f t="shared" si="68"/>
        <v>1470</v>
      </c>
      <c r="Q306">
        <f t="shared" si="72"/>
        <v>0</v>
      </c>
      <c r="R306">
        <v>0</v>
      </c>
    </row>
    <row r="307" spans="1:18" x14ac:dyDescent="0.3">
      <c r="A307" t="s">
        <v>6</v>
      </c>
      <c r="B307" s="1">
        <v>45106</v>
      </c>
      <c r="C307" t="s">
        <v>8</v>
      </c>
      <c r="D307" t="s">
        <v>14</v>
      </c>
      <c r="E307">
        <v>8</v>
      </c>
      <c r="F307">
        <v>15.8</v>
      </c>
      <c r="G307">
        <v>0.5</v>
      </c>
      <c r="H307">
        <f t="shared" si="70"/>
        <v>0.69999999999999929</v>
      </c>
      <c r="I307">
        <f t="shared" si="81"/>
        <v>1.1999999999999993</v>
      </c>
      <c r="J307">
        <f t="shared" si="82"/>
        <v>17</v>
      </c>
      <c r="K307">
        <f t="shared" si="75"/>
        <v>1.3000000000000007</v>
      </c>
      <c r="L307">
        <f t="shared" si="79"/>
        <v>33.5</v>
      </c>
      <c r="M307">
        <f t="shared" si="71"/>
        <v>0.98360655737704927</v>
      </c>
      <c r="N307">
        <v>34</v>
      </c>
      <c r="O307">
        <f t="shared" si="76"/>
        <v>7.5</v>
      </c>
      <c r="P307">
        <f t="shared" si="68"/>
        <v>1575</v>
      </c>
      <c r="Q307">
        <f t="shared" si="72"/>
        <v>0</v>
      </c>
      <c r="R307">
        <v>0</v>
      </c>
    </row>
    <row r="308" spans="1:18" x14ac:dyDescent="0.3">
      <c r="A308" t="s">
        <v>0</v>
      </c>
      <c r="B308" s="1">
        <v>45107</v>
      </c>
      <c r="C308" t="s">
        <v>8</v>
      </c>
      <c r="D308" t="s">
        <v>14</v>
      </c>
      <c r="E308">
        <v>8</v>
      </c>
      <c r="F308">
        <v>15.7</v>
      </c>
      <c r="G308">
        <v>0</v>
      </c>
      <c r="H308">
        <f t="shared" si="70"/>
        <v>1.3000000000000007</v>
      </c>
      <c r="I308">
        <f t="shared" si="81"/>
        <v>1.3000000000000007</v>
      </c>
      <c r="J308">
        <f t="shared" si="82"/>
        <v>17</v>
      </c>
      <c r="K308">
        <f t="shared" si="75"/>
        <v>0.5</v>
      </c>
      <c r="L308">
        <f t="shared" si="79"/>
        <v>34</v>
      </c>
      <c r="M308">
        <f t="shared" si="71"/>
        <v>0.98360655737704927</v>
      </c>
      <c r="N308">
        <v>35</v>
      </c>
      <c r="O308">
        <f t="shared" si="76"/>
        <v>7.5</v>
      </c>
      <c r="P308">
        <f t="shared" si="68"/>
        <v>1575</v>
      </c>
      <c r="Q308">
        <f t="shared" si="72"/>
        <v>0</v>
      </c>
      <c r="R308">
        <v>0</v>
      </c>
    </row>
    <row r="309" spans="1:18" x14ac:dyDescent="0.3">
      <c r="A309" t="s">
        <v>1</v>
      </c>
      <c r="B309" s="1">
        <v>45108</v>
      </c>
      <c r="C309" t="s">
        <v>8</v>
      </c>
      <c r="D309" t="s">
        <v>14</v>
      </c>
      <c r="E309">
        <v>8</v>
      </c>
      <c r="F309">
        <v>16.5</v>
      </c>
      <c r="G309">
        <v>0</v>
      </c>
      <c r="H309">
        <f t="shared" si="70"/>
        <v>0.5</v>
      </c>
      <c r="I309">
        <f t="shared" si="81"/>
        <v>0.5</v>
      </c>
      <c r="J309">
        <f t="shared" si="82"/>
        <v>17</v>
      </c>
      <c r="K309">
        <f t="shared" si="75"/>
        <v>0.39999999999999858</v>
      </c>
      <c r="L309">
        <f t="shared" si="79"/>
        <v>34.4</v>
      </c>
      <c r="M309">
        <f t="shared" si="71"/>
        <v>0.98360655737704927</v>
      </c>
      <c r="N309">
        <v>36</v>
      </c>
      <c r="O309">
        <f t="shared" si="76"/>
        <v>7.5</v>
      </c>
      <c r="P309">
        <f t="shared" si="68"/>
        <v>1575</v>
      </c>
      <c r="Q309">
        <f t="shared" si="72"/>
        <v>0</v>
      </c>
      <c r="R309">
        <v>0</v>
      </c>
    </row>
    <row r="310" spans="1:18" x14ac:dyDescent="0.3">
      <c r="A310" t="s">
        <v>2</v>
      </c>
      <c r="B310" s="1">
        <v>45109</v>
      </c>
      <c r="C310" t="s">
        <v>8</v>
      </c>
      <c r="D310" t="s">
        <v>14</v>
      </c>
      <c r="E310">
        <v>8</v>
      </c>
      <c r="F310">
        <v>16.600000000000001</v>
      </c>
      <c r="G310">
        <v>0</v>
      </c>
      <c r="H310">
        <f t="shared" si="70"/>
        <v>0.39999999999999858</v>
      </c>
      <c r="I310">
        <f t="shared" si="81"/>
        <v>0.39999999999999858</v>
      </c>
      <c r="J310">
        <f t="shared" si="82"/>
        <v>17</v>
      </c>
      <c r="K310">
        <f t="shared" si="75"/>
        <v>0.80000000000000071</v>
      </c>
      <c r="L310">
        <f t="shared" si="79"/>
        <v>35.200000000000003</v>
      </c>
      <c r="M310">
        <f t="shared" si="71"/>
        <v>0.98360655737704927</v>
      </c>
      <c r="N310">
        <v>37</v>
      </c>
      <c r="O310">
        <f t="shared" si="76"/>
        <v>7.5</v>
      </c>
      <c r="P310">
        <f t="shared" si="68"/>
        <v>1575</v>
      </c>
      <c r="Q310">
        <f t="shared" si="72"/>
        <v>0</v>
      </c>
      <c r="R310">
        <v>0</v>
      </c>
    </row>
    <row r="311" spans="1:18" x14ac:dyDescent="0.3">
      <c r="A311" t="s">
        <v>3</v>
      </c>
      <c r="B311" s="1">
        <v>45110</v>
      </c>
      <c r="C311" t="s">
        <v>8</v>
      </c>
      <c r="D311" t="s">
        <v>14</v>
      </c>
      <c r="E311">
        <v>8</v>
      </c>
      <c r="F311">
        <v>16.2</v>
      </c>
      <c r="G311">
        <v>0</v>
      </c>
      <c r="H311">
        <f t="shared" si="70"/>
        <v>0.80000000000000071</v>
      </c>
      <c r="I311">
        <f t="shared" si="81"/>
        <v>0.80000000000000071</v>
      </c>
      <c r="J311">
        <f t="shared" si="82"/>
        <v>17</v>
      </c>
      <c r="O311">
        <f t="shared" si="76"/>
        <v>7.5</v>
      </c>
      <c r="P311">
        <f t="shared" si="68"/>
        <v>1575</v>
      </c>
      <c r="Q311">
        <f t="shared" si="72"/>
        <v>0</v>
      </c>
      <c r="R311">
        <v>0</v>
      </c>
    </row>
    <row r="316" spans="1:18" x14ac:dyDescent="0.3">
      <c r="G316">
        <f>11+(6.1*60/100)</f>
        <v>14.66</v>
      </c>
    </row>
    <row r="317" spans="1:18" x14ac:dyDescent="0.3">
      <c r="G317">
        <f>11+(6.1*55/100)</f>
        <v>14.355</v>
      </c>
    </row>
    <row r="318" spans="1:18" x14ac:dyDescent="0.3">
      <c r="G318">
        <f>11+(6.1*50/100)</f>
        <v>14.05</v>
      </c>
    </row>
  </sheetData>
  <sortState xmlns:xlrd2="http://schemas.microsoft.com/office/spreadsheetml/2017/richdata2" ref="E2:F1046870">
    <sortCondition ref="E1:E1046870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FF23-CA54-4E86-938C-4114EDF7C6C7}">
  <dimension ref="A1:R316"/>
  <sheetViews>
    <sheetView topLeftCell="A300" workbookViewId="0">
      <selection activeCell="A2" sqref="A2:XFD316"/>
    </sheetView>
  </sheetViews>
  <sheetFormatPr defaultRowHeight="14.4" x14ac:dyDescent="0.3"/>
  <cols>
    <col min="1" max="1" width="10.44140625" bestFit="1" customWidth="1"/>
    <col min="2" max="2" width="8.33203125" bestFit="1" customWidth="1"/>
    <col min="3" max="3" width="5" bestFit="1" customWidth="1"/>
    <col min="4" max="4" width="10.5546875" bestFit="1" customWidth="1"/>
    <col min="5" max="5" width="7.5546875" bestFit="1" customWidth="1"/>
    <col min="6" max="6" width="5.44140625" bestFit="1" customWidth="1"/>
    <col min="7" max="7" width="8.5546875" bestFit="1" customWidth="1"/>
    <col min="8" max="8" width="6.88671875" bestFit="1" customWidth="1"/>
    <col min="9" max="9" width="5" bestFit="1" customWidth="1"/>
    <col min="10" max="10" width="6" bestFit="1" customWidth="1"/>
    <col min="11" max="11" width="18.33203125" bestFit="1" customWidth="1"/>
    <col min="12" max="12" width="19.44140625" bestFit="1" customWidth="1"/>
    <col min="13" max="13" width="12" bestFit="1" customWidth="1"/>
    <col min="14" max="14" width="4.5546875" bestFit="1" customWidth="1"/>
    <col min="15" max="15" width="14.44140625" bestFit="1" customWidth="1"/>
    <col min="16" max="16" width="16" bestFit="1" customWidth="1"/>
    <col min="17" max="17" width="12" bestFit="1" customWidth="1"/>
    <col min="18" max="18" width="12.33203125" bestFit="1" customWidth="1"/>
  </cols>
  <sheetData>
    <row r="1" spans="1:18" s="4" customFormat="1" x14ac:dyDescent="0.3">
      <c r="A1" s="4" t="s">
        <v>12</v>
      </c>
      <c r="B1" s="4" t="s">
        <v>9</v>
      </c>
      <c r="C1" s="4" t="s">
        <v>13</v>
      </c>
      <c r="D1" s="4" t="s">
        <v>17</v>
      </c>
      <c r="E1" s="4" t="s">
        <v>18</v>
      </c>
      <c r="F1" t="s">
        <v>81</v>
      </c>
      <c r="G1" s="5" t="s">
        <v>84</v>
      </c>
      <c r="H1" t="s">
        <v>83</v>
      </c>
      <c r="I1" t="s">
        <v>85</v>
      </c>
      <c r="J1" s="4" t="s">
        <v>19</v>
      </c>
      <c r="K1" s="4" t="s">
        <v>20</v>
      </c>
      <c r="L1" s="4" t="s">
        <v>21</v>
      </c>
      <c r="M1" s="4" t="s">
        <v>35</v>
      </c>
      <c r="N1" s="4" t="s">
        <v>15</v>
      </c>
      <c r="O1" s="4" t="s">
        <v>23</v>
      </c>
      <c r="P1" s="4" t="s">
        <v>16</v>
      </c>
      <c r="Q1" s="4" t="s">
        <v>75</v>
      </c>
      <c r="R1" s="4" t="s">
        <v>76</v>
      </c>
    </row>
    <row r="2" spans="1:18" x14ac:dyDescent="0.3">
      <c r="A2" t="s">
        <v>1</v>
      </c>
      <c r="B2" s="1">
        <v>45073</v>
      </c>
      <c r="C2" t="s">
        <v>8</v>
      </c>
      <c r="D2" t="s">
        <v>11</v>
      </c>
      <c r="E2">
        <v>1</v>
      </c>
      <c r="F2">
        <v>17</v>
      </c>
      <c r="G2">
        <v>0</v>
      </c>
      <c r="H2">
        <v>0</v>
      </c>
      <c r="I2">
        <f t="shared" ref="I2:I39" si="0">H2+G2</f>
        <v>0</v>
      </c>
      <c r="J2">
        <f t="shared" ref="J2:J39" si="1">I2+F2</f>
        <v>17</v>
      </c>
      <c r="K2">
        <f t="shared" ref="K2:K39" si="2">J2-F3</f>
        <v>0.60000000000000142</v>
      </c>
      <c r="M2">
        <f>(J2-11)/6.1</f>
        <v>0.98360655737704927</v>
      </c>
      <c r="N2">
        <v>1</v>
      </c>
      <c r="O2">
        <v>2.5</v>
      </c>
      <c r="P2">
        <f>O2*210</f>
        <v>525</v>
      </c>
    </row>
    <row r="3" spans="1:18" x14ac:dyDescent="0.3">
      <c r="A3" t="s">
        <v>2</v>
      </c>
      <c r="B3" s="1">
        <v>45074</v>
      </c>
      <c r="C3" t="s">
        <v>8</v>
      </c>
      <c r="D3" t="s">
        <v>11</v>
      </c>
      <c r="E3">
        <v>1</v>
      </c>
      <c r="F3">
        <v>16.399999999999999</v>
      </c>
      <c r="G3">
        <v>0</v>
      </c>
      <c r="H3">
        <v>0</v>
      </c>
      <c r="I3">
        <f t="shared" si="0"/>
        <v>0</v>
      </c>
      <c r="J3">
        <f t="shared" si="1"/>
        <v>16.399999999999999</v>
      </c>
      <c r="K3">
        <f t="shared" si="2"/>
        <v>0.69999999999999929</v>
      </c>
      <c r="L3">
        <f>K2+K3</f>
        <v>1.3000000000000007</v>
      </c>
      <c r="M3">
        <f>(J3-11)/6.1</f>
        <v>0.88524590163934413</v>
      </c>
      <c r="N3">
        <v>2</v>
      </c>
      <c r="O3">
        <f t="shared" ref="O3:O39" si="3">O2+G3</f>
        <v>2.5</v>
      </c>
      <c r="P3">
        <f t="shared" ref="P3:P39" si="4">O3*210</f>
        <v>525</v>
      </c>
      <c r="Q3">
        <f t="shared" ref="Q3:Q39" si="5">0.98-M3</f>
        <v>9.4754098360655847E-2</v>
      </c>
    </row>
    <row r="4" spans="1:18" x14ac:dyDescent="0.3">
      <c r="A4" t="s">
        <v>3</v>
      </c>
      <c r="B4" s="1">
        <v>45075</v>
      </c>
      <c r="C4" t="s">
        <v>8</v>
      </c>
      <c r="D4" t="s">
        <v>11</v>
      </c>
      <c r="E4">
        <v>1</v>
      </c>
      <c r="F4">
        <v>15.7</v>
      </c>
      <c r="G4">
        <v>0.25</v>
      </c>
      <c r="H4">
        <v>0</v>
      </c>
      <c r="I4">
        <f t="shared" si="0"/>
        <v>0.25</v>
      </c>
      <c r="J4">
        <f t="shared" si="1"/>
        <v>15.95</v>
      </c>
      <c r="K4">
        <f t="shared" si="2"/>
        <v>0.84999999999999964</v>
      </c>
      <c r="L4">
        <f>L3+K4</f>
        <v>2.1500000000000004</v>
      </c>
      <c r="M4">
        <f t="shared" ref="M4:M66" si="6">(J4-11)/6.1</f>
        <v>0.81147540983606548</v>
      </c>
      <c r="N4">
        <v>3</v>
      </c>
      <c r="O4">
        <f t="shared" si="3"/>
        <v>2.75</v>
      </c>
      <c r="P4">
        <f t="shared" si="4"/>
        <v>577.5</v>
      </c>
      <c r="Q4">
        <f t="shared" si="5"/>
        <v>0.16852459016393451</v>
      </c>
      <c r="R4">
        <f>Q3+Q4</f>
        <v>0.26327868852459035</v>
      </c>
    </row>
    <row r="5" spans="1:18" x14ac:dyDescent="0.3">
      <c r="A5" t="s">
        <v>4</v>
      </c>
      <c r="B5" s="1">
        <v>45076</v>
      </c>
      <c r="C5" t="s">
        <v>8</v>
      </c>
      <c r="D5" t="s">
        <v>11</v>
      </c>
      <c r="E5">
        <v>1</v>
      </c>
      <c r="F5">
        <v>15.1</v>
      </c>
      <c r="G5">
        <v>0.25</v>
      </c>
      <c r="H5">
        <v>0</v>
      </c>
      <c r="I5">
        <f t="shared" si="0"/>
        <v>0.25</v>
      </c>
      <c r="J5">
        <f t="shared" si="1"/>
        <v>15.35</v>
      </c>
      <c r="K5">
        <f t="shared" si="2"/>
        <v>0.94999999999999929</v>
      </c>
      <c r="L5">
        <f t="shared" ref="L5:L39" si="7">L4+K5</f>
        <v>3.0999999999999996</v>
      </c>
      <c r="M5">
        <f t="shared" si="6"/>
        <v>0.71311475409836067</v>
      </c>
      <c r="N5">
        <v>4</v>
      </c>
      <c r="O5">
        <f t="shared" si="3"/>
        <v>3</v>
      </c>
      <c r="P5">
        <f t="shared" si="4"/>
        <v>630</v>
      </c>
      <c r="Q5">
        <f t="shared" si="5"/>
        <v>0.26688524590163931</v>
      </c>
      <c r="R5">
        <f>R4+Q5</f>
        <v>0.53016393442622967</v>
      </c>
    </row>
    <row r="6" spans="1:18" x14ac:dyDescent="0.3">
      <c r="A6" t="s">
        <v>5</v>
      </c>
      <c r="B6" s="1">
        <v>45077</v>
      </c>
      <c r="C6" t="s">
        <v>8</v>
      </c>
      <c r="D6" t="s">
        <v>11</v>
      </c>
      <c r="E6">
        <v>1</v>
      </c>
      <c r="F6">
        <v>14.4</v>
      </c>
      <c r="G6">
        <v>0</v>
      </c>
      <c r="H6">
        <f t="shared" ref="H6:H16" si="8">14.7-F6-G6</f>
        <v>0.29999999999999893</v>
      </c>
      <c r="I6">
        <f t="shared" si="0"/>
        <v>0.29999999999999893</v>
      </c>
      <c r="J6">
        <f t="shared" si="1"/>
        <v>14.7</v>
      </c>
      <c r="K6">
        <f t="shared" si="2"/>
        <v>0.69999999999999929</v>
      </c>
      <c r="L6">
        <f t="shared" si="7"/>
        <v>3.7999999999999989</v>
      </c>
      <c r="M6">
        <f t="shared" si="6"/>
        <v>0.60655737704918022</v>
      </c>
      <c r="N6">
        <v>5</v>
      </c>
      <c r="O6">
        <f t="shared" si="3"/>
        <v>3</v>
      </c>
      <c r="P6">
        <f t="shared" si="4"/>
        <v>630</v>
      </c>
      <c r="Q6">
        <f t="shared" si="5"/>
        <v>0.37344262295081976</v>
      </c>
      <c r="R6">
        <f t="shared" ref="R6:R39" si="9">R5+Q6</f>
        <v>0.90360655737704942</v>
      </c>
    </row>
    <row r="7" spans="1:18" x14ac:dyDescent="0.3">
      <c r="A7" t="s">
        <v>6</v>
      </c>
      <c r="B7" s="1">
        <v>45078</v>
      </c>
      <c r="C7" t="s">
        <v>8</v>
      </c>
      <c r="D7" t="s">
        <v>11</v>
      </c>
      <c r="E7">
        <v>1</v>
      </c>
      <c r="F7">
        <v>14</v>
      </c>
      <c r="G7">
        <v>0.25</v>
      </c>
      <c r="H7">
        <f t="shared" si="8"/>
        <v>0.44999999999999929</v>
      </c>
      <c r="I7">
        <f t="shared" si="0"/>
        <v>0.69999999999999929</v>
      </c>
      <c r="J7">
        <f t="shared" si="1"/>
        <v>14.7</v>
      </c>
      <c r="K7">
        <f t="shared" si="2"/>
        <v>0.5</v>
      </c>
      <c r="L7">
        <f t="shared" si="7"/>
        <v>4.2999999999999989</v>
      </c>
      <c r="M7">
        <f t="shared" si="6"/>
        <v>0.60655737704918022</v>
      </c>
      <c r="N7">
        <v>6</v>
      </c>
      <c r="O7">
        <f t="shared" si="3"/>
        <v>3.25</v>
      </c>
      <c r="P7">
        <f t="shared" si="4"/>
        <v>682.5</v>
      </c>
      <c r="Q7">
        <f t="shared" si="5"/>
        <v>0.37344262295081976</v>
      </c>
      <c r="R7">
        <f t="shared" si="9"/>
        <v>1.2770491803278692</v>
      </c>
    </row>
    <row r="8" spans="1:18" x14ac:dyDescent="0.3">
      <c r="A8" t="s">
        <v>0</v>
      </c>
      <c r="B8" s="1">
        <v>45079</v>
      </c>
      <c r="C8" t="s">
        <v>8</v>
      </c>
      <c r="D8" t="s">
        <v>11</v>
      </c>
      <c r="E8">
        <v>1</v>
      </c>
      <c r="F8">
        <v>14.2</v>
      </c>
      <c r="G8">
        <v>0.25</v>
      </c>
      <c r="H8">
        <f t="shared" si="8"/>
        <v>0.25</v>
      </c>
      <c r="I8">
        <f t="shared" si="0"/>
        <v>0.5</v>
      </c>
      <c r="J8">
        <f t="shared" si="1"/>
        <v>14.7</v>
      </c>
      <c r="K8">
        <f t="shared" si="2"/>
        <v>0.39999999999999858</v>
      </c>
      <c r="L8">
        <f t="shared" si="7"/>
        <v>4.6999999999999975</v>
      </c>
      <c r="M8">
        <f t="shared" si="6"/>
        <v>0.60655737704918022</v>
      </c>
      <c r="N8">
        <v>7</v>
      </c>
      <c r="O8">
        <f t="shared" si="3"/>
        <v>3.5</v>
      </c>
      <c r="P8">
        <f t="shared" si="4"/>
        <v>735</v>
      </c>
      <c r="Q8">
        <f t="shared" si="5"/>
        <v>0.37344262295081976</v>
      </c>
      <c r="R8">
        <f t="shared" si="9"/>
        <v>1.6504918032786891</v>
      </c>
    </row>
    <row r="9" spans="1:18" x14ac:dyDescent="0.3">
      <c r="A9" t="s">
        <v>1</v>
      </c>
      <c r="B9" s="1">
        <v>45080</v>
      </c>
      <c r="C9" t="s">
        <v>8</v>
      </c>
      <c r="D9" t="s">
        <v>11</v>
      </c>
      <c r="E9">
        <v>1</v>
      </c>
      <c r="F9">
        <v>14.3</v>
      </c>
      <c r="G9">
        <v>0</v>
      </c>
      <c r="H9">
        <f t="shared" si="8"/>
        <v>0.39999999999999858</v>
      </c>
      <c r="I9">
        <f t="shared" si="0"/>
        <v>0.39999999999999858</v>
      </c>
      <c r="J9">
        <f t="shared" si="1"/>
        <v>14.7</v>
      </c>
      <c r="K9">
        <f t="shared" si="2"/>
        <v>0.69999999999999929</v>
      </c>
      <c r="L9">
        <f t="shared" si="7"/>
        <v>5.3999999999999968</v>
      </c>
      <c r="M9">
        <f t="shared" si="6"/>
        <v>0.60655737704918022</v>
      </c>
      <c r="N9">
        <v>8</v>
      </c>
      <c r="O9">
        <f t="shared" si="3"/>
        <v>3.5</v>
      </c>
      <c r="P9">
        <f t="shared" si="4"/>
        <v>735</v>
      </c>
      <c r="Q9">
        <f t="shared" si="5"/>
        <v>0.37344262295081976</v>
      </c>
      <c r="R9">
        <f t="shared" si="9"/>
        <v>2.0239344262295087</v>
      </c>
    </row>
    <row r="10" spans="1:18" x14ac:dyDescent="0.3">
      <c r="A10" t="s">
        <v>2</v>
      </c>
      <c r="B10" s="1">
        <v>45081</v>
      </c>
      <c r="C10" t="s">
        <v>8</v>
      </c>
      <c r="D10" t="s">
        <v>11</v>
      </c>
      <c r="E10">
        <v>1</v>
      </c>
      <c r="F10">
        <v>14</v>
      </c>
      <c r="G10">
        <v>0</v>
      </c>
      <c r="H10">
        <f t="shared" si="8"/>
        <v>0.69999999999999929</v>
      </c>
      <c r="I10">
        <f t="shared" si="0"/>
        <v>0.69999999999999929</v>
      </c>
      <c r="J10">
        <f t="shared" si="1"/>
        <v>14.7</v>
      </c>
      <c r="K10">
        <f t="shared" si="2"/>
        <v>0.69999999999999929</v>
      </c>
      <c r="L10">
        <f t="shared" si="7"/>
        <v>6.0999999999999961</v>
      </c>
      <c r="M10">
        <f t="shared" si="6"/>
        <v>0.60655737704918022</v>
      </c>
      <c r="N10">
        <v>9</v>
      </c>
      <c r="O10">
        <f t="shared" si="3"/>
        <v>3.5</v>
      </c>
      <c r="P10">
        <f t="shared" si="4"/>
        <v>735</v>
      </c>
      <c r="Q10">
        <f t="shared" si="5"/>
        <v>0.37344262295081976</v>
      </c>
      <c r="R10">
        <f t="shared" si="9"/>
        <v>2.3973770491803283</v>
      </c>
    </row>
    <row r="11" spans="1:18" x14ac:dyDescent="0.3">
      <c r="A11" t="s">
        <v>3</v>
      </c>
      <c r="B11" s="1">
        <v>45082</v>
      </c>
      <c r="C11" t="s">
        <v>8</v>
      </c>
      <c r="D11" t="s">
        <v>11</v>
      </c>
      <c r="E11">
        <v>1</v>
      </c>
      <c r="F11">
        <v>14</v>
      </c>
      <c r="G11">
        <v>0.25</v>
      </c>
      <c r="H11">
        <f t="shared" si="8"/>
        <v>0.44999999999999929</v>
      </c>
      <c r="I11">
        <f t="shared" si="0"/>
        <v>0.69999999999999929</v>
      </c>
      <c r="J11">
        <f t="shared" si="1"/>
        <v>14.7</v>
      </c>
      <c r="K11">
        <f t="shared" si="2"/>
        <v>0.59999999999999964</v>
      </c>
      <c r="L11">
        <f t="shared" si="7"/>
        <v>6.6999999999999957</v>
      </c>
      <c r="M11">
        <f t="shared" si="6"/>
        <v>0.60655737704918022</v>
      </c>
      <c r="N11">
        <v>10</v>
      </c>
      <c r="O11">
        <f t="shared" si="3"/>
        <v>3.75</v>
      </c>
      <c r="P11">
        <f t="shared" si="4"/>
        <v>787.5</v>
      </c>
      <c r="Q11">
        <f t="shared" si="5"/>
        <v>0.37344262295081976</v>
      </c>
      <c r="R11">
        <f t="shared" si="9"/>
        <v>2.770819672131148</v>
      </c>
    </row>
    <row r="12" spans="1:18" x14ac:dyDescent="0.3">
      <c r="A12" t="s">
        <v>4</v>
      </c>
      <c r="B12" s="1">
        <v>45083</v>
      </c>
      <c r="C12" t="s">
        <v>8</v>
      </c>
      <c r="D12" t="s">
        <v>11</v>
      </c>
      <c r="E12">
        <v>1</v>
      </c>
      <c r="F12">
        <v>14.1</v>
      </c>
      <c r="G12">
        <v>0.25</v>
      </c>
      <c r="H12">
        <f t="shared" si="8"/>
        <v>0.34999999999999964</v>
      </c>
      <c r="I12">
        <f t="shared" si="0"/>
        <v>0.59999999999999964</v>
      </c>
      <c r="J12">
        <f t="shared" si="1"/>
        <v>14.7</v>
      </c>
      <c r="K12">
        <f t="shared" si="2"/>
        <v>1.0999999999999996</v>
      </c>
      <c r="L12">
        <f t="shared" si="7"/>
        <v>7.7999999999999954</v>
      </c>
      <c r="M12">
        <f t="shared" si="6"/>
        <v>0.60655737704918022</v>
      </c>
      <c r="N12">
        <v>11</v>
      </c>
      <c r="O12">
        <f t="shared" si="3"/>
        <v>4</v>
      </c>
      <c r="P12">
        <f t="shared" si="4"/>
        <v>840</v>
      </c>
      <c r="Q12">
        <f t="shared" si="5"/>
        <v>0.37344262295081976</v>
      </c>
      <c r="R12">
        <f t="shared" si="9"/>
        <v>3.1442622950819676</v>
      </c>
    </row>
    <row r="13" spans="1:18" x14ac:dyDescent="0.3">
      <c r="A13" t="s">
        <v>5</v>
      </c>
      <c r="B13" s="1">
        <v>45084</v>
      </c>
      <c r="C13" t="s">
        <v>8</v>
      </c>
      <c r="D13" t="s">
        <v>11</v>
      </c>
      <c r="E13">
        <v>1</v>
      </c>
      <c r="F13">
        <v>13.6</v>
      </c>
      <c r="G13">
        <v>0</v>
      </c>
      <c r="H13">
        <f t="shared" si="8"/>
        <v>1.0999999999999996</v>
      </c>
      <c r="I13">
        <f t="shared" si="0"/>
        <v>1.0999999999999996</v>
      </c>
      <c r="J13">
        <f t="shared" si="1"/>
        <v>14.7</v>
      </c>
      <c r="K13">
        <f t="shared" si="2"/>
        <v>1</v>
      </c>
      <c r="L13">
        <f t="shared" si="7"/>
        <v>8.7999999999999954</v>
      </c>
      <c r="M13">
        <f t="shared" si="6"/>
        <v>0.60655737704918022</v>
      </c>
      <c r="N13">
        <v>12</v>
      </c>
      <c r="O13">
        <f t="shared" si="3"/>
        <v>4</v>
      </c>
      <c r="P13">
        <f t="shared" si="4"/>
        <v>840</v>
      </c>
      <c r="Q13">
        <f t="shared" si="5"/>
        <v>0.37344262295081976</v>
      </c>
      <c r="R13">
        <f t="shared" si="9"/>
        <v>3.5177049180327873</v>
      </c>
    </row>
    <row r="14" spans="1:18" x14ac:dyDescent="0.3">
      <c r="A14" t="s">
        <v>6</v>
      </c>
      <c r="B14" s="1">
        <v>45085</v>
      </c>
      <c r="C14" t="s">
        <v>8</v>
      </c>
      <c r="D14" t="s">
        <v>11</v>
      </c>
      <c r="E14">
        <v>1</v>
      </c>
      <c r="F14">
        <v>13.7</v>
      </c>
      <c r="G14">
        <v>0.25</v>
      </c>
      <c r="H14">
        <f t="shared" si="8"/>
        <v>0.75</v>
      </c>
      <c r="I14">
        <f t="shared" si="0"/>
        <v>1</v>
      </c>
      <c r="J14">
        <f t="shared" si="1"/>
        <v>14.7</v>
      </c>
      <c r="K14">
        <f t="shared" si="2"/>
        <v>1</v>
      </c>
      <c r="L14">
        <f t="shared" si="7"/>
        <v>9.7999999999999954</v>
      </c>
      <c r="M14">
        <f t="shared" si="6"/>
        <v>0.60655737704918022</v>
      </c>
      <c r="N14">
        <v>13</v>
      </c>
      <c r="O14">
        <f t="shared" si="3"/>
        <v>4.25</v>
      </c>
      <c r="P14">
        <f t="shared" si="4"/>
        <v>892.5</v>
      </c>
      <c r="Q14">
        <f t="shared" si="5"/>
        <v>0.37344262295081976</v>
      </c>
      <c r="R14">
        <f t="shared" si="9"/>
        <v>3.8911475409836069</v>
      </c>
    </row>
    <row r="15" spans="1:18" x14ac:dyDescent="0.3">
      <c r="A15" t="s">
        <v>0</v>
      </c>
      <c r="B15" s="1">
        <v>45086</v>
      </c>
      <c r="C15" t="s">
        <v>8</v>
      </c>
      <c r="D15" t="s">
        <v>11</v>
      </c>
      <c r="E15">
        <v>1</v>
      </c>
      <c r="F15">
        <v>13.7</v>
      </c>
      <c r="G15">
        <v>0.25</v>
      </c>
      <c r="H15">
        <f t="shared" si="8"/>
        <v>0.75</v>
      </c>
      <c r="I15">
        <f t="shared" si="0"/>
        <v>1</v>
      </c>
      <c r="J15">
        <f t="shared" si="1"/>
        <v>14.7</v>
      </c>
      <c r="K15">
        <f t="shared" si="2"/>
        <v>1.0999999999999996</v>
      </c>
      <c r="L15">
        <f t="shared" si="7"/>
        <v>10.899999999999995</v>
      </c>
      <c r="M15">
        <f t="shared" si="6"/>
        <v>0.60655737704918022</v>
      </c>
      <c r="N15">
        <v>14</v>
      </c>
      <c r="O15">
        <f t="shared" si="3"/>
        <v>4.5</v>
      </c>
      <c r="P15">
        <f t="shared" si="4"/>
        <v>945</v>
      </c>
      <c r="Q15">
        <f t="shared" si="5"/>
        <v>0.37344262295081976</v>
      </c>
      <c r="R15">
        <f t="shared" si="9"/>
        <v>4.264590163934427</v>
      </c>
    </row>
    <row r="16" spans="1:18" x14ac:dyDescent="0.3">
      <c r="A16" t="s">
        <v>1</v>
      </c>
      <c r="B16" s="1">
        <v>45087</v>
      </c>
      <c r="C16" t="s">
        <v>8</v>
      </c>
      <c r="D16" t="s">
        <v>11</v>
      </c>
      <c r="E16">
        <v>1</v>
      </c>
      <c r="F16">
        <v>13.6</v>
      </c>
      <c r="G16">
        <v>0</v>
      </c>
      <c r="H16">
        <f t="shared" si="8"/>
        <v>1.0999999999999996</v>
      </c>
      <c r="I16">
        <f t="shared" si="0"/>
        <v>1.0999999999999996</v>
      </c>
      <c r="J16">
        <f t="shared" si="1"/>
        <v>14.7</v>
      </c>
      <c r="K16">
        <f t="shared" si="2"/>
        <v>1.2999999999999989</v>
      </c>
      <c r="L16">
        <f t="shared" si="7"/>
        <v>12.199999999999994</v>
      </c>
      <c r="M16">
        <f t="shared" si="6"/>
        <v>0.60655737704918022</v>
      </c>
      <c r="N16">
        <v>15</v>
      </c>
      <c r="O16">
        <f t="shared" si="3"/>
        <v>4.5</v>
      </c>
      <c r="P16">
        <f t="shared" si="4"/>
        <v>945</v>
      </c>
      <c r="Q16">
        <f t="shared" si="5"/>
        <v>0.37344262295081976</v>
      </c>
      <c r="R16">
        <f t="shared" si="9"/>
        <v>4.6380327868852467</v>
      </c>
    </row>
    <row r="17" spans="1:18" x14ac:dyDescent="0.3">
      <c r="A17" t="s">
        <v>2</v>
      </c>
      <c r="B17" s="1">
        <v>45088</v>
      </c>
      <c r="C17" t="s">
        <v>8</v>
      </c>
      <c r="D17" t="s">
        <v>11</v>
      </c>
      <c r="E17">
        <v>1</v>
      </c>
      <c r="F17">
        <v>13.4</v>
      </c>
      <c r="G17">
        <v>0</v>
      </c>
      <c r="H17">
        <f>14.5-F17-G17</f>
        <v>1.0999999999999996</v>
      </c>
      <c r="I17">
        <f t="shared" si="0"/>
        <v>1.0999999999999996</v>
      </c>
      <c r="J17">
        <f t="shared" si="1"/>
        <v>14.5</v>
      </c>
      <c r="K17">
        <f t="shared" si="2"/>
        <v>1</v>
      </c>
      <c r="L17">
        <f t="shared" si="7"/>
        <v>13.199999999999994</v>
      </c>
      <c r="M17">
        <f t="shared" si="6"/>
        <v>0.57377049180327877</v>
      </c>
      <c r="N17">
        <v>16</v>
      </c>
      <c r="O17">
        <f t="shared" si="3"/>
        <v>4.5</v>
      </c>
      <c r="P17">
        <f t="shared" si="4"/>
        <v>945</v>
      </c>
      <c r="Q17">
        <f t="shared" si="5"/>
        <v>0.40622950819672121</v>
      </c>
      <c r="R17">
        <f t="shared" si="9"/>
        <v>5.0442622950819676</v>
      </c>
    </row>
    <row r="18" spans="1:18" x14ac:dyDescent="0.3">
      <c r="A18" t="s">
        <v>3</v>
      </c>
      <c r="B18" s="1">
        <v>45089</v>
      </c>
      <c r="C18" t="s">
        <v>8</v>
      </c>
      <c r="D18" t="s">
        <v>11</v>
      </c>
      <c r="E18">
        <v>1</v>
      </c>
      <c r="F18">
        <v>13.5</v>
      </c>
      <c r="G18">
        <v>0.5</v>
      </c>
      <c r="H18">
        <f>14.5-F18-G18</f>
        <v>0.5</v>
      </c>
      <c r="I18">
        <f t="shared" si="0"/>
        <v>1</v>
      </c>
      <c r="J18">
        <f t="shared" si="1"/>
        <v>14.5</v>
      </c>
      <c r="K18">
        <f t="shared" si="2"/>
        <v>0.40000000000000036</v>
      </c>
      <c r="L18">
        <f t="shared" si="7"/>
        <v>13.599999999999994</v>
      </c>
      <c r="M18">
        <f t="shared" si="6"/>
        <v>0.57377049180327877</v>
      </c>
      <c r="N18">
        <v>17</v>
      </c>
      <c r="O18">
        <f t="shared" si="3"/>
        <v>5</v>
      </c>
      <c r="P18">
        <f t="shared" si="4"/>
        <v>1050</v>
      </c>
      <c r="Q18">
        <f t="shared" si="5"/>
        <v>0.40622950819672121</v>
      </c>
      <c r="R18">
        <f t="shared" si="9"/>
        <v>5.4504918032786884</v>
      </c>
    </row>
    <row r="19" spans="1:18" x14ac:dyDescent="0.3">
      <c r="A19" t="s">
        <v>4</v>
      </c>
      <c r="B19" s="1">
        <v>45090</v>
      </c>
      <c r="C19" t="s">
        <v>8</v>
      </c>
      <c r="D19" t="s">
        <v>11</v>
      </c>
      <c r="E19">
        <v>1</v>
      </c>
      <c r="F19">
        <v>14.1</v>
      </c>
      <c r="G19">
        <v>0</v>
      </c>
      <c r="H19">
        <v>0</v>
      </c>
      <c r="I19">
        <f t="shared" si="0"/>
        <v>0</v>
      </c>
      <c r="J19">
        <f t="shared" si="1"/>
        <v>14.1</v>
      </c>
      <c r="K19">
        <f t="shared" si="2"/>
        <v>0.90000000000000036</v>
      </c>
      <c r="L19">
        <f t="shared" si="7"/>
        <v>14.499999999999995</v>
      </c>
      <c r="M19">
        <f t="shared" si="6"/>
        <v>0.50819672131147542</v>
      </c>
      <c r="N19">
        <v>18</v>
      </c>
      <c r="O19">
        <f t="shared" si="3"/>
        <v>5</v>
      </c>
      <c r="P19">
        <f t="shared" si="4"/>
        <v>1050</v>
      </c>
      <c r="Q19">
        <f t="shared" si="5"/>
        <v>0.47180327868852456</v>
      </c>
      <c r="R19">
        <f t="shared" si="9"/>
        <v>5.9222950819672127</v>
      </c>
    </row>
    <row r="20" spans="1:18" x14ac:dyDescent="0.3">
      <c r="A20" t="s">
        <v>5</v>
      </c>
      <c r="B20" s="1">
        <v>45091</v>
      </c>
      <c r="C20" t="s">
        <v>8</v>
      </c>
      <c r="D20" t="s">
        <v>11</v>
      </c>
      <c r="E20">
        <v>1</v>
      </c>
      <c r="F20">
        <v>13.2</v>
      </c>
      <c r="G20">
        <v>0</v>
      </c>
      <c r="H20">
        <v>0</v>
      </c>
      <c r="I20">
        <f t="shared" si="0"/>
        <v>0</v>
      </c>
      <c r="J20">
        <f t="shared" si="1"/>
        <v>13.2</v>
      </c>
      <c r="K20">
        <f t="shared" si="2"/>
        <v>1.0999999999999996</v>
      </c>
      <c r="L20">
        <f t="shared" si="7"/>
        <v>15.599999999999994</v>
      </c>
      <c r="M20">
        <f t="shared" si="6"/>
        <v>0.36065573770491793</v>
      </c>
      <c r="N20">
        <v>19</v>
      </c>
      <c r="O20">
        <f t="shared" si="3"/>
        <v>5</v>
      </c>
      <c r="P20">
        <f t="shared" si="4"/>
        <v>1050</v>
      </c>
      <c r="Q20">
        <f t="shared" si="5"/>
        <v>0.61934426229508199</v>
      </c>
      <c r="R20">
        <f t="shared" si="9"/>
        <v>6.5416393442622951</v>
      </c>
    </row>
    <row r="21" spans="1:18" x14ac:dyDescent="0.3">
      <c r="A21" t="s">
        <v>6</v>
      </c>
      <c r="B21" s="1">
        <v>45092</v>
      </c>
      <c r="C21" t="s">
        <v>8</v>
      </c>
      <c r="D21" t="s">
        <v>11</v>
      </c>
      <c r="E21">
        <v>1</v>
      </c>
      <c r="F21">
        <v>12.1</v>
      </c>
      <c r="G21">
        <v>0.5</v>
      </c>
      <c r="H21">
        <f>14-F21-G21</f>
        <v>1.4000000000000004</v>
      </c>
      <c r="I21">
        <f t="shared" si="0"/>
        <v>1.9000000000000004</v>
      </c>
      <c r="J21">
        <f t="shared" si="1"/>
        <v>14</v>
      </c>
      <c r="K21">
        <f t="shared" si="2"/>
        <v>1</v>
      </c>
      <c r="L21">
        <f t="shared" si="7"/>
        <v>16.599999999999994</v>
      </c>
      <c r="M21">
        <f t="shared" si="6"/>
        <v>0.49180327868852464</v>
      </c>
      <c r="N21">
        <v>20</v>
      </c>
      <c r="O21">
        <f t="shared" si="3"/>
        <v>5.5</v>
      </c>
      <c r="P21">
        <f t="shared" si="4"/>
        <v>1155</v>
      </c>
      <c r="Q21">
        <f t="shared" si="5"/>
        <v>0.48819672131147535</v>
      </c>
      <c r="R21">
        <f t="shared" si="9"/>
        <v>7.0298360655737708</v>
      </c>
    </row>
    <row r="22" spans="1:18" x14ac:dyDescent="0.3">
      <c r="A22" t="s">
        <v>0</v>
      </c>
      <c r="B22" s="1">
        <v>45093</v>
      </c>
      <c r="C22" t="s">
        <v>8</v>
      </c>
      <c r="D22" t="s">
        <v>11</v>
      </c>
      <c r="E22">
        <v>1</v>
      </c>
      <c r="F22">
        <v>13</v>
      </c>
      <c r="G22">
        <v>0</v>
      </c>
      <c r="H22">
        <f>14-F22-G22</f>
        <v>1</v>
      </c>
      <c r="I22">
        <f t="shared" si="0"/>
        <v>1</v>
      </c>
      <c r="J22">
        <f t="shared" si="1"/>
        <v>14</v>
      </c>
      <c r="K22">
        <f t="shared" si="2"/>
        <v>1</v>
      </c>
      <c r="L22">
        <f t="shared" si="7"/>
        <v>17.599999999999994</v>
      </c>
      <c r="M22">
        <f t="shared" si="6"/>
        <v>0.49180327868852464</v>
      </c>
      <c r="N22">
        <v>21</v>
      </c>
      <c r="O22">
        <f t="shared" si="3"/>
        <v>5.5</v>
      </c>
      <c r="P22">
        <f t="shared" si="4"/>
        <v>1155</v>
      </c>
      <c r="Q22">
        <f t="shared" si="5"/>
        <v>0.48819672131147535</v>
      </c>
      <c r="R22">
        <f t="shared" si="9"/>
        <v>7.5180327868852466</v>
      </c>
    </row>
    <row r="23" spans="1:18" x14ac:dyDescent="0.3">
      <c r="A23" t="s">
        <v>1</v>
      </c>
      <c r="B23" s="1">
        <v>45094</v>
      </c>
      <c r="C23" t="s">
        <v>8</v>
      </c>
      <c r="D23" t="s">
        <v>11</v>
      </c>
      <c r="E23">
        <v>1</v>
      </c>
      <c r="F23">
        <v>13</v>
      </c>
      <c r="G23">
        <v>0</v>
      </c>
      <c r="H23">
        <f>14-F23-G23</f>
        <v>1</v>
      </c>
      <c r="I23">
        <f t="shared" si="0"/>
        <v>1</v>
      </c>
      <c r="J23">
        <f t="shared" si="1"/>
        <v>14</v>
      </c>
      <c r="K23">
        <f t="shared" si="2"/>
        <v>0.80000000000000071</v>
      </c>
      <c r="L23">
        <f t="shared" si="7"/>
        <v>18.399999999999995</v>
      </c>
      <c r="M23">
        <f t="shared" si="6"/>
        <v>0.49180327868852464</v>
      </c>
      <c r="N23">
        <v>22</v>
      </c>
      <c r="O23">
        <f t="shared" si="3"/>
        <v>5.5</v>
      </c>
      <c r="P23">
        <f t="shared" si="4"/>
        <v>1155</v>
      </c>
      <c r="Q23">
        <f t="shared" si="5"/>
        <v>0.48819672131147535</v>
      </c>
      <c r="R23">
        <f t="shared" si="9"/>
        <v>8.0062295081967214</v>
      </c>
    </row>
    <row r="24" spans="1:18" x14ac:dyDescent="0.3">
      <c r="A24" t="s">
        <v>2</v>
      </c>
      <c r="B24" s="1">
        <v>45095</v>
      </c>
      <c r="C24" t="s">
        <v>8</v>
      </c>
      <c r="D24" t="s">
        <v>11</v>
      </c>
      <c r="E24">
        <v>1</v>
      </c>
      <c r="F24">
        <v>13.2</v>
      </c>
      <c r="G24">
        <v>0</v>
      </c>
      <c r="H24">
        <f>14-F24-G24</f>
        <v>0.80000000000000071</v>
      </c>
      <c r="I24">
        <f t="shared" si="0"/>
        <v>0.80000000000000071</v>
      </c>
      <c r="J24">
        <f t="shared" si="1"/>
        <v>14</v>
      </c>
      <c r="K24">
        <f t="shared" si="2"/>
        <v>1.0999999999999996</v>
      </c>
      <c r="L24">
        <f t="shared" si="7"/>
        <v>19.499999999999993</v>
      </c>
      <c r="M24">
        <f t="shared" si="6"/>
        <v>0.49180327868852464</v>
      </c>
      <c r="N24">
        <v>23</v>
      </c>
      <c r="O24">
        <f t="shared" si="3"/>
        <v>5.5</v>
      </c>
      <c r="P24">
        <f t="shared" si="4"/>
        <v>1155</v>
      </c>
      <c r="Q24">
        <f t="shared" si="5"/>
        <v>0.48819672131147535</v>
      </c>
      <c r="R24">
        <f t="shared" si="9"/>
        <v>8.4944262295081963</v>
      </c>
    </row>
    <row r="25" spans="1:18" x14ac:dyDescent="0.3">
      <c r="A25" t="s">
        <v>3</v>
      </c>
      <c r="B25" s="1">
        <v>45096</v>
      </c>
      <c r="C25" t="s">
        <v>8</v>
      </c>
      <c r="D25" t="s">
        <v>11</v>
      </c>
      <c r="E25">
        <v>1</v>
      </c>
      <c r="F25">
        <v>12.9</v>
      </c>
      <c r="G25">
        <v>0.5</v>
      </c>
      <c r="H25">
        <f>13.9-F25-G25</f>
        <v>0.5</v>
      </c>
      <c r="I25">
        <f t="shared" si="0"/>
        <v>1</v>
      </c>
      <c r="J25">
        <f t="shared" si="1"/>
        <v>13.9</v>
      </c>
      <c r="K25">
        <f t="shared" si="2"/>
        <v>1.3000000000000007</v>
      </c>
      <c r="L25">
        <f t="shared" si="7"/>
        <v>20.799999999999994</v>
      </c>
      <c r="M25">
        <f t="shared" si="6"/>
        <v>0.47540983606557385</v>
      </c>
      <c r="N25">
        <v>24</v>
      </c>
      <c r="O25">
        <f t="shared" si="3"/>
        <v>6</v>
      </c>
      <c r="P25">
        <f t="shared" si="4"/>
        <v>1260</v>
      </c>
      <c r="Q25">
        <f t="shared" si="5"/>
        <v>0.50459016393442613</v>
      </c>
      <c r="R25">
        <f t="shared" si="9"/>
        <v>8.9990163934426217</v>
      </c>
    </row>
    <row r="26" spans="1:18" x14ac:dyDescent="0.3">
      <c r="A26" t="s">
        <v>4</v>
      </c>
      <c r="B26" s="1">
        <v>45097</v>
      </c>
      <c r="C26" t="s">
        <v>8</v>
      </c>
      <c r="D26" t="s">
        <v>11</v>
      </c>
      <c r="E26">
        <v>1</v>
      </c>
      <c r="F26">
        <v>12.6</v>
      </c>
      <c r="G26">
        <v>0</v>
      </c>
      <c r="H26">
        <f>13.8-F26-G26</f>
        <v>1.2000000000000011</v>
      </c>
      <c r="I26">
        <f t="shared" si="0"/>
        <v>1.2000000000000011</v>
      </c>
      <c r="J26">
        <f t="shared" si="1"/>
        <v>13.8</v>
      </c>
      <c r="K26">
        <f t="shared" si="2"/>
        <v>1</v>
      </c>
      <c r="L26">
        <f>L25+K26</f>
        <v>21.799999999999994</v>
      </c>
      <c r="M26">
        <f t="shared" si="6"/>
        <v>0.45901639344262307</v>
      </c>
      <c r="N26">
        <v>25</v>
      </c>
      <c r="O26">
        <f t="shared" si="3"/>
        <v>6</v>
      </c>
      <c r="P26">
        <f t="shared" si="4"/>
        <v>1260</v>
      </c>
      <c r="Q26">
        <f t="shared" si="5"/>
        <v>0.52098360655737697</v>
      </c>
      <c r="R26">
        <f t="shared" si="9"/>
        <v>9.52</v>
      </c>
    </row>
    <row r="27" spans="1:18" x14ac:dyDescent="0.3">
      <c r="A27" t="s">
        <v>5</v>
      </c>
      <c r="B27" s="1">
        <v>45098</v>
      </c>
      <c r="C27" t="s">
        <v>8</v>
      </c>
      <c r="D27" t="s">
        <v>11</v>
      </c>
      <c r="E27">
        <v>1</v>
      </c>
      <c r="F27">
        <v>12.8</v>
      </c>
      <c r="G27">
        <v>0</v>
      </c>
      <c r="H27">
        <f>13.8-F27-G27</f>
        <v>1</v>
      </c>
      <c r="I27">
        <f t="shared" si="0"/>
        <v>1</v>
      </c>
      <c r="J27">
        <f t="shared" si="1"/>
        <v>13.8</v>
      </c>
      <c r="K27">
        <f t="shared" si="2"/>
        <v>1.2000000000000011</v>
      </c>
      <c r="L27">
        <f t="shared" si="7"/>
        <v>22.999999999999993</v>
      </c>
      <c r="M27">
        <f t="shared" si="6"/>
        <v>0.45901639344262307</v>
      </c>
      <c r="N27">
        <v>26</v>
      </c>
      <c r="O27">
        <f t="shared" si="3"/>
        <v>6</v>
      </c>
      <c r="P27">
        <f t="shared" si="4"/>
        <v>1260</v>
      </c>
      <c r="Q27">
        <f t="shared" si="5"/>
        <v>0.52098360655737697</v>
      </c>
      <c r="R27">
        <f t="shared" si="9"/>
        <v>10.040983606557376</v>
      </c>
    </row>
    <row r="28" spans="1:18" x14ac:dyDescent="0.3">
      <c r="A28" t="s">
        <v>6</v>
      </c>
      <c r="B28" s="1">
        <v>45099</v>
      </c>
      <c r="C28" t="s">
        <v>8</v>
      </c>
      <c r="D28" t="s">
        <v>11</v>
      </c>
      <c r="E28">
        <v>1</v>
      </c>
      <c r="F28">
        <v>12.6</v>
      </c>
      <c r="G28">
        <v>0.5</v>
      </c>
      <c r="H28">
        <f>13.8-F28-G28</f>
        <v>0.70000000000000107</v>
      </c>
      <c r="I28">
        <f t="shared" si="0"/>
        <v>1.2000000000000011</v>
      </c>
      <c r="J28">
        <f t="shared" si="1"/>
        <v>13.8</v>
      </c>
      <c r="K28">
        <f t="shared" si="2"/>
        <v>0.80000000000000071</v>
      </c>
      <c r="L28">
        <f t="shared" si="7"/>
        <v>23.799999999999994</v>
      </c>
      <c r="M28">
        <f t="shared" si="6"/>
        <v>0.45901639344262307</v>
      </c>
      <c r="N28">
        <v>27</v>
      </c>
      <c r="O28">
        <f t="shared" si="3"/>
        <v>6.5</v>
      </c>
      <c r="P28">
        <f t="shared" si="4"/>
        <v>1365</v>
      </c>
      <c r="Q28">
        <f t="shared" si="5"/>
        <v>0.52098360655737697</v>
      </c>
      <c r="R28">
        <f t="shared" si="9"/>
        <v>10.561967213114752</v>
      </c>
    </row>
    <row r="29" spans="1:18" x14ac:dyDescent="0.3">
      <c r="A29" t="s">
        <v>0</v>
      </c>
      <c r="B29" s="1">
        <v>45100</v>
      </c>
      <c r="C29" t="s">
        <v>8</v>
      </c>
      <c r="D29" t="s">
        <v>11</v>
      </c>
      <c r="E29">
        <v>1</v>
      </c>
      <c r="F29">
        <v>13</v>
      </c>
      <c r="G29">
        <v>0</v>
      </c>
      <c r="H29">
        <f>13.8-F29-G29</f>
        <v>0.80000000000000071</v>
      </c>
      <c r="I29">
        <f t="shared" si="0"/>
        <v>0.80000000000000071</v>
      </c>
      <c r="J29">
        <f t="shared" si="1"/>
        <v>13.8</v>
      </c>
      <c r="K29">
        <f t="shared" si="2"/>
        <v>0.80000000000000071</v>
      </c>
      <c r="L29">
        <f t="shared" si="7"/>
        <v>24.599999999999994</v>
      </c>
      <c r="M29">
        <f t="shared" si="6"/>
        <v>0.45901639344262307</v>
      </c>
      <c r="N29">
        <v>28</v>
      </c>
      <c r="O29">
        <f t="shared" si="3"/>
        <v>6.5</v>
      </c>
      <c r="P29">
        <f t="shared" si="4"/>
        <v>1365</v>
      </c>
      <c r="Q29">
        <f t="shared" si="5"/>
        <v>0.52098360655737697</v>
      </c>
      <c r="R29">
        <f t="shared" si="9"/>
        <v>11.082950819672128</v>
      </c>
    </row>
    <row r="30" spans="1:18" x14ac:dyDescent="0.3">
      <c r="A30" t="s">
        <v>1</v>
      </c>
      <c r="B30" s="1">
        <v>45101</v>
      </c>
      <c r="C30" t="s">
        <v>8</v>
      </c>
      <c r="D30" t="s">
        <v>11</v>
      </c>
      <c r="E30">
        <v>1</v>
      </c>
      <c r="F30">
        <v>13</v>
      </c>
      <c r="G30">
        <v>0</v>
      </c>
      <c r="H30">
        <f t="shared" ref="H30:H37" si="10">13.5-F30-G30</f>
        <v>0.5</v>
      </c>
      <c r="I30">
        <f t="shared" si="0"/>
        <v>0.5</v>
      </c>
      <c r="J30">
        <f t="shared" si="1"/>
        <v>13.5</v>
      </c>
      <c r="K30">
        <f t="shared" si="2"/>
        <v>0.90000000000000036</v>
      </c>
      <c r="L30">
        <f t="shared" si="7"/>
        <v>25.499999999999993</v>
      </c>
      <c r="M30">
        <f t="shared" si="6"/>
        <v>0.4098360655737705</v>
      </c>
      <c r="N30">
        <v>29</v>
      </c>
      <c r="O30">
        <f t="shared" si="3"/>
        <v>6.5</v>
      </c>
      <c r="P30">
        <f t="shared" si="4"/>
        <v>1365</v>
      </c>
      <c r="Q30">
        <f t="shared" si="5"/>
        <v>0.57016393442622948</v>
      </c>
      <c r="R30">
        <f>R29+Q30</f>
        <v>11.653114754098358</v>
      </c>
    </row>
    <row r="31" spans="1:18" x14ac:dyDescent="0.3">
      <c r="A31" t="s">
        <v>2</v>
      </c>
      <c r="B31" s="1">
        <v>45102</v>
      </c>
      <c r="C31" t="s">
        <v>8</v>
      </c>
      <c r="D31" t="s">
        <v>11</v>
      </c>
      <c r="E31">
        <v>1</v>
      </c>
      <c r="F31">
        <v>12.6</v>
      </c>
      <c r="G31">
        <v>0</v>
      </c>
      <c r="H31">
        <f t="shared" si="10"/>
        <v>0.90000000000000036</v>
      </c>
      <c r="I31">
        <f t="shared" si="0"/>
        <v>0.90000000000000036</v>
      </c>
      <c r="J31">
        <f t="shared" si="1"/>
        <v>13.5</v>
      </c>
      <c r="K31">
        <f t="shared" si="2"/>
        <v>1</v>
      </c>
      <c r="L31">
        <f t="shared" si="7"/>
        <v>26.499999999999993</v>
      </c>
      <c r="M31">
        <f t="shared" si="6"/>
        <v>0.4098360655737705</v>
      </c>
      <c r="N31">
        <v>30</v>
      </c>
      <c r="O31">
        <f t="shared" si="3"/>
        <v>6.5</v>
      </c>
      <c r="P31">
        <f t="shared" si="4"/>
        <v>1365</v>
      </c>
      <c r="Q31">
        <f t="shared" si="5"/>
        <v>0.57016393442622948</v>
      </c>
      <c r="R31">
        <f t="shared" si="9"/>
        <v>12.223278688524587</v>
      </c>
    </row>
    <row r="32" spans="1:18" x14ac:dyDescent="0.3">
      <c r="A32" t="s">
        <v>3</v>
      </c>
      <c r="B32" s="1">
        <v>45103</v>
      </c>
      <c r="C32" t="s">
        <v>8</v>
      </c>
      <c r="D32" t="s">
        <v>11</v>
      </c>
      <c r="E32">
        <v>1</v>
      </c>
      <c r="F32">
        <v>12.5</v>
      </c>
      <c r="G32">
        <v>0.5</v>
      </c>
      <c r="H32">
        <f t="shared" si="10"/>
        <v>0.5</v>
      </c>
      <c r="I32">
        <f t="shared" si="0"/>
        <v>1</v>
      </c>
      <c r="J32">
        <f t="shared" si="1"/>
        <v>13.5</v>
      </c>
      <c r="K32">
        <f t="shared" si="2"/>
        <v>0.69999999999999929</v>
      </c>
      <c r="L32">
        <f t="shared" si="7"/>
        <v>27.199999999999992</v>
      </c>
      <c r="M32">
        <f t="shared" si="6"/>
        <v>0.4098360655737705</v>
      </c>
      <c r="N32">
        <v>31</v>
      </c>
      <c r="O32">
        <f t="shared" si="3"/>
        <v>7</v>
      </c>
      <c r="P32">
        <f t="shared" si="4"/>
        <v>1470</v>
      </c>
      <c r="Q32">
        <f t="shared" si="5"/>
        <v>0.57016393442622948</v>
      </c>
      <c r="R32">
        <f t="shared" si="9"/>
        <v>12.793442622950817</v>
      </c>
    </row>
    <row r="33" spans="1:18" x14ac:dyDescent="0.3">
      <c r="A33" t="s">
        <v>4</v>
      </c>
      <c r="B33" s="1">
        <v>45104</v>
      </c>
      <c r="C33" t="s">
        <v>8</v>
      </c>
      <c r="D33" t="s">
        <v>11</v>
      </c>
      <c r="E33">
        <v>1</v>
      </c>
      <c r="F33">
        <v>12.8</v>
      </c>
      <c r="G33">
        <v>0</v>
      </c>
      <c r="H33">
        <f t="shared" si="10"/>
        <v>0.69999999999999929</v>
      </c>
      <c r="I33">
        <f t="shared" si="0"/>
        <v>0.69999999999999929</v>
      </c>
      <c r="J33">
        <f t="shared" si="1"/>
        <v>13.5</v>
      </c>
      <c r="K33">
        <f t="shared" si="2"/>
        <v>0.90000000000000036</v>
      </c>
      <c r="L33">
        <f>L32+K33</f>
        <v>28.099999999999994</v>
      </c>
      <c r="M33">
        <f t="shared" si="6"/>
        <v>0.4098360655737705</v>
      </c>
      <c r="N33">
        <v>32</v>
      </c>
      <c r="O33">
        <f t="shared" si="3"/>
        <v>7</v>
      </c>
      <c r="P33">
        <f t="shared" si="4"/>
        <v>1470</v>
      </c>
      <c r="Q33">
        <f t="shared" si="5"/>
        <v>0.57016393442622948</v>
      </c>
      <c r="R33">
        <f t="shared" si="9"/>
        <v>13.363606557377047</v>
      </c>
    </row>
    <row r="34" spans="1:18" x14ac:dyDescent="0.3">
      <c r="A34" t="s">
        <v>5</v>
      </c>
      <c r="B34" s="1">
        <v>45105</v>
      </c>
      <c r="C34" t="s">
        <v>8</v>
      </c>
      <c r="D34" t="s">
        <v>11</v>
      </c>
      <c r="E34">
        <v>1</v>
      </c>
      <c r="F34">
        <v>12.6</v>
      </c>
      <c r="G34">
        <v>0</v>
      </c>
      <c r="H34">
        <f t="shared" si="10"/>
        <v>0.90000000000000036</v>
      </c>
      <c r="I34">
        <f t="shared" si="0"/>
        <v>0.90000000000000036</v>
      </c>
      <c r="J34">
        <f t="shared" si="1"/>
        <v>13.5</v>
      </c>
      <c r="K34">
        <f t="shared" si="2"/>
        <v>0.80000000000000071</v>
      </c>
      <c r="L34">
        <f t="shared" si="7"/>
        <v>28.899999999999995</v>
      </c>
      <c r="M34">
        <f t="shared" si="6"/>
        <v>0.4098360655737705</v>
      </c>
      <c r="N34">
        <v>33</v>
      </c>
      <c r="O34">
        <f t="shared" si="3"/>
        <v>7</v>
      </c>
      <c r="P34">
        <f t="shared" si="4"/>
        <v>1470</v>
      </c>
      <c r="Q34">
        <f t="shared" si="5"/>
        <v>0.57016393442622948</v>
      </c>
      <c r="R34">
        <f t="shared" si="9"/>
        <v>13.933770491803276</v>
      </c>
    </row>
    <row r="35" spans="1:18" x14ac:dyDescent="0.3">
      <c r="A35" t="s">
        <v>6</v>
      </c>
      <c r="B35" s="1">
        <v>45106</v>
      </c>
      <c r="C35" t="s">
        <v>8</v>
      </c>
      <c r="D35" t="s">
        <v>11</v>
      </c>
      <c r="E35">
        <v>1</v>
      </c>
      <c r="F35">
        <v>12.7</v>
      </c>
      <c r="G35">
        <v>0.5</v>
      </c>
      <c r="H35">
        <f t="shared" si="10"/>
        <v>0.30000000000000071</v>
      </c>
      <c r="I35">
        <f t="shared" si="0"/>
        <v>0.80000000000000071</v>
      </c>
      <c r="J35">
        <f t="shared" si="1"/>
        <v>13.5</v>
      </c>
      <c r="K35">
        <f t="shared" si="2"/>
        <v>0.90000000000000036</v>
      </c>
      <c r="L35">
        <f t="shared" si="7"/>
        <v>29.799999999999997</v>
      </c>
      <c r="M35">
        <f t="shared" si="6"/>
        <v>0.4098360655737705</v>
      </c>
      <c r="N35">
        <v>34</v>
      </c>
      <c r="O35">
        <f t="shared" si="3"/>
        <v>7.5</v>
      </c>
      <c r="P35">
        <f t="shared" si="4"/>
        <v>1575</v>
      </c>
      <c r="Q35">
        <f t="shared" si="5"/>
        <v>0.57016393442622948</v>
      </c>
      <c r="R35">
        <f t="shared" si="9"/>
        <v>14.503934426229506</v>
      </c>
    </row>
    <row r="36" spans="1:18" x14ac:dyDescent="0.3">
      <c r="A36" t="s">
        <v>0</v>
      </c>
      <c r="B36" s="1">
        <v>45107</v>
      </c>
      <c r="C36" t="s">
        <v>8</v>
      </c>
      <c r="D36" t="s">
        <v>11</v>
      </c>
      <c r="E36">
        <v>1</v>
      </c>
      <c r="F36">
        <v>12.6</v>
      </c>
      <c r="G36">
        <v>0</v>
      </c>
      <c r="H36">
        <f t="shared" si="10"/>
        <v>0.90000000000000036</v>
      </c>
      <c r="I36">
        <f t="shared" si="0"/>
        <v>0.90000000000000036</v>
      </c>
      <c r="J36">
        <f t="shared" si="1"/>
        <v>13.5</v>
      </c>
      <c r="K36">
        <f t="shared" si="2"/>
        <v>0.5</v>
      </c>
      <c r="L36">
        <f t="shared" si="7"/>
        <v>30.299999999999997</v>
      </c>
      <c r="M36">
        <f t="shared" si="6"/>
        <v>0.4098360655737705</v>
      </c>
      <c r="N36">
        <v>35</v>
      </c>
      <c r="O36">
        <f t="shared" si="3"/>
        <v>7.5</v>
      </c>
      <c r="P36">
        <f t="shared" si="4"/>
        <v>1575</v>
      </c>
      <c r="Q36">
        <f t="shared" si="5"/>
        <v>0.57016393442622948</v>
      </c>
      <c r="R36">
        <f t="shared" si="9"/>
        <v>15.074098360655736</v>
      </c>
    </row>
    <row r="37" spans="1:18" x14ac:dyDescent="0.3">
      <c r="A37" t="s">
        <v>1</v>
      </c>
      <c r="B37" s="1">
        <v>45108</v>
      </c>
      <c r="C37" t="s">
        <v>8</v>
      </c>
      <c r="D37" t="s">
        <v>11</v>
      </c>
      <c r="E37">
        <v>1</v>
      </c>
      <c r="F37">
        <v>13</v>
      </c>
      <c r="G37">
        <v>0</v>
      </c>
      <c r="H37">
        <f t="shared" si="10"/>
        <v>0.5</v>
      </c>
      <c r="I37">
        <f t="shared" si="0"/>
        <v>0.5</v>
      </c>
      <c r="J37">
        <f t="shared" si="1"/>
        <v>13.5</v>
      </c>
      <c r="K37">
        <f t="shared" si="2"/>
        <v>0.80000000000000071</v>
      </c>
      <c r="L37">
        <f t="shared" si="7"/>
        <v>31.099999999999998</v>
      </c>
      <c r="M37">
        <f t="shared" si="6"/>
        <v>0.4098360655737705</v>
      </c>
      <c r="N37">
        <v>36</v>
      </c>
      <c r="O37">
        <f t="shared" si="3"/>
        <v>7.5</v>
      </c>
      <c r="P37">
        <f t="shared" si="4"/>
        <v>1575</v>
      </c>
      <c r="Q37">
        <f t="shared" si="5"/>
        <v>0.57016393442622948</v>
      </c>
      <c r="R37">
        <f t="shared" si="9"/>
        <v>15.644262295081965</v>
      </c>
    </row>
    <row r="38" spans="1:18" x14ac:dyDescent="0.3">
      <c r="A38" t="s">
        <v>2</v>
      </c>
      <c r="B38" s="1">
        <v>45109</v>
      </c>
      <c r="C38" t="s">
        <v>8</v>
      </c>
      <c r="D38" t="s">
        <v>11</v>
      </c>
      <c r="E38">
        <v>1</v>
      </c>
      <c r="F38">
        <v>12.7</v>
      </c>
      <c r="G38">
        <v>0</v>
      </c>
      <c r="H38">
        <f>13.1-F38-G38</f>
        <v>0.40000000000000036</v>
      </c>
      <c r="I38">
        <f t="shared" si="0"/>
        <v>0.40000000000000036</v>
      </c>
      <c r="J38">
        <f t="shared" si="1"/>
        <v>13.1</v>
      </c>
      <c r="K38">
        <f t="shared" si="2"/>
        <v>1.0999999999999996</v>
      </c>
      <c r="L38">
        <f t="shared" si="7"/>
        <v>32.199999999999996</v>
      </c>
      <c r="M38">
        <f t="shared" si="6"/>
        <v>0.34426229508196715</v>
      </c>
      <c r="N38">
        <v>37</v>
      </c>
      <c r="O38">
        <f t="shared" si="3"/>
        <v>7.5</v>
      </c>
      <c r="P38">
        <f t="shared" si="4"/>
        <v>1575</v>
      </c>
      <c r="Q38">
        <f t="shared" si="5"/>
        <v>0.63573770491803283</v>
      </c>
      <c r="R38">
        <f t="shared" si="9"/>
        <v>16.279999999999998</v>
      </c>
    </row>
    <row r="39" spans="1:18" x14ac:dyDescent="0.3">
      <c r="A39" t="s">
        <v>3</v>
      </c>
      <c r="B39" s="1">
        <v>45110</v>
      </c>
      <c r="C39" t="s">
        <v>8</v>
      </c>
      <c r="D39" t="s">
        <v>11</v>
      </c>
      <c r="E39">
        <v>1</v>
      </c>
      <c r="F39">
        <v>12</v>
      </c>
      <c r="G39">
        <v>0</v>
      </c>
      <c r="H39">
        <f>13.1-F39-G39</f>
        <v>1.0999999999999996</v>
      </c>
      <c r="I39">
        <f t="shared" si="0"/>
        <v>1.0999999999999996</v>
      </c>
      <c r="J39">
        <f t="shared" si="1"/>
        <v>13.1</v>
      </c>
      <c r="K39">
        <f t="shared" si="2"/>
        <v>1.1999999999999993</v>
      </c>
      <c r="L39">
        <f t="shared" si="7"/>
        <v>33.399999999999991</v>
      </c>
      <c r="M39">
        <f t="shared" si="6"/>
        <v>0.34426229508196715</v>
      </c>
      <c r="N39">
        <v>38</v>
      </c>
      <c r="O39">
        <f t="shared" si="3"/>
        <v>7.5</v>
      </c>
      <c r="P39">
        <f t="shared" si="4"/>
        <v>1575</v>
      </c>
      <c r="Q39">
        <f t="shared" si="5"/>
        <v>0.63573770491803283</v>
      </c>
      <c r="R39">
        <f t="shared" si="9"/>
        <v>16.91573770491803</v>
      </c>
    </row>
    <row r="40" spans="1:18" s="2" customFormat="1" x14ac:dyDescent="0.3">
      <c r="A40" s="2" t="s">
        <v>4</v>
      </c>
      <c r="B40" s="3">
        <v>45111</v>
      </c>
      <c r="C40" s="2" t="s">
        <v>8</v>
      </c>
      <c r="D40" s="2" t="s">
        <v>11</v>
      </c>
      <c r="E40" s="2">
        <v>1</v>
      </c>
      <c r="F40" s="2">
        <v>11.9</v>
      </c>
    </row>
    <row r="41" spans="1:18" x14ac:dyDescent="0.3">
      <c r="A41" t="s">
        <v>1</v>
      </c>
      <c r="B41" s="1">
        <v>45073</v>
      </c>
      <c r="C41" t="s">
        <v>8</v>
      </c>
      <c r="D41" t="s">
        <v>11</v>
      </c>
      <c r="E41">
        <v>2</v>
      </c>
      <c r="F41">
        <v>17</v>
      </c>
      <c r="G41">
        <v>0</v>
      </c>
      <c r="H41">
        <v>0</v>
      </c>
      <c r="I41">
        <f t="shared" ref="I41:I57" si="11">H41+G41</f>
        <v>0</v>
      </c>
      <c r="J41">
        <f t="shared" ref="J41:J78" si="12">I41+F41</f>
        <v>17</v>
      </c>
      <c r="K41">
        <f t="shared" ref="K41:K78" si="13">J41-F42</f>
        <v>0.39999999999999858</v>
      </c>
      <c r="M41">
        <f t="shared" si="6"/>
        <v>0.98360655737704927</v>
      </c>
      <c r="N41">
        <v>1</v>
      </c>
      <c r="O41">
        <v>2.5</v>
      </c>
      <c r="P41">
        <f>O41*210</f>
        <v>525</v>
      </c>
    </row>
    <row r="42" spans="1:18" x14ac:dyDescent="0.3">
      <c r="A42" t="s">
        <v>2</v>
      </c>
      <c r="B42" s="1">
        <v>45074</v>
      </c>
      <c r="C42" t="s">
        <v>8</v>
      </c>
      <c r="D42" t="s">
        <v>11</v>
      </c>
      <c r="E42">
        <v>2</v>
      </c>
      <c r="F42">
        <v>16.600000000000001</v>
      </c>
      <c r="G42">
        <v>0</v>
      </c>
      <c r="H42">
        <v>0</v>
      </c>
      <c r="I42">
        <f t="shared" si="11"/>
        <v>0</v>
      </c>
      <c r="J42">
        <f t="shared" si="12"/>
        <v>16.600000000000001</v>
      </c>
      <c r="K42">
        <f t="shared" si="13"/>
        <v>0.5</v>
      </c>
      <c r="L42">
        <f>K41+K42</f>
        <v>0.89999999999999858</v>
      </c>
      <c r="M42">
        <f t="shared" si="6"/>
        <v>0.91803278688524614</v>
      </c>
      <c r="N42">
        <v>2</v>
      </c>
      <c r="O42">
        <f t="shared" ref="O42:O78" si="14">O41+G42</f>
        <v>2.5</v>
      </c>
      <c r="P42">
        <f t="shared" ref="P42:P78" si="15">O42*210</f>
        <v>525</v>
      </c>
      <c r="Q42">
        <f t="shared" ref="Q42:Q78" si="16">0.98-M42</f>
        <v>6.1967213114753839E-2</v>
      </c>
    </row>
    <row r="43" spans="1:18" x14ac:dyDescent="0.3">
      <c r="A43" t="s">
        <v>3</v>
      </c>
      <c r="B43" s="1">
        <v>45075</v>
      </c>
      <c r="C43" t="s">
        <v>8</v>
      </c>
      <c r="D43" t="s">
        <v>11</v>
      </c>
      <c r="E43">
        <v>2</v>
      </c>
      <c r="F43">
        <v>16.100000000000001</v>
      </c>
      <c r="G43">
        <v>0.25</v>
      </c>
      <c r="H43">
        <v>0</v>
      </c>
      <c r="I43">
        <f t="shared" si="11"/>
        <v>0.25</v>
      </c>
      <c r="J43">
        <f t="shared" si="12"/>
        <v>16.350000000000001</v>
      </c>
      <c r="K43">
        <f t="shared" si="13"/>
        <v>0.65000000000000213</v>
      </c>
      <c r="L43">
        <f>L42+K43</f>
        <v>1.5500000000000007</v>
      </c>
      <c r="M43">
        <f t="shared" si="6"/>
        <v>0.87704918032786916</v>
      </c>
      <c r="N43">
        <v>3</v>
      </c>
      <c r="O43">
        <f t="shared" si="14"/>
        <v>2.75</v>
      </c>
      <c r="P43">
        <f t="shared" si="15"/>
        <v>577.5</v>
      </c>
      <c r="Q43">
        <f t="shared" si="16"/>
        <v>0.10295081967213082</v>
      </c>
      <c r="R43">
        <f>Q42+Q43</f>
        <v>0.16491803278688466</v>
      </c>
    </row>
    <row r="44" spans="1:18" x14ac:dyDescent="0.3">
      <c r="A44" t="s">
        <v>4</v>
      </c>
      <c r="B44" s="1">
        <v>45076</v>
      </c>
      <c r="C44" t="s">
        <v>8</v>
      </c>
      <c r="D44" t="s">
        <v>11</v>
      </c>
      <c r="E44">
        <v>2</v>
      </c>
      <c r="F44">
        <v>15.7</v>
      </c>
      <c r="G44">
        <v>0.25</v>
      </c>
      <c r="H44">
        <v>0</v>
      </c>
      <c r="I44">
        <f t="shared" si="11"/>
        <v>0.25</v>
      </c>
      <c r="J44">
        <f t="shared" si="12"/>
        <v>15.95</v>
      </c>
      <c r="K44">
        <f t="shared" si="13"/>
        <v>0.34999999999999964</v>
      </c>
      <c r="L44">
        <f t="shared" ref="L44:L78" si="17">L43+K44</f>
        <v>1.9000000000000004</v>
      </c>
      <c r="M44">
        <f t="shared" si="6"/>
        <v>0.81147540983606548</v>
      </c>
      <c r="N44">
        <v>4</v>
      </c>
      <c r="O44">
        <f t="shared" si="14"/>
        <v>3</v>
      </c>
      <c r="P44">
        <f t="shared" si="15"/>
        <v>630</v>
      </c>
      <c r="Q44">
        <f t="shared" si="16"/>
        <v>0.16852459016393451</v>
      </c>
      <c r="R44">
        <f>R43+Q44</f>
        <v>0.33344262295081917</v>
      </c>
    </row>
    <row r="45" spans="1:18" x14ac:dyDescent="0.3">
      <c r="A45" t="s">
        <v>5</v>
      </c>
      <c r="B45" s="1">
        <v>45077</v>
      </c>
      <c r="C45" t="s">
        <v>8</v>
      </c>
      <c r="D45" t="s">
        <v>11</v>
      </c>
      <c r="E45">
        <v>2</v>
      </c>
      <c r="F45">
        <v>15.6</v>
      </c>
      <c r="G45">
        <v>0</v>
      </c>
      <c r="H45">
        <v>0</v>
      </c>
      <c r="I45">
        <f t="shared" si="11"/>
        <v>0</v>
      </c>
      <c r="J45">
        <f t="shared" si="12"/>
        <v>15.6</v>
      </c>
      <c r="K45">
        <f t="shared" si="13"/>
        <v>1.0999999999999996</v>
      </c>
      <c r="L45">
        <f t="shared" si="17"/>
        <v>3</v>
      </c>
      <c r="M45">
        <f t="shared" si="6"/>
        <v>0.75409836065573765</v>
      </c>
      <c r="N45">
        <v>5</v>
      </c>
      <c r="O45">
        <f t="shared" si="14"/>
        <v>3</v>
      </c>
      <c r="P45">
        <f t="shared" si="15"/>
        <v>630</v>
      </c>
      <c r="Q45">
        <f t="shared" si="16"/>
        <v>0.22590163934426233</v>
      </c>
      <c r="R45">
        <f t="shared" ref="R45:R78" si="18">R44+Q45</f>
        <v>0.5593442622950815</v>
      </c>
    </row>
    <row r="46" spans="1:18" x14ac:dyDescent="0.3">
      <c r="A46" t="s">
        <v>6</v>
      </c>
      <c r="B46" s="1">
        <v>45078</v>
      </c>
      <c r="C46" t="s">
        <v>8</v>
      </c>
      <c r="D46" t="s">
        <v>11</v>
      </c>
      <c r="E46">
        <v>2</v>
      </c>
      <c r="F46">
        <v>14.5</v>
      </c>
      <c r="G46">
        <v>0.25</v>
      </c>
      <c r="H46">
        <v>0</v>
      </c>
      <c r="I46">
        <f t="shared" si="11"/>
        <v>0.25</v>
      </c>
      <c r="J46">
        <f t="shared" si="12"/>
        <v>14.75</v>
      </c>
      <c r="K46">
        <f t="shared" si="13"/>
        <v>0.25</v>
      </c>
      <c r="L46">
        <f t="shared" si="17"/>
        <v>3.25</v>
      </c>
      <c r="M46">
        <f t="shared" si="6"/>
        <v>0.61475409836065575</v>
      </c>
      <c r="N46">
        <v>6</v>
      </c>
      <c r="O46">
        <f t="shared" si="14"/>
        <v>3.25</v>
      </c>
      <c r="P46">
        <f t="shared" si="15"/>
        <v>682.5</v>
      </c>
      <c r="Q46">
        <f t="shared" si="16"/>
        <v>0.36524590163934423</v>
      </c>
      <c r="R46">
        <f t="shared" si="18"/>
        <v>0.92459016393442572</v>
      </c>
    </row>
    <row r="47" spans="1:18" x14ac:dyDescent="0.3">
      <c r="A47" t="s">
        <v>0</v>
      </c>
      <c r="B47" s="1">
        <v>45079</v>
      </c>
      <c r="C47" t="s">
        <v>8</v>
      </c>
      <c r="D47" t="s">
        <v>11</v>
      </c>
      <c r="E47">
        <v>2</v>
      </c>
      <c r="F47">
        <v>14.5</v>
      </c>
      <c r="G47">
        <v>0.25</v>
      </c>
      <c r="H47">
        <v>0</v>
      </c>
      <c r="I47">
        <f t="shared" si="11"/>
        <v>0.25</v>
      </c>
      <c r="J47">
        <f t="shared" si="12"/>
        <v>14.75</v>
      </c>
      <c r="K47">
        <f t="shared" si="13"/>
        <v>0.34999999999999964</v>
      </c>
      <c r="L47">
        <f t="shared" si="17"/>
        <v>3.5999999999999996</v>
      </c>
      <c r="M47">
        <f t="shared" si="6"/>
        <v>0.61475409836065575</v>
      </c>
      <c r="N47">
        <v>7</v>
      </c>
      <c r="O47">
        <f t="shared" si="14"/>
        <v>3.5</v>
      </c>
      <c r="P47">
        <f t="shared" si="15"/>
        <v>735</v>
      </c>
      <c r="Q47">
        <f t="shared" si="16"/>
        <v>0.36524590163934423</v>
      </c>
      <c r="R47">
        <f t="shared" si="18"/>
        <v>1.28983606557377</v>
      </c>
    </row>
    <row r="48" spans="1:18" x14ac:dyDescent="0.3">
      <c r="A48" t="s">
        <v>1</v>
      </c>
      <c r="B48" s="1">
        <v>45080</v>
      </c>
      <c r="C48" t="s">
        <v>8</v>
      </c>
      <c r="D48" t="s">
        <v>11</v>
      </c>
      <c r="E48">
        <v>2</v>
      </c>
      <c r="F48">
        <v>14.4</v>
      </c>
      <c r="G48">
        <v>0</v>
      </c>
      <c r="H48">
        <f t="shared" ref="H48:H55" si="19">14.7-F48-G48</f>
        <v>0.29999999999999893</v>
      </c>
      <c r="I48">
        <f t="shared" si="11"/>
        <v>0.29999999999999893</v>
      </c>
      <c r="J48">
        <f t="shared" si="12"/>
        <v>14.7</v>
      </c>
      <c r="K48">
        <f t="shared" si="13"/>
        <v>0.5</v>
      </c>
      <c r="L48">
        <f t="shared" si="17"/>
        <v>4.0999999999999996</v>
      </c>
      <c r="M48">
        <f t="shared" si="6"/>
        <v>0.60655737704918022</v>
      </c>
      <c r="N48">
        <v>8</v>
      </c>
      <c r="O48">
        <f t="shared" si="14"/>
        <v>3.5</v>
      </c>
      <c r="P48">
        <f t="shared" si="15"/>
        <v>735</v>
      </c>
      <c r="Q48">
        <f t="shared" si="16"/>
        <v>0.37344262295081976</v>
      </c>
      <c r="R48">
        <f t="shared" si="18"/>
        <v>1.6632786885245898</v>
      </c>
    </row>
    <row r="49" spans="1:18" x14ac:dyDescent="0.3">
      <c r="A49" t="s">
        <v>2</v>
      </c>
      <c r="B49" s="1">
        <v>45081</v>
      </c>
      <c r="C49" t="s">
        <v>8</v>
      </c>
      <c r="D49" t="s">
        <v>11</v>
      </c>
      <c r="E49">
        <v>2</v>
      </c>
      <c r="F49">
        <v>14.2</v>
      </c>
      <c r="G49">
        <v>0</v>
      </c>
      <c r="H49">
        <f t="shared" si="19"/>
        <v>0.5</v>
      </c>
      <c r="I49">
        <f t="shared" si="11"/>
        <v>0.5</v>
      </c>
      <c r="J49">
        <f t="shared" si="12"/>
        <v>14.7</v>
      </c>
      <c r="K49">
        <f t="shared" si="13"/>
        <v>0.59999999999999964</v>
      </c>
      <c r="L49">
        <f t="shared" si="17"/>
        <v>4.6999999999999993</v>
      </c>
      <c r="M49">
        <f t="shared" si="6"/>
        <v>0.60655737704918022</v>
      </c>
      <c r="N49">
        <v>9</v>
      </c>
      <c r="O49">
        <f t="shared" si="14"/>
        <v>3.5</v>
      </c>
      <c r="P49">
        <f t="shared" si="15"/>
        <v>735</v>
      </c>
      <c r="Q49">
        <f t="shared" si="16"/>
        <v>0.37344262295081976</v>
      </c>
      <c r="R49">
        <f t="shared" si="18"/>
        <v>2.0367213114754095</v>
      </c>
    </row>
    <row r="50" spans="1:18" x14ac:dyDescent="0.3">
      <c r="A50" t="s">
        <v>3</v>
      </c>
      <c r="B50" s="1">
        <v>45082</v>
      </c>
      <c r="C50" t="s">
        <v>8</v>
      </c>
      <c r="D50" t="s">
        <v>11</v>
      </c>
      <c r="E50">
        <v>2</v>
      </c>
      <c r="F50">
        <v>14.1</v>
      </c>
      <c r="G50">
        <v>0.25</v>
      </c>
      <c r="H50">
        <f t="shared" si="19"/>
        <v>0.34999999999999964</v>
      </c>
      <c r="I50">
        <f t="shared" si="11"/>
        <v>0.59999999999999964</v>
      </c>
      <c r="J50">
        <f t="shared" si="12"/>
        <v>14.7</v>
      </c>
      <c r="K50">
        <f t="shared" si="13"/>
        <v>0.39999999999999858</v>
      </c>
      <c r="L50">
        <f t="shared" si="17"/>
        <v>5.0999999999999979</v>
      </c>
      <c r="M50">
        <f t="shared" si="6"/>
        <v>0.60655737704918022</v>
      </c>
      <c r="N50">
        <v>10</v>
      </c>
      <c r="O50">
        <f t="shared" si="14"/>
        <v>3.75</v>
      </c>
      <c r="P50">
        <f t="shared" si="15"/>
        <v>787.5</v>
      </c>
      <c r="Q50">
        <f t="shared" si="16"/>
        <v>0.37344262295081976</v>
      </c>
      <c r="R50">
        <f t="shared" si="18"/>
        <v>2.4101639344262291</v>
      </c>
    </row>
    <row r="51" spans="1:18" x14ac:dyDescent="0.3">
      <c r="A51" t="s">
        <v>4</v>
      </c>
      <c r="B51" s="1">
        <v>45083</v>
      </c>
      <c r="C51" t="s">
        <v>8</v>
      </c>
      <c r="D51" t="s">
        <v>11</v>
      </c>
      <c r="E51">
        <v>2</v>
      </c>
      <c r="F51">
        <v>14.3</v>
      </c>
      <c r="G51">
        <v>0.25</v>
      </c>
      <c r="H51">
        <f t="shared" si="19"/>
        <v>0.14999999999999858</v>
      </c>
      <c r="I51">
        <f t="shared" si="11"/>
        <v>0.39999999999999858</v>
      </c>
      <c r="J51">
        <f t="shared" si="12"/>
        <v>14.7</v>
      </c>
      <c r="K51">
        <f t="shared" si="13"/>
        <v>0.89999999999999858</v>
      </c>
      <c r="L51">
        <f t="shared" si="17"/>
        <v>5.9999999999999964</v>
      </c>
      <c r="M51">
        <f t="shared" si="6"/>
        <v>0.60655737704918022</v>
      </c>
      <c r="N51">
        <v>11</v>
      </c>
      <c r="O51">
        <f t="shared" si="14"/>
        <v>4</v>
      </c>
      <c r="P51">
        <f t="shared" si="15"/>
        <v>840</v>
      </c>
      <c r="Q51">
        <f t="shared" si="16"/>
        <v>0.37344262295081976</v>
      </c>
      <c r="R51">
        <f t="shared" si="18"/>
        <v>2.7836065573770488</v>
      </c>
    </row>
    <row r="52" spans="1:18" x14ac:dyDescent="0.3">
      <c r="A52" t="s">
        <v>5</v>
      </c>
      <c r="B52" s="1">
        <v>45084</v>
      </c>
      <c r="C52" t="s">
        <v>8</v>
      </c>
      <c r="D52" t="s">
        <v>11</v>
      </c>
      <c r="E52">
        <v>2</v>
      </c>
      <c r="F52">
        <v>13.8</v>
      </c>
      <c r="G52">
        <v>0</v>
      </c>
      <c r="H52">
        <f t="shared" si="19"/>
        <v>0.89999999999999858</v>
      </c>
      <c r="I52">
        <f t="shared" si="11"/>
        <v>0.89999999999999858</v>
      </c>
      <c r="J52">
        <f t="shared" si="12"/>
        <v>14.7</v>
      </c>
      <c r="K52">
        <f t="shared" si="13"/>
        <v>0.69999999999999929</v>
      </c>
      <c r="L52">
        <f t="shared" si="17"/>
        <v>6.6999999999999957</v>
      </c>
      <c r="M52">
        <f t="shared" si="6"/>
        <v>0.60655737704918022</v>
      </c>
      <c r="N52">
        <v>12</v>
      </c>
      <c r="O52">
        <f t="shared" si="14"/>
        <v>4</v>
      </c>
      <c r="P52">
        <f t="shared" si="15"/>
        <v>840</v>
      </c>
      <c r="Q52">
        <f t="shared" si="16"/>
        <v>0.37344262295081976</v>
      </c>
      <c r="R52">
        <f t="shared" si="18"/>
        <v>3.1570491803278684</v>
      </c>
    </row>
    <row r="53" spans="1:18" x14ac:dyDescent="0.3">
      <c r="A53" t="s">
        <v>6</v>
      </c>
      <c r="B53" s="1">
        <v>45085</v>
      </c>
      <c r="C53" t="s">
        <v>8</v>
      </c>
      <c r="D53" t="s">
        <v>11</v>
      </c>
      <c r="E53">
        <v>2</v>
      </c>
      <c r="F53">
        <v>14</v>
      </c>
      <c r="G53">
        <v>0.25</v>
      </c>
      <c r="H53">
        <f t="shared" si="19"/>
        <v>0.44999999999999929</v>
      </c>
      <c r="I53">
        <f t="shared" si="11"/>
        <v>0.69999999999999929</v>
      </c>
      <c r="J53">
        <f t="shared" si="12"/>
        <v>14.7</v>
      </c>
      <c r="K53">
        <f t="shared" si="13"/>
        <v>0.79999999999999893</v>
      </c>
      <c r="L53">
        <f t="shared" si="17"/>
        <v>7.4999999999999947</v>
      </c>
      <c r="M53">
        <f t="shared" si="6"/>
        <v>0.60655737704918022</v>
      </c>
      <c r="N53">
        <v>13</v>
      </c>
      <c r="O53">
        <f t="shared" si="14"/>
        <v>4.25</v>
      </c>
      <c r="P53">
        <f t="shared" si="15"/>
        <v>892.5</v>
      </c>
      <c r="Q53">
        <f t="shared" si="16"/>
        <v>0.37344262295081976</v>
      </c>
      <c r="R53">
        <f t="shared" si="18"/>
        <v>3.5304918032786881</v>
      </c>
    </row>
    <row r="54" spans="1:18" x14ac:dyDescent="0.3">
      <c r="A54" t="s">
        <v>0</v>
      </c>
      <c r="B54" s="1">
        <v>45086</v>
      </c>
      <c r="C54" t="s">
        <v>8</v>
      </c>
      <c r="D54" t="s">
        <v>11</v>
      </c>
      <c r="E54">
        <v>2</v>
      </c>
      <c r="F54">
        <v>13.9</v>
      </c>
      <c r="G54">
        <v>0.25</v>
      </c>
      <c r="H54">
        <f t="shared" si="19"/>
        <v>0.54999999999999893</v>
      </c>
      <c r="I54">
        <f t="shared" si="11"/>
        <v>0.79999999999999893</v>
      </c>
      <c r="J54">
        <f t="shared" si="12"/>
        <v>14.7</v>
      </c>
      <c r="K54">
        <f t="shared" si="13"/>
        <v>1.1999999999999993</v>
      </c>
      <c r="L54">
        <f t="shared" si="17"/>
        <v>8.699999999999994</v>
      </c>
      <c r="M54">
        <f t="shared" si="6"/>
        <v>0.60655737704918022</v>
      </c>
      <c r="N54">
        <v>14</v>
      </c>
      <c r="O54">
        <f t="shared" si="14"/>
        <v>4.5</v>
      </c>
      <c r="P54">
        <f t="shared" si="15"/>
        <v>945</v>
      </c>
      <c r="Q54">
        <f t="shared" si="16"/>
        <v>0.37344262295081976</v>
      </c>
      <c r="R54">
        <f t="shared" si="18"/>
        <v>3.9039344262295077</v>
      </c>
    </row>
    <row r="55" spans="1:18" x14ac:dyDescent="0.3">
      <c r="A55" t="s">
        <v>1</v>
      </c>
      <c r="B55" s="1">
        <v>45087</v>
      </c>
      <c r="C55" t="s">
        <v>8</v>
      </c>
      <c r="D55" t="s">
        <v>11</v>
      </c>
      <c r="E55">
        <v>2</v>
      </c>
      <c r="F55">
        <v>13.5</v>
      </c>
      <c r="G55">
        <v>0</v>
      </c>
      <c r="H55">
        <f t="shared" si="19"/>
        <v>1.1999999999999993</v>
      </c>
      <c r="I55">
        <f t="shared" si="11"/>
        <v>1.1999999999999993</v>
      </c>
      <c r="J55">
        <f t="shared" si="12"/>
        <v>14.7</v>
      </c>
      <c r="K55">
        <f t="shared" si="13"/>
        <v>1.1999999999999993</v>
      </c>
      <c r="L55">
        <f t="shared" si="17"/>
        <v>9.8999999999999932</v>
      </c>
      <c r="M55">
        <f t="shared" si="6"/>
        <v>0.60655737704918022</v>
      </c>
      <c r="N55">
        <v>15</v>
      </c>
      <c r="O55">
        <f t="shared" si="14"/>
        <v>4.5</v>
      </c>
      <c r="P55">
        <f t="shared" si="15"/>
        <v>945</v>
      </c>
      <c r="Q55">
        <f t="shared" si="16"/>
        <v>0.37344262295081976</v>
      </c>
      <c r="R55">
        <f t="shared" si="18"/>
        <v>4.2773770491803278</v>
      </c>
    </row>
    <row r="56" spans="1:18" x14ac:dyDescent="0.3">
      <c r="A56" t="s">
        <v>2</v>
      </c>
      <c r="B56" s="1">
        <v>45088</v>
      </c>
      <c r="C56" t="s">
        <v>8</v>
      </c>
      <c r="D56" t="s">
        <v>11</v>
      </c>
      <c r="E56">
        <v>2</v>
      </c>
      <c r="F56">
        <v>13.5</v>
      </c>
      <c r="G56">
        <v>0</v>
      </c>
      <c r="H56">
        <f>14.5-F56-G56</f>
        <v>1</v>
      </c>
      <c r="I56">
        <f t="shared" si="11"/>
        <v>1</v>
      </c>
      <c r="J56">
        <f t="shared" si="12"/>
        <v>14.5</v>
      </c>
      <c r="K56">
        <f t="shared" si="13"/>
        <v>1</v>
      </c>
      <c r="L56">
        <f t="shared" si="17"/>
        <v>10.899999999999993</v>
      </c>
      <c r="M56">
        <f t="shared" si="6"/>
        <v>0.57377049180327877</v>
      </c>
      <c r="N56">
        <v>16</v>
      </c>
      <c r="O56">
        <f t="shared" si="14"/>
        <v>4.5</v>
      </c>
      <c r="P56">
        <f t="shared" si="15"/>
        <v>945</v>
      </c>
      <c r="Q56">
        <f t="shared" si="16"/>
        <v>0.40622950819672121</v>
      </c>
      <c r="R56">
        <f t="shared" si="18"/>
        <v>4.6836065573770487</v>
      </c>
    </row>
    <row r="57" spans="1:18" x14ac:dyDescent="0.3">
      <c r="A57" t="s">
        <v>3</v>
      </c>
      <c r="B57" s="1">
        <v>45089</v>
      </c>
      <c r="C57" t="s">
        <v>8</v>
      </c>
      <c r="D57" t="s">
        <v>11</v>
      </c>
      <c r="E57">
        <v>2</v>
      </c>
      <c r="F57">
        <v>13.5</v>
      </c>
      <c r="G57">
        <v>0.5</v>
      </c>
      <c r="H57">
        <f>14.5-F57-G57</f>
        <v>0.5</v>
      </c>
      <c r="I57">
        <f t="shared" si="11"/>
        <v>1</v>
      </c>
      <c r="J57">
        <f t="shared" si="12"/>
        <v>14.5</v>
      </c>
      <c r="K57">
        <f t="shared" si="13"/>
        <v>0.5</v>
      </c>
      <c r="L57">
        <f t="shared" si="17"/>
        <v>11.399999999999993</v>
      </c>
      <c r="M57">
        <f t="shared" si="6"/>
        <v>0.57377049180327877</v>
      </c>
      <c r="N57">
        <v>17</v>
      </c>
      <c r="O57">
        <f t="shared" si="14"/>
        <v>5</v>
      </c>
      <c r="P57">
        <f t="shared" si="15"/>
        <v>1050</v>
      </c>
      <c r="Q57">
        <f t="shared" si="16"/>
        <v>0.40622950819672121</v>
      </c>
      <c r="R57">
        <f t="shared" si="18"/>
        <v>5.0898360655737696</v>
      </c>
    </row>
    <row r="58" spans="1:18" x14ac:dyDescent="0.3">
      <c r="A58" t="s">
        <v>4</v>
      </c>
      <c r="B58" s="1">
        <v>45090</v>
      </c>
      <c r="C58" t="s">
        <v>8</v>
      </c>
      <c r="D58" t="s">
        <v>11</v>
      </c>
      <c r="E58">
        <v>2</v>
      </c>
      <c r="F58">
        <v>14</v>
      </c>
      <c r="G58">
        <v>0</v>
      </c>
      <c r="H58">
        <f>14.5-F58-G58</f>
        <v>0.5</v>
      </c>
      <c r="I58">
        <v>0</v>
      </c>
      <c r="J58">
        <f t="shared" si="12"/>
        <v>14</v>
      </c>
      <c r="K58">
        <f t="shared" si="13"/>
        <v>0.80000000000000071</v>
      </c>
      <c r="L58">
        <f t="shared" si="17"/>
        <v>12.199999999999994</v>
      </c>
      <c r="M58">
        <f t="shared" si="6"/>
        <v>0.49180327868852464</v>
      </c>
      <c r="N58">
        <v>18</v>
      </c>
      <c r="O58">
        <f t="shared" si="14"/>
        <v>5</v>
      </c>
      <c r="P58">
        <f t="shared" si="15"/>
        <v>1050</v>
      </c>
      <c r="Q58">
        <f t="shared" si="16"/>
        <v>0.48819672131147535</v>
      </c>
      <c r="R58">
        <f t="shared" si="18"/>
        <v>5.5780327868852453</v>
      </c>
    </row>
    <row r="59" spans="1:18" x14ac:dyDescent="0.3">
      <c r="A59" t="s">
        <v>5</v>
      </c>
      <c r="B59" s="1">
        <v>45091</v>
      </c>
      <c r="C59" t="s">
        <v>8</v>
      </c>
      <c r="D59" t="s">
        <v>11</v>
      </c>
      <c r="E59">
        <v>2</v>
      </c>
      <c r="F59">
        <v>13.2</v>
      </c>
      <c r="G59">
        <v>0</v>
      </c>
      <c r="H59">
        <v>0</v>
      </c>
      <c r="I59">
        <f t="shared" ref="I59:I78" si="20">H59+G59</f>
        <v>0</v>
      </c>
      <c r="J59">
        <f t="shared" si="12"/>
        <v>13.2</v>
      </c>
      <c r="K59">
        <f t="shared" si="13"/>
        <v>1</v>
      </c>
      <c r="L59">
        <f t="shared" si="17"/>
        <v>13.199999999999994</v>
      </c>
      <c r="M59">
        <f t="shared" si="6"/>
        <v>0.36065573770491793</v>
      </c>
      <c r="N59">
        <v>19</v>
      </c>
      <c r="O59">
        <f t="shared" si="14"/>
        <v>5</v>
      </c>
      <c r="P59">
        <f t="shared" si="15"/>
        <v>1050</v>
      </c>
      <c r="Q59">
        <f t="shared" si="16"/>
        <v>0.61934426229508199</v>
      </c>
      <c r="R59">
        <f t="shared" si="18"/>
        <v>6.1973770491803268</v>
      </c>
    </row>
    <row r="60" spans="1:18" x14ac:dyDescent="0.3">
      <c r="A60" t="s">
        <v>6</v>
      </c>
      <c r="B60" s="1">
        <v>45092</v>
      </c>
      <c r="C60" t="s">
        <v>8</v>
      </c>
      <c r="D60" t="s">
        <v>11</v>
      </c>
      <c r="E60">
        <v>2</v>
      </c>
      <c r="F60">
        <v>12.2</v>
      </c>
      <c r="G60">
        <v>0.5</v>
      </c>
      <c r="H60">
        <f>14-F60-G60</f>
        <v>1.3000000000000007</v>
      </c>
      <c r="I60">
        <f t="shared" si="20"/>
        <v>1.8000000000000007</v>
      </c>
      <c r="J60">
        <f t="shared" si="12"/>
        <v>14</v>
      </c>
      <c r="K60">
        <f t="shared" si="13"/>
        <v>1.0999999999999996</v>
      </c>
      <c r="L60">
        <f t="shared" si="17"/>
        <v>14.299999999999994</v>
      </c>
      <c r="M60">
        <f t="shared" si="6"/>
        <v>0.49180327868852464</v>
      </c>
      <c r="N60">
        <v>20</v>
      </c>
      <c r="O60">
        <f t="shared" si="14"/>
        <v>5.5</v>
      </c>
      <c r="P60">
        <f t="shared" si="15"/>
        <v>1155</v>
      </c>
      <c r="Q60">
        <f t="shared" si="16"/>
        <v>0.48819672131147535</v>
      </c>
      <c r="R60">
        <f t="shared" si="18"/>
        <v>6.6855737704918026</v>
      </c>
    </row>
    <row r="61" spans="1:18" x14ac:dyDescent="0.3">
      <c r="A61" t="s">
        <v>0</v>
      </c>
      <c r="B61" s="1">
        <v>45093</v>
      </c>
      <c r="C61" t="s">
        <v>8</v>
      </c>
      <c r="D61" t="s">
        <v>11</v>
      </c>
      <c r="E61">
        <v>2</v>
      </c>
      <c r="F61">
        <v>12.9</v>
      </c>
      <c r="G61">
        <v>0</v>
      </c>
      <c r="H61">
        <f>14-F61-G61</f>
        <v>1.0999999999999996</v>
      </c>
      <c r="I61">
        <f t="shared" si="20"/>
        <v>1.0999999999999996</v>
      </c>
      <c r="J61">
        <f t="shared" si="12"/>
        <v>14</v>
      </c>
      <c r="K61">
        <f t="shared" si="13"/>
        <v>0.90000000000000036</v>
      </c>
      <c r="L61">
        <f t="shared" si="17"/>
        <v>15.199999999999994</v>
      </c>
      <c r="M61">
        <f t="shared" si="6"/>
        <v>0.49180327868852464</v>
      </c>
      <c r="N61">
        <v>21</v>
      </c>
      <c r="O61">
        <f t="shared" si="14"/>
        <v>5.5</v>
      </c>
      <c r="P61">
        <f t="shared" si="15"/>
        <v>1155</v>
      </c>
      <c r="Q61">
        <f t="shared" si="16"/>
        <v>0.48819672131147535</v>
      </c>
      <c r="R61">
        <f t="shared" si="18"/>
        <v>7.1737704918032783</v>
      </c>
    </row>
    <row r="62" spans="1:18" x14ac:dyDescent="0.3">
      <c r="A62" t="s">
        <v>1</v>
      </c>
      <c r="B62" s="1">
        <v>45094</v>
      </c>
      <c r="C62" t="s">
        <v>8</v>
      </c>
      <c r="D62" t="s">
        <v>11</v>
      </c>
      <c r="E62">
        <v>2</v>
      </c>
      <c r="F62">
        <v>13.1</v>
      </c>
      <c r="G62">
        <v>0</v>
      </c>
      <c r="H62">
        <f>14-F62-G62</f>
        <v>0.90000000000000036</v>
      </c>
      <c r="I62">
        <f t="shared" si="20"/>
        <v>0.90000000000000036</v>
      </c>
      <c r="J62">
        <f t="shared" si="12"/>
        <v>14</v>
      </c>
      <c r="K62">
        <f t="shared" si="13"/>
        <v>0.69999999999999929</v>
      </c>
      <c r="L62">
        <f t="shared" si="17"/>
        <v>15.899999999999993</v>
      </c>
      <c r="M62">
        <f t="shared" si="6"/>
        <v>0.49180327868852464</v>
      </c>
      <c r="N62">
        <v>22</v>
      </c>
      <c r="O62">
        <f t="shared" si="14"/>
        <v>5.5</v>
      </c>
      <c r="P62">
        <f t="shared" si="15"/>
        <v>1155</v>
      </c>
      <c r="Q62">
        <f t="shared" si="16"/>
        <v>0.48819672131147535</v>
      </c>
      <c r="R62">
        <f t="shared" si="18"/>
        <v>7.661967213114754</v>
      </c>
    </row>
    <row r="63" spans="1:18" x14ac:dyDescent="0.3">
      <c r="A63" t="s">
        <v>2</v>
      </c>
      <c r="B63" s="1">
        <v>45095</v>
      </c>
      <c r="C63" t="s">
        <v>8</v>
      </c>
      <c r="D63" t="s">
        <v>11</v>
      </c>
      <c r="E63">
        <v>2</v>
      </c>
      <c r="F63">
        <v>13.3</v>
      </c>
      <c r="G63">
        <v>0</v>
      </c>
      <c r="H63">
        <f>14-F63-G63</f>
        <v>0.69999999999999929</v>
      </c>
      <c r="I63">
        <f t="shared" si="20"/>
        <v>0.69999999999999929</v>
      </c>
      <c r="J63">
        <f t="shared" si="12"/>
        <v>14</v>
      </c>
      <c r="K63">
        <f t="shared" si="13"/>
        <v>1.0999999999999996</v>
      </c>
      <c r="L63">
        <f t="shared" si="17"/>
        <v>16.999999999999993</v>
      </c>
      <c r="M63">
        <f t="shared" si="6"/>
        <v>0.49180327868852464</v>
      </c>
      <c r="N63">
        <v>23</v>
      </c>
      <c r="O63">
        <f t="shared" si="14"/>
        <v>5.5</v>
      </c>
      <c r="P63">
        <f t="shared" si="15"/>
        <v>1155</v>
      </c>
      <c r="Q63">
        <f t="shared" si="16"/>
        <v>0.48819672131147535</v>
      </c>
      <c r="R63">
        <f t="shared" si="18"/>
        <v>8.1501639344262298</v>
      </c>
    </row>
    <row r="64" spans="1:18" x14ac:dyDescent="0.3">
      <c r="A64" t="s">
        <v>3</v>
      </c>
      <c r="B64" s="1">
        <v>45096</v>
      </c>
      <c r="C64" t="s">
        <v>8</v>
      </c>
      <c r="D64" t="s">
        <v>11</v>
      </c>
      <c r="E64">
        <v>2</v>
      </c>
      <c r="F64">
        <v>12.9</v>
      </c>
      <c r="G64">
        <v>0.5</v>
      </c>
      <c r="H64">
        <f>13.9-F64-G64</f>
        <v>0.5</v>
      </c>
      <c r="I64">
        <f t="shared" si="20"/>
        <v>1</v>
      </c>
      <c r="J64">
        <f t="shared" si="12"/>
        <v>13.9</v>
      </c>
      <c r="K64">
        <f t="shared" si="13"/>
        <v>1.3000000000000007</v>
      </c>
      <c r="L64">
        <f t="shared" si="17"/>
        <v>18.299999999999994</v>
      </c>
      <c r="M64">
        <f t="shared" si="6"/>
        <v>0.47540983606557385</v>
      </c>
      <c r="N64">
        <v>24</v>
      </c>
      <c r="O64">
        <f t="shared" si="14"/>
        <v>6</v>
      </c>
      <c r="P64">
        <f t="shared" si="15"/>
        <v>1260</v>
      </c>
      <c r="Q64">
        <f t="shared" si="16"/>
        <v>0.50459016393442613</v>
      </c>
      <c r="R64">
        <f t="shared" si="18"/>
        <v>8.6547540983606552</v>
      </c>
    </row>
    <row r="65" spans="1:18" x14ac:dyDescent="0.3">
      <c r="A65" t="s">
        <v>4</v>
      </c>
      <c r="B65" s="1">
        <v>45097</v>
      </c>
      <c r="C65" t="s">
        <v>8</v>
      </c>
      <c r="D65" t="s">
        <v>11</v>
      </c>
      <c r="E65">
        <v>2</v>
      </c>
      <c r="F65">
        <v>12.6</v>
      </c>
      <c r="G65">
        <v>0</v>
      </c>
      <c r="H65">
        <f>13.8-F65-G65</f>
        <v>1.2000000000000011</v>
      </c>
      <c r="I65">
        <f t="shared" si="20"/>
        <v>1.2000000000000011</v>
      </c>
      <c r="J65">
        <f t="shared" si="12"/>
        <v>13.8</v>
      </c>
      <c r="K65">
        <f t="shared" si="13"/>
        <v>1</v>
      </c>
      <c r="L65">
        <f t="shared" si="17"/>
        <v>19.299999999999994</v>
      </c>
      <c r="M65">
        <f t="shared" si="6"/>
        <v>0.45901639344262307</v>
      </c>
      <c r="N65">
        <v>25</v>
      </c>
      <c r="O65">
        <f t="shared" si="14"/>
        <v>6</v>
      </c>
      <c r="P65">
        <f t="shared" si="15"/>
        <v>1260</v>
      </c>
      <c r="Q65">
        <f t="shared" si="16"/>
        <v>0.52098360655737697</v>
      </c>
      <c r="R65">
        <f t="shared" si="18"/>
        <v>9.1757377049180313</v>
      </c>
    </row>
    <row r="66" spans="1:18" x14ac:dyDescent="0.3">
      <c r="A66" t="s">
        <v>5</v>
      </c>
      <c r="B66" s="1">
        <v>45098</v>
      </c>
      <c r="C66" t="s">
        <v>8</v>
      </c>
      <c r="D66" t="s">
        <v>11</v>
      </c>
      <c r="E66">
        <v>2</v>
      </c>
      <c r="F66">
        <v>12.8</v>
      </c>
      <c r="G66">
        <v>0</v>
      </c>
      <c r="H66">
        <f>13.8-F66-G66</f>
        <v>1</v>
      </c>
      <c r="I66">
        <f t="shared" si="20"/>
        <v>1</v>
      </c>
      <c r="J66">
        <f t="shared" si="12"/>
        <v>13.8</v>
      </c>
      <c r="K66">
        <f t="shared" si="13"/>
        <v>1.2000000000000011</v>
      </c>
      <c r="L66">
        <f t="shared" si="17"/>
        <v>20.499999999999993</v>
      </c>
      <c r="M66">
        <f t="shared" si="6"/>
        <v>0.45901639344262307</v>
      </c>
      <c r="N66">
        <v>26</v>
      </c>
      <c r="O66">
        <f t="shared" si="14"/>
        <v>6</v>
      </c>
      <c r="P66">
        <f t="shared" si="15"/>
        <v>1260</v>
      </c>
      <c r="Q66">
        <f t="shared" si="16"/>
        <v>0.52098360655737697</v>
      </c>
      <c r="R66">
        <f t="shared" si="18"/>
        <v>9.6967213114754074</v>
      </c>
    </row>
    <row r="67" spans="1:18" x14ac:dyDescent="0.3">
      <c r="A67" t="s">
        <v>6</v>
      </c>
      <c r="B67" s="1">
        <v>45099</v>
      </c>
      <c r="C67" t="s">
        <v>8</v>
      </c>
      <c r="D67" t="s">
        <v>11</v>
      </c>
      <c r="E67">
        <v>2</v>
      </c>
      <c r="F67">
        <v>12.6</v>
      </c>
      <c r="G67">
        <v>0.5</v>
      </c>
      <c r="H67">
        <f>13.8-F67-G67</f>
        <v>0.70000000000000107</v>
      </c>
      <c r="I67">
        <f t="shared" si="20"/>
        <v>1.2000000000000011</v>
      </c>
      <c r="J67">
        <f t="shared" si="12"/>
        <v>13.8</v>
      </c>
      <c r="K67">
        <f t="shared" si="13"/>
        <v>0.80000000000000071</v>
      </c>
      <c r="L67">
        <f t="shared" si="17"/>
        <v>21.299999999999994</v>
      </c>
      <c r="M67">
        <f t="shared" ref="M67:M130" si="21">(J67-11)/6.1</f>
        <v>0.45901639344262307</v>
      </c>
      <c r="N67">
        <v>27</v>
      </c>
      <c r="O67">
        <f t="shared" si="14"/>
        <v>6.5</v>
      </c>
      <c r="P67">
        <f t="shared" si="15"/>
        <v>1365</v>
      </c>
      <c r="Q67">
        <f t="shared" si="16"/>
        <v>0.52098360655737697</v>
      </c>
      <c r="R67">
        <f t="shared" si="18"/>
        <v>10.217704918032783</v>
      </c>
    </row>
    <row r="68" spans="1:18" x14ac:dyDescent="0.3">
      <c r="A68" t="s">
        <v>0</v>
      </c>
      <c r="B68" s="1">
        <v>45100</v>
      </c>
      <c r="C68" t="s">
        <v>8</v>
      </c>
      <c r="D68" t="s">
        <v>11</v>
      </c>
      <c r="E68">
        <v>2</v>
      </c>
      <c r="F68">
        <v>13</v>
      </c>
      <c r="G68">
        <v>0</v>
      </c>
      <c r="H68">
        <f>13.8-F68-G68</f>
        <v>0.80000000000000071</v>
      </c>
      <c r="I68">
        <f t="shared" si="20"/>
        <v>0.80000000000000071</v>
      </c>
      <c r="J68">
        <f t="shared" si="12"/>
        <v>13.8</v>
      </c>
      <c r="K68">
        <f t="shared" si="13"/>
        <v>0.70000000000000107</v>
      </c>
      <c r="L68">
        <f t="shared" si="17"/>
        <v>21.999999999999993</v>
      </c>
      <c r="M68">
        <f t="shared" si="21"/>
        <v>0.45901639344262307</v>
      </c>
      <c r="N68">
        <v>28</v>
      </c>
      <c r="O68">
        <f t="shared" si="14"/>
        <v>6.5</v>
      </c>
      <c r="P68">
        <f t="shared" si="15"/>
        <v>1365</v>
      </c>
      <c r="Q68">
        <f t="shared" si="16"/>
        <v>0.52098360655737697</v>
      </c>
      <c r="R68">
        <f t="shared" si="18"/>
        <v>10.73868852459016</v>
      </c>
    </row>
    <row r="69" spans="1:18" x14ac:dyDescent="0.3">
      <c r="A69" t="s">
        <v>1</v>
      </c>
      <c r="B69" s="1">
        <v>45101</v>
      </c>
      <c r="C69" t="s">
        <v>8</v>
      </c>
      <c r="D69" t="s">
        <v>11</v>
      </c>
      <c r="E69">
        <v>2</v>
      </c>
      <c r="F69">
        <v>13.1</v>
      </c>
      <c r="G69">
        <v>0</v>
      </c>
      <c r="H69">
        <f t="shared" ref="H69:H76" si="22">13.5-F69-G69</f>
        <v>0.40000000000000036</v>
      </c>
      <c r="I69">
        <f t="shared" si="20"/>
        <v>0.40000000000000036</v>
      </c>
      <c r="J69">
        <f t="shared" si="12"/>
        <v>13.5</v>
      </c>
      <c r="K69">
        <f t="shared" si="13"/>
        <v>1</v>
      </c>
      <c r="L69">
        <f t="shared" si="17"/>
        <v>22.999999999999993</v>
      </c>
      <c r="M69">
        <f t="shared" si="21"/>
        <v>0.4098360655737705</v>
      </c>
      <c r="N69">
        <v>29</v>
      </c>
      <c r="O69">
        <f t="shared" si="14"/>
        <v>6.5</v>
      </c>
      <c r="P69">
        <f t="shared" si="15"/>
        <v>1365</v>
      </c>
      <c r="Q69">
        <f t="shared" si="16"/>
        <v>0.57016393442622948</v>
      </c>
      <c r="R69">
        <f>R68+Q69</f>
        <v>11.308852459016389</v>
      </c>
    </row>
    <row r="70" spans="1:18" x14ac:dyDescent="0.3">
      <c r="A70" t="s">
        <v>2</v>
      </c>
      <c r="B70" s="1">
        <v>45102</v>
      </c>
      <c r="C70" t="s">
        <v>8</v>
      </c>
      <c r="D70" t="s">
        <v>11</v>
      </c>
      <c r="E70">
        <v>2</v>
      </c>
      <c r="F70">
        <v>12.5</v>
      </c>
      <c r="G70">
        <v>0</v>
      </c>
      <c r="H70">
        <f t="shared" si="22"/>
        <v>1</v>
      </c>
      <c r="I70">
        <f t="shared" si="20"/>
        <v>1</v>
      </c>
      <c r="J70">
        <f t="shared" si="12"/>
        <v>13.5</v>
      </c>
      <c r="K70">
        <f t="shared" si="13"/>
        <v>1.0999999999999996</v>
      </c>
      <c r="L70">
        <f t="shared" si="17"/>
        <v>24.099999999999994</v>
      </c>
      <c r="M70">
        <f t="shared" si="21"/>
        <v>0.4098360655737705</v>
      </c>
      <c r="N70">
        <v>30</v>
      </c>
      <c r="O70">
        <f t="shared" si="14"/>
        <v>6.5</v>
      </c>
      <c r="P70">
        <f t="shared" si="15"/>
        <v>1365</v>
      </c>
      <c r="Q70">
        <f t="shared" si="16"/>
        <v>0.57016393442622948</v>
      </c>
      <c r="R70">
        <f t="shared" si="18"/>
        <v>11.879016393442619</v>
      </c>
    </row>
    <row r="71" spans="1:18" x14ac:dyDescent="0.3">
      <c r="A71" t="s">
        <v>3</v>
      </c>
      <c r="B71" s="1">
        <v>45103</v>
      </c>
      <c r="C71" t="s">
        <v>8</v>
      </c>
      <c r="D71" t="s">
        <v>11</v>
      </c>
      <c r="E71">
        <v>2</v>
      </c>
      <c r="F71">
        <v>12.4</v>
      </c>
      <c r="G71">
        <v>0.5</v>
      </c>
      <c r="H71">
        <f t="shared" si="22"/>
        <v>0.59999999999999964</v>
      </c>
      <c r="I71">
        <f t="shared" si="20"/>
        <v>1.0999999999999996</v>
      </c>
      <c r="J71">
        <f t="shared" si="12"/>
        <v>13.5</v>
      </c>
      <c r="K71">
        <f t="shared" si="13"/>
        <v>0.80000000000000071</v>
      </c>
      <c r="L71">
        <f t="shared" si="17"/>
        <v>24.899999999999995</v>
      </c>
      <c r="M71">
        <f t="shared" si="21"/>
        <v>0.4098360655737705</v>
      </c>
      <c r="N71">
        <v>31</v>
      </c>
      <c r="O71">
        <f t="shared" si="14"/>
        <v>7</v>
      </c>
      <c r="P71">
        <f t="shared" si="15"/>
        <v>1470</v>
      </c>
      <c r="Q71">
        <f t="shared" si="16"/>
        <v>0.57016393442622948</v>
      </c>
      <c r="R71">
        <f t="shared" si="18"/>
        <v>12.449180327868849</v>
      </c>
    </row>
    <row r="72" spans="1:18" x14ac:dyDescent="0.3">
      <c r="A72" t="s">
        <v>4</v>
      </c>
      <c r="B72" s="1">
        <v>45104</v>
      </c>
      <c r="C72" t="s">
        <v>8</v>
      </c>
      <c r="D72" t="s">
        <v>11</v>
      </c>
      <c r="E72">
        <v>2</v>
      </c>
      <c r="F72">
        <v>12.7</v>
      </c>
      <c r="G72">
        <v>0</v>
      </c>
      <c r="H72">
        <f t="shared" si="22"/>
        <v>0.80000000000000071</v>
      </c>
      <c r="I72">
        <f t="shared" si="20"/>
        <v>0.80000000000000071</v>
      </c>
      <c r="J72">
        <f t="shared" si="12"/>
        <v>13.5</v>
      </c>
      <c r="K72">
        <f t="shared" si="13"/>
        <v>1</v>
      </c>
      <c r="L72">
        <f t="shared" si="17"/>
        <v>25.899999999999995</v>
      </c>
      <c r="M72">
        <f t="shared" si="21"/>
        <v>0.4098360655737705</v>
      </c>
      <c r="N72">
        <v>32</v>
      </c>
      <c r="O72">
        <f t="shared" si="14"/>
        <v>7</v>
      </c>
      <c r="P72">
        <f t="shared" si="15"/>
        <v>1470</v>
      </c>
      <c r="Q72">
        <f t="shared" si="16"/>
        <v>0.57016393442622948</v>
      </c>
      <c r="R72">
        <f t="shared" si="18"/>
        <v>13.019344262295078</v>
      </c>
    </row>
    <row r="73" spans="1:18" x14ac:dyDescent="0.3">
      <c r="A73" t="s">
        <v>5</v>
      </c>
      <c r="B73" s="1">
        <v>45105</v>
      </c>
      <c r="C73" t="s">
        <v>8</v>
      </c>
      <c r="D73" t="s">
        <v>11</v>
      </c>
      <c r="E73">
        <v>2</v>
      </c>
      <c r="F73">
        <v>12.5</v>
      </c>
      <c r="G73">
        <v>0</v>
      </c>
      <c r="H73">
        <f t="shared" si="22"/>
        <v>1</v>
      </c>
      <c r="I73">
        <f t="shared" si="20"/>
        <v>1</v>
      </c>
      <c r="J73">
        <f t="shared" si="12"/>
        <v>13.5</v>
      </c>
      <c r="K73">
        <f t="shared" si="13"/>
        <v>1</v>
      </c>
      <c r="L73">
        <f t="shared" si="17"/>
        <v>26.899999999999995</v>
      </c>
      <c r="M73">
        <f t="shared" si="21"/>
        <v>0.4098360655737705</v>
      </c>
      <c r="N73">
        <v>33</v>
      </c>
      <c r="O73">
        <f t="shared" si="14"/>
        <v>7</v>
      </c>
      <c r="P73">
        <f t="shared" si="15"/>
        <v>1470</v>
      </c>
      <c r="Q73">
        <f t="shared" si="16"/>
        <v>0.57016393442622948</v>
      </c>
      <c r="R73">
        <f t="shared" si="18"/>
        <v>13.589508196721308</v>
      </c>
    </row>
    <row r="74" spans="1:18" x14ac:dyDescent="0.3">
      <c r="A74" t="s">
        <v>6</v>
      </c>
      <c r="B74" s="1">
        <v>45106</v>
      </c>
      <c r="C74" t="s">
        <v>8</v>
      </c>
      <c r="D74" t="s">
        <v>11</v>
      </c>
      <c r="E74">
        <v>2</v>
      </c>
      <c r="F74">
        <v>12.5</v>
      </c>
      <c r="G74">
        <v>0.5</v>
      </c>
      <c r="H74">
        <f t="shared" si="22"/>
        <v>0.5</v>
      </c>
      <c r="I74">
        <f t="shared" si="20"/>
        <v>1</v>
      </c>
      <c r="J74">
        <f t="shared" si="12"/>
        <v>13.5</v>
      </c>
      <c r="K74">
        <f t="shared" si="13"/>
        <v>1</v>
      </c>
      <c r="L74">
        <f t="shared" si="17"/>
        <v>27.899999999999995</v>
      </c>
      <c r="M74">
        <f t="shared" si="21"/>
        <v>0.4098360655737705</v>
      </c>
      <c r="N74">
        <v>34</v>
      </c>
      <c r="O74">
        <f t="shared" si="14"/>
        <v>7.5</v>
      </c>
      <c r="P74">
        <f t="shared" si="15"/>
        <v>1575</v>
      </c>
      <c r="Q74">
        <f t="shared" si="16"/>
        <v>0.57016393442622948</v>
      </c>
      <c r="R74">
        <f t="shared" si="18"/>
        <v>14.159672131147538</v>
      </c>
    </row>
    <row r="75" spans="1:18" x14ac:dyDescent="0.3">
      <c r="A75" t="s">
        <v>0</v>
      </c>
      <c r="B75" s="1">
        <v>45107</v>
      </c>
      <c r="C75" t="s">
        <v>8</v>
      </c>
      <c r="D75" t="s">
        <v>11</v>
      </c>
      <c r="E75">
        <v>2</v>
      </c>
      <c r="F75">
        <v>12.5</v>
      </c>
      <c r="G75">
        <v>0</v>
      </c>
      <c r="H75">
        <f t="shared" si="22"/>
        <v>1</v>
      </c>
      <c r="I75">
        <f t="shared" si="20"/>
        <v>1</v>
      </c>
      <c r="J75">
        <f t="shared" si="12"/>
        <v>13.5</v>
      </c>
      <c r="K75">
        <f t="shared" si="13"/>
        <v>0.59999999999999964</v>
      </c>
      <c r="L75">
        <f t="shared" si="17"/>
        <v>28.499999999999993</v>
      </c>
      <c r="M75">
        <f t="shared" si="21"/>
        <v>0.4098360655737705</v>
      </c>
      <c r="N75">
        <v>35</v>
      </c>
      <c r="O75">
        <f t="shared" si="14"/>
        <v>7.5</v>
      </c>
      <c r="P75">
        <f t="shared" si="15"/>
        <v>1575</v>
      </c>
      <c r="Q75">
        <f t="shared" si="16"/>
        <v>0.57016393442622948</v>
      </c>
      <c r="R75">
        <f t="shared" si="18"/>
        <v>14.729836065573767</v>
      </c>
    </row>
    <row r="76" spans="1:18" x14ac:dyDescent="0.3">
      <c r="A76" t="s">
        <v>1</v>
      </c>
      <c r="B76" s="1">
        <v>45108</v>
      </c>
      <c r="C76" t="s">
        <v>8</v>
      </c>
      <c r="D76" t="s">
        <v>11</v>
      </c>
      <c r="E76">
        <v>2</v>
      </c>
      <c r="F76">
        <v>12.9</v>
      </c>
      <c r="G76">
        <v>0</v>
      </c>
      <c r="H76">
        <f t="shared" si="22"/>
        <v>0.59999999999999964</v>
      </c>
      <c r="I76">
        <f t="shared" si="20"/>
        <v>0.59999999999999964</v>
      </c>
      <c r="J76">
        <f t="shared" si="12"/>
        <v>13.5</v>
      </c>
      <c r="K76">
        <f t="shared" si="13"/>
        <v>1</v>
      </c>
      <c r="L76">
        <f t="shared" si="17"/>
        <v>29.499999999999993</v>
      </c>
      <c r="M76">
        <f t="shared" si="21"/>
        <v>0.4098360655737705</v>
      </c>
      <c r="N76">
        <v>36</v>
      </c>
      <c r="O76">
        <f t="shared" si="14"/>
        <v>7.5</v>
      </c>
      <c r="P76">
        <f t="shared" si="15"/>
        <v>1575</v>
      </c>
      <c r="Q76">
        <f t="shared" si="16"/>
        <v>0.57016393442622948</v>
      </c>
      <c r="R76">
        <f t="shared" si="18"/>
        <v>15.299999999999997</v>
      </c>
    </row>
    <row r="77" spans="1:18" x14ac:dyDescent="0.3">
      <c r="A77" t="s">
        <v>2</v>
      </c>
      <c r="B77" s="1">
        <v>45109</v>
      </c>
      <c r="C77" t="s">
        <v>8</v>
      </c>
      <c r="D77" t="s">
        <v>11</v>
      </c>
      <c r="E77">
        <v>2</v>
      </c>
      <c r="F77">
        <v>12.5</v>
      </c>
      <c r="G77">
        <v>0</v>
      </c>
      <c r="H77">
        <f>13.1-F77-G77</f>
        <v>0.59999999999999964</v>
      </c>
      <c r="I77">
        <f t="shared" si="20"/>
        <v>0.59999999999999964</v>
      </c>
      <c r="J77">
        <f t="shared" si="12"/>
        <v>13.1</v>
      </c>
      <c r="K77">
        <f t="shared" si="13"/>
        <v>1.1999999999999993</v>
      </c>
      <c r="L77">
        <f t="shared" si="17"/>
        <v>30.699999999999992</v>
      </c>
      <c r="M77">
        <f t="shared" si="21"/>
        <v>0.34426229508196715</v>
      </c>
      <c r="N77">
        <v>37</v>
      </c>
      <c r="O77">
        <f t="shared" si="14"/>
        <v>7.5</v>
      </c>
      <c r="P77">
        <f t="shared" si="15"/>
        <v>1575</v>
      </c>
      <c r="Q77">
        <f t="shared" si="16"/>
        <v>0.63573770491803283</v>
      </c>
      <c r="R77">
        <f t="shared" si="18"/>
        <v>15.935737704918029</v>
      </c>
    </row>
    <row r="78" spans="1:18" x14ac:dyDescent="0.3">
      <c r="A78" t="s">
        <v>3</v>
      </c>
      <c r="B78" s="1">
        <v>45110</v>
      </c>
      <c r="C78" t="s">
        <v>8</v>
      </c>
      <c r="D78" t="s">
        <v>11</v>
      </c>
      <c r="E78">
        <v>2</v>
      </c>
      <c r="F78">
        <v>11.9</v>
      </c>
      <c r="G78">
        <v>0</v>
      </c>
      <c r="H78">
        <f>13.1-F78-G78</f>
        <v>1.1999999999999993</v>
      </c>
      <c r="I78">
        <f t="shared" si="20"/>
        <v>1.1999999999999993</v>
      </c>
      <c r="J78">
        <f t="shared" si="12"/>
        <v>13.1</v>
      </c>
      <c r="K78">
        <f t="shared" si="13"/>
        <v>1.4000000000000004</v>
      </c>
      <c r="L78">
        <f t="shared" si="17"/>
        <v>32.099999999999994</v>
      </c>
      <c r="M78">
        <f t="shared" si="21"/>
        <v>0.34426229508196715</v>
      </c>
      <c r="N78">
        <v>38</v>
      </c>
      <c r="O78">
        <f t="shared" si="14"/>
        <v>7.5</v>
      </c>
      <c r="P78">
        <f t="shared" si="15"/>
        <v>1575</v>
      </c>
      <c r="Q78">
        <f t="shared" si="16"/>
        <v>0.63573770491803283</v>
      </c>
      <c r="R78">
        <f t="shared" si="18"/>
        <v>16.571475409836061</v>
      </c>
    </row>
    <row r="79" spans="1:18" x14ac:dyDescent="0.3">
      <c r="A79" t="s">
        <v>4</v>
      </c>
      <c r="B79" s="1">
        <v>45111</v>
      </c>
      <c r="C79" t="s">
        <v>8</v>
      </c>
      <c r="D79" t="s">
        <v>11</v>
      </c>
      <c r="E79">
        <v>2</v>
      </c>
      <c r="F79">
        <v>11.7</v>
      </c>
    </row>
    <row r="80" spans="1:18" x14ac:dyDescent="0.3">
      <c r="A80" t="s">
        <v>1</v>
      </c>
      <c r="B80" s="1">
        <v>45073</v>
      </c>
      <c r="C80" t="s">
        <v>8</v>
      </c>
      <c r="D80" t="s">
        <v>11</v>
      </c>
      <c r="E80">
        <v>3</v>
      </c>
      <c r="F80">
        <v>17</v>
      </c>
      <c r="G80">
        <v>0</v>
      </c>
      <c r="H80">
        <v>0</v>
      </c>
      <c r="I80">
        <f t="shared" ref="I80:I117" si="23">H80+G80</f>
        <v>0</v>
      </c>
      <c r="J80">
        <f t="shared" ref="J80:J117" si="24">I80+F80</f>
        <v>17</v>
      </c>
      <c r="K80">
        <f t="shared" ref="K80:K117" si="25">J80-F81</f>
        <v>0.69999999999999929</v>
      </c>
      <c r="M80">
        <f t="shared" si="21"/>
        <v>0.98360655737704927</v>
      </c>
      <c r="N80">
        <v>1</v>
      </c>
      <c r="O80">
        <v>2.5</v>
      </c>
      <c r="P80">
        <f>O80*210</f>
        <v>525</v>
      </c>
    </row>
    <row r="81" spans="1:18" x14ac:dyDescent="0.3">
      <c r="A81" t="s">
        <v>2</v>
      </c>
      <c r="B81" s="1">
        <v>45074</v>
      </c>
      <c r="C81" t="s">
        <v>8</v>
      </c>
      <c r="D81" t="s">
        <v>11</v>
      </c>
      <c r="E81">
        <v>3</v>
      </c>
      <c r="F81">
        <v>16.3</v>
      </c>
      <c r="G81">
        <v>0</v>
      </c>
      <c r="H81">
        <v>0</v>
      </c>
      <c r="I81">
        <f t="shared" si="23"/>
        <v>0</v>
      </c>
      <c r="J81">
        <f t="shared" si="24"/>
        <v>16.3</v>
      </c>
      <c r="K81">
        <f t="shared" si="25"/>
        <v>0.60000000000000142</v>
      </c>
      <c r="L81">
        <f>K80+K81</f>
        <v>1.3000000000000007</v>
      </c>
      <c r="M81">
        <f t="shared" si="21"/>
        <v>0.86885245901639363</v>
      </c>
      <c r="N81">
        <v>2</v>
      </c>
      <c r="O81">
        <f t="shared" ref="O81:O117" si="26">O80+G81</f>
        <v>2.5</v>
      </c>
      <c r="P81">
        <f t="shared" ref="P81:P117" si="27">O81*210</f>
        <v>525</v>
      </c>
      <c r="Q81">
        <f t="shared" ref="Q81:Q117" si="28">0.98-M81</f>
        <v>0.11114754098360635</v>
      </c>
    </row>
    <row r="82" spans="1:18" x14ac:dyDescent="0.3">
      <c r="A82" t="s">
        <v>3</v>
      </c>
      <c r="B82" s="1">
        <v>45075</v>
      </c>
      <c r="C82" t="s">
        <v>8</v>
      </c>
      <c r="D82" t="s">
        <v>11</v>
      </c>
      <c r="E82">
        <v>3</v>
      </c>
      <c r="F82">
        <v>15.7</v>
      </c>
      <c r="G82">
        <v>0.25</v>
      </c>
      <c r="H82">
        <v>0</v>
      </c>
      <c r="I82">
        <f t="shared" si="23"/>
        <v>0.25</v>
      </c>
      <c r="J82">
        <f t="shared" si="24"/>
        <v>15.95</v>
      </c>
      <c r="K82">
        <f t="shared" si="25"/>
        <v>0.84999999999999964</v>
      </c>
      <c r="L82">
        <f>L81+K82</f>
        <v>2.1500000000000004</v>
      </c>
      <c r="M82">
        <f t="shared" si="21"/>
        <v>0.81147540983606548</v>
      </c>
      <c r="N82">
        <v>3</v>
      </c>
      <c r="O82">
        <f t="shared" si="26"/>
        <v>2.75</v>
      </c>
      <c r="P82">
        <f t="shared" si="27"/>
        <v>577.5</v>
      </c>
      <c r="Q82">
        <f t="shared" si="28"/>
        <v>0.16852459016393451</v>
      </c>
      <c r="R82">
        <f>Q81+Q82</f>
        <v>0.27967213114754086</v>
      </c>
    </row>
    <row r="83" spans="1:18" x14ac:dyDescent="0.3">
      <c r="A83" t="s">
        <v>4</v>
      </c>
      <c r="B83" s="1">
        <v>45076</v>
      </c>
      <c r="C83" t="s">
        <v>8</v>
      </c>
      <c r="D83" t="s">
        <v>11</v>
      </c>
      <c r="E83">
        <v>3</v>
      </c>
      <c r="F83">
        <v>15.1</v>
      </c>
      <c r="G83">
        <v>0.25</v>
      </c>
      <c r="H83">
        <v>0</v>
      </c>
      <c r="I83">
        <f t="shared" si="23"/>
        <v>0.25</v>
      </c>
      <c r="J83">
        <f t="shared" si="24"/>
        <v>15.35</v>
      </c>
      <c r="K83">
        <f t="shared" si="25"/>
        <v>0.94999999999999929</v>
      </c>
      <c r="L83">
        <f t="shared" ref="L83:L117" si="29">L82+K83</f>
        <v>3.0999999999999996</v>
      </c>
      <c r="M83">
        <f t="shared" si="21"/>
        <v>0.71311475409836067</v>
      </c>
      <c r="N83">
        <v>4</v>
      </c>
      <c r="O83">
        <f t="shared" si="26"/>
        <v>3</v>
      </c>
      <c r="P83">
        <f t="shared" si="27"/>
        <v>630</v>
      </c>
      <c r="Q83">
        <f t="shared" si="28"/>
        <v>0.26688524590163931</v>
      </c>
      <c r="R83">
        <f>R82+Q83</f>
        <v>0.54655737704918017</v>
      </c>
    </row>
    <row r="84" spans="1:18" x14ac:dyDescent="0.3">
      <c r="A84" t="s">
        <v>5</v>
      </c>
      <c r="B84" s="1">
        <v>45077</v>
      </c>
      <c r="C84" t="s">
        <v>8</v>
      </c>
      <c r="D84" t="s">
        <v>11</v>
      </c>
      <c r="E84">
        <v>3</v>
      </c>
      <c r="F84">
        <v>14.4</v>
      </c>
      <c r="G84">
        <v>0</v>
      </c>
      <c r="H84">
        <f t="shared" ref="H84:H94" si="30">14.7-F84-G84</f>
        <v>0.29999999999999893</v>
      </c>
      <c r="I84">
        <f t="shared" si="23"/>
        <v>0.29999999999999893</v>
      </c>
      <c r="J84">
        <f t="shared" si="24"/>
        <v>14.7</v>
      </c>
      <c r="K84">
        <f t="shared" si="25"/>
        <v>0.79999999999999893</v>
      </c>
      <c r="L84">
        <f t="shared" si="29"/>
        <v>3.8999999999999986</v>
      </c>
      <c r="M84">
        <f t="shared" si="21"/>
        <v>0.60655737704918022</v>
      </c>
      <c r="N84">
        <v>5</v>
      </c>
      <c r="O84">
        <f t="shared" si="26"/>
        <v>3</v>
      </c>
      <c r="P84">
        <f t="shared" si="27"/>
        <v>630</v>
      </c>
      <c r="Q84">
        <f t="shared" si="28"/>
        <v>0.37344262295081976</v>
      </c>
      <c r="R84">
        <f t="shared" ref="R84:R117" si="31">R83+Q84</f>
        <v>0.91999999999999993</v>
      </c>
    </row>
    <row r="85" spans="1:18" x14ac:dyDescent="0.3">
      <c r="A85" t="s">
        <v>6</v>
      </c>
      <c r="B85" s="1">
        <v>45078</v>
      </c>
      <c r="C85" t="s">
        <v>8</v>
      </c>
      <c r="D85" t="s">
        <v>11</v>
      </c>
      <c r="E85">
        <v>3</v>
      </c>
      <c r="F85">
        <v>13.9</v>
      </c>
      <c r="G85">
        <v>0.25</v>
      </c>
      <c r="H85">
        <f t="shared" si="30"/>
        <v>0.54999999999999893</v>
      </c>
      <c r="I85">
        <f t="shared" si="23"/>
        <v>0.79999999999999893</v>
      </c>
      <c r="J85">
        <f t="shared" si="24"/>
        <v>14.7</v>
      </c>
      <c r="K85">
        <f t="shared" si="25"/>
        <v>0.5</v>
      </c>
      <c r="L85">
        <f t="shared" si="29"/>
        <v>4.3999999999999986</v>
      </c>
      <c r="M85">
        <f t="shared" si="21"/>
        <v>0.60655737704918022</v>
      </c>
      <c r="N85">
        <v>6</v>
      </c>
      <c r="O85">
        <f t="shared" si="26"/>
        <v>3.25</v>
      </c>
      <c r="P85">
        <f t="shared" si="27"/>
        <v>682.5</v>
      </c>
      <c r="Q85">
        <f t="shared" si="28"/>
        <v>0.37344262295081976</v>
      </c>
      <c r="R85">
        <f t="shared" si="31"/>
        <v>1.2934426229508196</v>
      </c>
    </row>
    <row r="86" spans="1:18" x14ac:dyDescent="0.3">
      <c r="A86" t="s">
        <v>0</v>
      </c>
      <c r="B86" s="1">
        <v>45079</v>
      </c>
      <c r="C86" t="s">
        <v>8</v>
      </c>
      <c r="D86" t="s">
        <v>11</v>
      </c>
      <c r="E86">
        <v>3</v>
      </c>
      <c r="F86">
        <v>14.2</v>
      </c>
      <c r="G86">
        <v>0.25</v>
      </c>
      <c r="H86">
        <f t="shared" si="30"/>
        <v>0.25</v>
      </c>
      <c r="I86">
        <f t="shared" si="23"/>
        <v>0.5</v>
      </c>
      <c r="J86">
        <f t="shared" si="24"/>
        <v>14.7</v>
      </c>
      <c r="K86">
        <f t="shared" si="25"/>
        <v>0.5</v>
      </c>
      <c r="L86">
        <f t="shared" si="29"/>
        <v>4.8999999999999986</v>
      </c>
      <c r="M86">
        <f t="shared" si="21"/>
        <v>0.60655737704918022</v>
      </c>
      <c r="N86">
        <v>7</v>
      </c>
      <c r="O86">
        <f t="shared" si="26"/>
        <v>3.5</v>
      </c>
      <c r="P86">
        <f t="shared" si="27"/>
        <v>735</v>
      </c>
      <c r="Q86">
        <f t="shared" si="28"/>
        <v>0.37344262295081976</v>
      </c>
      <c r="R86">
        <f t="shared" si="31"/>
        <v>1.6668852459016392</v>
      </c>
    </row>
    <row r="87" spans="1:18" x14ac:dyDescent="0.3">
      <c r="A87" t="s">
        <v>1</v>
      </c>
      <c r="B87" s="1">
        <v>45080</v>
      </c>
      <c r="C87" t="s">
        <v>8</v>
      </c>
      <c r="D87" t="s">
        <v>11</v>
      </c>
      <c r="E87">
        <v>3</v>
      </c>
      <c r="F87">
        <v>14.2</v>
      </c>
      <c r="G87">
        <v>0</v>
      </c>
      <c r="H87">
        <f t="shared" si="30"/>
        <v>0.5</v>
      </c>
      <c r="I87">
        <f t="shared" si="23"/>
        <v>0.5</v>
      </c>
      <c r="J87">
        <f t="shared" si="24"/>
        <v>14.7</v>
      </c>
      <c r="K87">
        <f t="shared" si="25"/>
        <v>0.69999999999999929</v>
      </c>
      <c r="L87">
        <f t="shared" si="29"/>
        <v>5.5999999999999979</v>
      </c>
      <c r="M87">
        <f t="shared" si="21"/>
        <v>0.60655737704918022</v>
      </c>
      <c r="N87">
        <v>8</v>
      </c>
      <c r="O87">
        <f t="shared" si="26"/>
        <v>3.5</v>
      </c>
      <c r="P87">
        <f t="shared" si="27"/>
        <v>735</v>
      </c>
      <c r="Q87">
        <f t="shared" si="28"/>
        <v>0.37344262295081976</v>
      </c>
      <c r="R87">
        <f t="shared" si="31"/>
        <v>2.0403278688524589</v>
      </c>
    </row>
    <row r="88" spans="1:18" x14ac:dyDescent="0.3">
      <c r="A88" t="s">
        <v>2</v>
      </c>
      <c r="B88" s="1">
        <v>45081</v>
      </c>
      <c r="C88" t="s">
        <v>8</v>
      </c>
      <c r="D88" t="s">
        <v>11</v>
      </c>
      <c r="E88">
        <v>3</v>
      </c>
      <c r="F88">
        <v>14</v>
      </c>
      <c r="G88">
        <v>0</v>
      </c>
      <c r="H88">
        <f t="shared" si="30"/>
        <v>0.69999999999999929</v>
      </c>
      <c r="I88">
        <f t="shared" si="23"/>
        <v>0.69999999999999929</v>
      </c>
      <c r="J88">
        <f t="shared" si="24"/>
        <v>14.7</v>
      </c>
      <c r="K88">
        <f t="shared" si="25"/>
        <v>0.69999999999999929</v>
      </c>
      <c r="L88">
        <f t="shared" si="29"/>
        <v>6.2999999999999972</v>
      </c>
      <c r="M88">
        <f t="shared" si="21"/>
        <v>0.60655737704918022</v>
      </c>
      <c r="N88">
        <v>9</v>
      </c>
      <c r="O88">
        <f t="shared" si="26"/>
        <v>3.5</v>
      </c>
      <c r="P88">
        <f t="shared" si="27"/>
        <v>735</v>
      </c>
      <c r="Q88">
        <f t="shared" si="28"/>
        <v>0.37344262295081976</v>
      </c>
      <c r="R88">
        <f t="shared" si="31"/>
        <v>2.4137704918032785</v>
      </c>
    </row>
    <row r="89" spans="1:18" x14ac:dyDescent="0.3">
      <c r="A89" t="s">
        <v>3</v>
      </c>
      <c r="B89" s="1">
        <v>45082</v>
      </c>
      <c r="C89" t="s">
        <v>8</v>
      </c>
      <c r="D89" t="s">
        <v>11</v>
      </c>
      <c r="E89">
        <v>3</v>
      </c>
      <c r="F89">
        <v>14</v>
      </c>
      <c r="G89">
        <v>0.25</v>
      </c>
      <c r="H89">
        <f t="shared" si="30"/>
        <v>0.44999999999999929</v>
      </c>
      <c r="I89">
        <f t="shared" si="23"/>
        <v>0.69999999999999929</v>
      </c>
      <c r="J89">
        <f t="shared" si="24"/>
        <v>14.7</v>
      </c>
      <c r="K89">
        <f t="shared" si="25"/>
        <v>0.59999999999999964</v>
      </c>
      <c r="L89">
        <f t="shared" si="29"/>
        <v>6.8999999999999968</v>
      </c>
      <c r="M89">
        <f t="shared" si="21"/>
        <v>0.60655737704918022</v>
      </c>
      <c r="N89">
        <v>10</v>
      </c>
      <c r="O89">
        <f t="shared" si="26"/>
        <v>3.75</v>
      </c>
      <c r="P89">
        <f t="shared" si="27"/>
        <v>787.5</v>
      </c>
      <c r="Q89">
        <f t="shared" si="28"/>
        <v>0.37344262295081976</v>
      </c>
      <c r="R89">
        <f t="shared" si="31"/>
        <v>2.7872131147540982</v>
      </c>
    </row>
    <row r="90" spans="1:18" x14ac:dyDescent="0.3">
      <c r="A90" t="s">
        <v>4</v>
      </c>
      <c r="B90" s="1">
        <v>45083</v>
      </c>
      <c r="C90" t="s">
        <v>8</v>
      </c>
      <c r="D90" t="s">
        <v>11</v>
      </c>
      <c r="E90">
        <v>3</v>
      </c>
      <c r="F90">
        <v>14.1</v>
      </c>
      <c r="G90">
        <v>0.25</v>
      </c>
      <c r="H90">
        <f t="shared" si="30"/>
        <v>0.34999999999999964</v>
      </c>
      <c r="I90">
        <f t="shared" si="23"/>
        <v>0.59999999999999964</v>
      </c>
      <c r="J90">
        <f t="shared" si="24"/>
        <v>14.7</v>
      </c>
      <c r="K90">
        <f t="shared" si="25"/>
        <v>1.1999999999999993</v>
      </c>
      <c r="L90">
        <f t="shared" si="29"/>
        <v>8.0999999999999961</v>
      </c>
      <c r="M90">
        <f t="shared" si="21"/>
        <v>0.60655737704918022</v>
      </c>
      <c r="N90">
        <v>11</v>
      </c>
      <c r="O90">
        <f t="shared" si="26"/>
        <v>4</v>
      </c>
      <c r="P90">
        <f t="shared" si="27"/>
        <v>840</v>
      </c>
      <c r="Q90">
        <f t="shared" si="28"/>
        <v>0.37344262295081976</v>
      </c>
      <c r="R90">
        <f t="shared" si="31"/>
        <v>3.1606557377049178</v>
      </c>
    </row>
    <row r="91" spans="1:18" x14ac:dyDescent="0.3">
      <c r="A91" t="s">
        <v>5</v>
      </c>
      <c r="B91" s="1">
        <v>45084</v>
      </c>
      <c r="C91" t="s">
        <v>8</v>
      </c>
      <c r="D91" t="s">
        <v>11</v>
      </c>
      <c r="E91">
        <v>3</v>
      </c>
      <c r="F91">
        <v>13.5</v>
      </c>
      <c r="G91">
        <v>0</v>
      </c>
      <c r="H91">
        <f t="shared" si="30"/>
        <v>1.1999999999999993</v>
      </c>
      <c r="I91">
        <f t="shared" si="23"/>
        <v>1.1999999999999993</v>
      </c>
      <c r="J91">
        <f t="shared" si="24"/>
        <v>14.7</v>
      </c>
      <c r="K91">
        <f t="shared" si="25"/>
        <v>0.69999999999999929</v>
      </c>
      <c r="L91">
        <f t="shared" si="29"/>
        <v>8.7999999999999954</v>
      </c>
      <c r="M91">
        <f t="shared" si="21"/>
        <v>0.60655737704918022</v>
      </c>
      <c r="N91">
        <v>12</v>
      </c>
      <c r="O91">
        <f t="shared" si="26"/>
        <v>4</v>
      </c>
      <c r="P91">
        <f t="shared" si="27"/>
        <v>840</v>
      </c>
      <c r="Q91">
        <f t="shared" si="28"/>
        <v>0.37344262295081976</v>
      </c>
      <c r="R91">
        <f t="shared" si="31"/>
        <v>3.5340983606557375</v>
      </c>
    </row>
    <row r="92" spans="1:18" x14ac:dyDescent="0.3">
      <c r="A92" t="s">
        <v>6</v>
      </c>
      <c r="B92" s="1">
        <v>45085</v>
      </c>
      <c r="C92" t="s">
        <v>8</v>
      </c>
      <c r="D92" t="s">
        <v>11</v>
      </c>
      <c r="E92">
        <v>3</v>
      </c>
      <c r="F92">
        <v>14</v>
      </c>
      <c r="G92">
        <v>0.25</v>
      </c>
      <c r="H92">
        <f t="shared" si="30"/>
        <v>0.44999999999999929</v>
      </c>
      <c r="I92">
        <f t="shared" si="23"/>
        <v>0.69999999999999929</v>
      </c>
      <c r="J92">
        <f t="shared" si="24"/>
        <v>14.7</v>
      </c>
      <c r="K92">
        <f t="shared" si="25"/>
        <v>1</v>
      </c>
      <c r="L92">
        <f t="shared" si="29"/>
        <v>9.7999999999999954</v>
      </c>
      <c r="M92">
        <f t="shared" si="21"/>
        <v>0.60655737704918022</v>
      </c>
      <c r="N92">
        <v>13</v>
      </c>
      <c r="O92">
        <f t="shared" si="26"/>
        <v>4.25</v>
      </c>
      <c r="P92">
        <f t="shared" si="27"/>
        <v>892.5</v>
      </c>
      <c r="Q92">
        <f t="shared" si="28"/>
        <v>0.37344262295081976</v>
      </c>
      <c r="R92">
        <f t="shared" si="31"/>
        <v>3.9075409836065571</v>
      </c>
    </row>
    <row r="93" spans="1:18" x14ac:dyDescent="0.3">
      <c r="A93" t="s">
        <v>0</v>
      </c>
      <c r="B93" s="1">
        <v>45086</v>
      </c>
      <c r="C93" t="s">
        <v>8</v>
      </c>
      <c r="D93" t="s">
        <v>11</v>
      </c>
      <c r="E93">
        <v>3</v>
      </c>
      <c r="F93">
        <v>13.7</v>
      </c>
      <c r="G93">
        <v>0.25</v>
      </c>
      <c r="H93">
        <f t="shared" si="30"/>
        <v>0.75</v>
      </c>
      <c r="I93">
        <f t="shared" si="23"/>
        <v>1</v>
      </c>
      <c r="J93">
        <f t="shared" si="24"/>
        <v>14.7</v>
      </c>
      <c r="K93">
        <f t="shared" si="25"/>
        <v>1.3999999999999986</v>
      </c>
      <c r="L93">
        <f t="shared" si="29"/>
        <v>11.199999999999994</v>
      </c>
      <c r="M93">
        <f t="shared" si="21"/>
        <v>0.60655737704918022</v>
      </c>
      <c r="N93">
        <v>14</v>
      </c>
      <c r="O93">
        <f t="shared" si="26"/>
        <v>4.5</v>
      </c>
      <c r="P93">
        <f t="shared" si="27"/>
        <v>945</v>
      </c>
      <c r="Q93">
        <f t="shared" si="28"/>
        <v>0.37344262295081976</v>
      </c>
      <c r="R93">
        <f t="shared" si="31"/>
        <v>4.2809836065573768</v>
      </c>
    </row>
    <row r="94" spans="1:18" x14ac:dyDescent="0.3">
      <c r="A94" t="s">
        <v>1</v>
      </c>
      <c r="B94" s="1">
        <v>45087</v>
      </c>
      <c r="C94" t="s">
        <v>8</v>
      </c>
      <c r="D94" t="s">
        <v>11</v>
      </c>
      <c r="E94">
        <v>3</v>
      </c>
      <c r="F94">
        <v>13.3</v>
      </c>
      <c r="G94">
        <v>0</v>
      </c>
      <c r="H94">
        <f t="shared" si="30"/>
        <v>1.3999999999999986</v>
      </c>
      <c r="I94">
        <f t="shared" si="23"/>
        <v>1.3999999999999986</v>
      </c>
      <c r="J94">
        <f t="shared" si="24"/>
        <v>14.7</v>
      </c>
      <c r="K94">
        <f t="shared" si="25"/>
        <v>1.5</v>
      </c>
      <c r="L94">
        <f t="shared" si="29"/>
        <v>12.699999999999994</v>
      </c>
      <c r="M94">
        <f t="shared" si="21"/>
        <v>0.60655737704918022</v>
      </c>
      <c r="N94">
        <v>15</v>
      </c>
      <c r="O94">
        <f t="shared" si="26"/>
        <v>4.5</v>
      </c>
      <c r="P94">
        <f t="shared" si="27"/>
        <v>945</v>
      </c>
      <c r="Q94">
        <f t="shared" si="28"/>
        <v>0.37344262295081976</v>
      </c>
      <c r="R94">
        <f t="shared" si="31"/>
        <v>4.6544262295081964</v>
      </c>
    </row>
    <row r="95" spans="1:18" x14ac:dyDescent="0.3">
      <c r="A95" t="s">
        <v>2</v>
      </c>
      <c r="B95" s="1">
        <v>45088</v>
      </c>
      <c r="C95" t="s">
        <v>8</v>
      </c>
      <c r="D95" t="s">
        <v>11</v>
      </c>
      <c r="E95">
        <v>3</v>
      </c>
      <c r="F95">
        <v>13.2</v>
      </c>
      <c r="G95">
        <v>0</v>
      </c>
      <c r="H95">
        <f>14.5-F95-G95</f>
        <v>1.3000000000000007</v>
      </c>
      <c r="I95">
        <f t="shared" si="23"/>
        <v>1.3000000000000007</v>
      </c>
      <c r="J95">
        <f t="shared" si="24"/>
        <v>14.5</v>
      </c>
      <c r="K95">
        <f t="shared" si="25"/>
        <v>1.3000000000000007</v>
      </c>
      <c r="L95">
        <f t="shared" si="29"/>
        <v>13.999999999999995</v>
      </c>
      <c r="M95">
        <f t="shared" si="21"/>
        <v>0.57377049180327877</v>
      </c>
      <c r="N95">
        <v>16</v>
      </c>
      <c r="O95">
        <f t="shared" si="26"/>
        <v>4.5</v>
      </c>
      <c r="P95">
        <f t="shared" si="27"/>
        <v>945</v>
      </c>
      <c r="Q95">
        <f t="shared" si="28"/>
        <v>0.40622950819672121</v>
      </c>
      <c r="R95">
        <f t="shared" si="31"/>
        <v>5.0606557377049173</v>
      </c>
    </row>
    <row r="96" spans="1:18" x14ac:dyDescent="0.3">
      <c r="A96" t="s">
        <v>3</v>
      </c>
      <c r="B96" s="1">
        <v>45089</v>
      </c>
      <c r="C96" t="s">
        <v>8</v>
      </c>
      <c r="D96" t="s">
        <v>11</v>
      </c>
      <c r="E96">
        <v>3</v>
      </c>
      <c r="F96">
        <v>13.2</v>
      </c>
      <c r="G96">
        <v>0.5</v>
      </c>
      <c r="H96">
        <f>14.5-F96-G96</f>
        <v>0.80000000000000071</v>
      </c>
      <c r="I96">
        <f t="shared" si="23"/>
        <v>1.3000000000000007</v>
      </c>
      <c r="J96">
        <f t="shared" si="24"/>
        <v>14.5</v>
      </c>
      <c r="K96">
        <f t="shared" si="25"/>
        <v>0.5</v>
      </c>
      <c r="L96">
        <f t="shared" si="29"/>
        <v>14.499999999999995</v>
      </c>
      <c r="M96">
        <f t="shared" si="21"/>
        <v>0.57377049180327877</v>
      </c>
      <c r="N96">
        <v>17</v>
      </c>
      <c r="O96">
        <f t="shared" si="26"/>
        <v>5</v>
      </c>
      <c r="P96">
        <f t="shared" si="27"/>
        <v>1050</v>
      </c>
      <c r="Q96">
        <f t="shared" si="28"/>
        <v>0.40622950819672121</v>
      </c>
      <c r="R96">
        <f t="shared" si="31"/>
        <v>5.4668852459016382</v>
      </c>
    </row>
    <row r="97" spans="1:18" x14ac:dyDescent="0.3">
      <c r="A97" t="s">
        <v>4</v>
      </c>
      <c r="B97" s="1">
        <v>45090</v>
      </c>
      <c r="C97" t="s">
        <v>8</v>
      </c>
      <c r="D97" t="s">
        <v>11</v>
      </c>
      <c r="E97">
        <v>3</v>
      </c>
      <c r="F97">
        <v>14</v>
      </c>
      <c r="G97">
        <v>0</v>
      </c>
      <c r="H97">
        <f>14-F97-G97</f>
        <v>0</v>
      </c>
      <c r="I97">
        <f t="shared" si="23"/>
        <v>0</v>
      </c>
      <c r="J97">
        <f t="shared" si="24"/>
        <v>14</v>
      </c>
      <c r="K97">
        <f t="shared" si="25"/>
        <v>1</v>
      </c>
      <c r="L97">
        <f t="shared" si="29"/>
        <v>15.499999999999995</v>
      </c>
      <c r="M97">
        <f t="shared" si="21"/>
        <v>0.49180327868852464</v>
      </c>
      <c r="N97">
        <v>18</v>
      </c>
      <c r="O97">
        <f t="shared" si="26"/>
        <v>5</v>
      </c>
      <c r="P97">
        <f t="shared" si="27"/>
        <v>1050</v>
      </c>
      <c r="Q97">
        <f t="shared" si="28"/>
        <v>0.48819672131147535</v>
      </c>
      <c r="R97">
        <f t="shared" si="31"/>
        <v>5.9550819672131139</v>
      </c>
    </row>
    <row r="98" spans="1:18" x14ac:dyDescent="0.3">
      <c r="A98" t="s">
        <v>5</v>
      </c>
      <c r="B98" s="1">
        <v>45091</v>
      </c>
      <c r="C98" t="s">
        <v>8</v>
      </c>
      <c r="D98" t="s">
        <v>11</v>
      </c>
      <c r="E98">
        <v>3</v>
      </c>
      <c r="F98">
        <v>13</v>
      </c>
      <c r="G98">
        <v>0</v>
      </c>
      <c r="H98">
        <v>0</v>
      </c>
      <c r="I98">
        <f t="shared" si="23"/>
        <v>0</v>
      </c>
      <c r="J98">
        <f t="shared" si="24"/>
        <v>13</v>
      </c>
      <c r="K98">
        <f t="shared" si="25"/>
        <v>1.1999999999999993</v>
      </c>
      <c r="L98">
        <f t="shared" si="29"/>
        <v>16.699999999999996</v>
      </c>
      <c r="M98">
        <f t="shared" si="21"/>
        <v>0.32786885245901642</v>
      </c>
      <c r="N98">
        <v>19</v>
      </c>
      <c r="O98">
        <f t="shared" si="26"/>
        <v>5</v>
      </c>
      <c r="P98">
        <f t="shared" si="27"/>
        <v>1050</v>
      </c>
      <c r="Q98">
        <f t="shared" si="28"/>
        <v>0.65213114754098356</v>
      </c>
      <c r="R98">
        <f t="shared" si="31"/>
        <v>6.6072131147540976</v>
      </c>
    </row>
    <row r="99" spans="1:18" x14ac:dyDescent="0.3">
      <c r="A99" t="s">
        <v>6</v>
      </c>
      <c r="B99" s="1">
        <v>45092</v>
      </c>
      <c r="C99" t="s">
        <v>8</v>
      </c>
      <c r="D99" t="s">
        <v>11</v>
      </c>
      <c r="E99">
        <v>3</v>
      </c>
      <c r="F99">
        <v>11.8</v>
      </c>
      <c r="G99">
        <v>0.5</v>
      </c>
      <c r="H99">
        <f>14-F99-G99</f>
        <v>1.6999999999999993</v>
      </c>
      <c r="I99">
        <f t="shared" si="23"/>
        <v>2.1999999999999993</v>
      </c>
      <c r="J99">
        <f t="shared" si="24"/>
        <v>14</v>
      </c>
      <c r="K99">
        <f t="shared" si="25"/>
        <v>1.4000000000000004</v>
      </c>
      <c r="L99">
        <f>L98+K99</f>
        <v>18.099999999999994</v>
      </c>
      <c r="M99">
        <f t="shared" si="21"/>
        <v>0.49180327868852464</v>
      </c>
      <c r="N99">
        <v>20</v>
      </c>
      <c r="O99">
        <f t="shared" si="26"/>
        <v>5.5</v>
      </c>
      <c r="P99">
        <f t="shared" si="27"/>
        <v>1155</v>
      </c>
      <c r="Q99">
        <f t="shared" si="28"/>
        <v>0.48819672131147535</v>
      </c>
      <c r="R99">
        <f t="shared" si="31"/>
        <v>7.0954098360655733</v>
      </c>
    </row>
    <row r="100" spans="1:18" x14ac:dyDescent="0.3">
      <c r="A100" t="s">
        <v>0</v>
      </c>
      <c r="B100" s="1">
        <v>45093</v>
      </c>
      <c r="C100" t="s">
        <v>8</v>
      </c>
      <c r="D100" t="s">
        <v>11</v>
      </c>
      <c r="E100">
        <v>3</v>
      </c>
      <c r="F100">
        <v>12.6</v>
      </c>
      <c r="G100">
        <v>0</v>
      </c>
      <c r="H100">
        <f>14-F100-G100</f>
        <v>1.4000000000000004</v>
      </c>
      <c r="I100">
        <f t="shared" si="23"/>
        <v>1.4000000000000004</v>
      </c>
      <c r="J100">
        <f t="shared" si="24"/>
        <v>14</v>
      </c>
      <c r="K100">
        <f t="shared" si="25"/>
        <v>1.4000000000000004</v>
      </c>
      <c r="L100">
        <f t="shared" si="29"/>
        <v>19.499999999999993</v>
      </c>
      <c r="M100">
        <f t="shared" si="21"/>
        <v>0.49180327868852464</v>
      </c>
      <c r="N100">
        <v>21</v>
      </c>
      <c r="O100">
        <f t="shared" si="26"/>
        <v>5.5</v>
      </c>
      <c r="P100">
        <f t="shared" si="27"/>
        <v>1155</v>
      </c>
      <c r="Q100">
        <f t="shared" si="28"/>
        <v>0.48819672131147535</v>
      </c>
      <c r="R100">
        <f t="shared" si="31"/>
        <v>7.583606557377049</v>
      </c>
    </row>
    <row r="101" spans="1:18" x14ac:dyDescent="0.3">
      <c r="A101" t="s">
        <v>1</v>
      </c>
      <c r="B101" s="1">
        <v>45094</v>
      </c>
      <c r="C101" t="s">
        <v>8</v>
      </c>
      <c r="D101" t="s">
        <v>11</v>
      </c>
      <c r="E101">
        <v>3</v>
      </c>
      <c r="F101">
        <v>12.6</v>
      </c>
      <c r="G101">
        <v>0</v>
      </c>
      <c r="H101">
        <f>14-F101-G101</f>
        <v>1.4000000000000004</v>
      </c>
      <c r="I101">
        <f t="shared" si="23"/>
        <v>1.4000000000000004</v>
      </c>
      <c r="J101">
        <f t="shared" si="24"/>
        <v>14</v>
      </c>
      <c r="K101">
        <f t="shared" si="25"/>
        <v>0.90000000000000036</v>
      </c>
      <c r="L101">
        <f t="shared" si="29"/>
        <v>20.399999999999991</v>
      </c>
      <c r="M101">
        <f t="shared" si="21"/>
        <v>0.49180327868852464</v>
      </c>
      <c r="N101">
        <v>22</v>
      </c>
      <c r="O101">
        <f t="shared" si="26"/>
        <v>5.5</v>
      </c>
      <c r="P101">
        <f t="shared" si="27"/>
        <v>1155</v>
      </c>
      <c r="Q101">
        <f t="shared" si="28"/>
        <v>0.48819672131147535</v>
      </c>
      <c r="R101">
        <f t="shared" si="31"/>
        <v>8.0718032786885239</v>
      </c>
    </row>
    <row r="102" spans="1:18" x14ac:dyDescent="0.3">
      <c r="A102" t="s">
        <v>2</v>
      </c>
      <c r="B102" s="1">
        <v>45095</v>
      </c>
      <c r="C102" t="s">
        <v>8</v>
      </c>
      <c r="D102" t="s">
        <v>11</v>
      </c>
      <c r="E102">
        <v>3</v>
      </c>
      <c r="F102">
        <v>13.1</v>
      </c>
      <c r="G102">
        <v>0</v>
      </c>
      <c r="H102">
        <f>14-F102-G102</f>
        <v>0.90000000000000036</v>
      </c>
      <c r="I102">
        <f t="shared" si="23"/>
        <v>0.90000000000000036</v>
      </c>
      <c r="J102">
        <f t="shared" si="24"/>
        <v>14</v>
      </c>
      <c r="K102">
        <f t="shared" si="25"/>
        <v>1.3000000000000007</v>
      </c>
      <c r="L102">
        <f t="shared" si="29"/>
        <v>21.699999999999992</v>
      </c>
      <c r="M102">
        <f t="shared" si="21"/>
        <v>0.49180327868852464</v>
      </c>
      <c r="N102">
        <v>23</v>
      </c>
      <c r="O102">
        <f t="shared" si="26"/>
        <v>5.5</v>
      </c>
      <c r="P102">
        <f t="shared" si="27"/>
        <v>1155</v>
      </c>
      <c r="Q102">
        <f t="shared" si="28"/>
        <v>0.48819672131147535</v>
      </c>
      <c r="R102">
        <f t="shared" si="31"/>
        <v>8.5599999999999987</v>
      </c>
    </row>
    <row r="103" spans="1:18" x14ac:dyDescent="0.3">
      <c r="A103" t="s">
        <v>3</v>
      </c>
      <c r="B103" s="1">
        <v>45096</v>
      </c>
      <c r="C103" t="s">
        <v>8</v>
      </c>
      <c r="D103" t="s">
        <v>11</v>
      </c>
      <c r="E103">
        <v>3</v>
      </c>
      <c r="F103">
        <v>12.7</v>
      </c>
      <c r="G103">
        <v>0.5</v>
      </c>
      <c r="H103">
        <f>13.9-F103-G103</f>
        <v>0.70000000000000107</v>
      </c>
      <c r="I103">
        <f t="shared" si="23"/>
        <v>1.2000000000000011</v>
      </c>
      <c r="J103">
        <f t="shared" si="24"/>
        <v>13.9</v>
      </c>
      <c r="K103">
        <f t="shared" si="25"/>
        <v>1.7000000000000011</v>
      </c>
      <c r="L103">
        <f t="shared" si="29"/>
        <v>23.399999999999991</v>
      </c>
      <c r="M103">
        <f t="shared" si="21"/>
        <v>0.47540983606557385</v>
      </c>
      <c r="N103">
        <v>24</v>
      </c>
      <c r="O103">
        <f t="shared" si="26"/>
        <v>6</v>
      </c>
      <c r="P103">
        <f t="shared" si="27"/>
        <v>1260</v>
      </c>
      <c r="Q103">
        <f t="shared" si="28"/>
        <v>0.50459016393442613</v>
      </c>
      <c r="R103">
        <f t="shared" si="31"/>
        <v>9.0645901639344242</v>
      </c>
    </row>
    <row r="104" spans="1:18" x14ac:dyDescent="0.3">
      <c r="A104" t="s">
        <v>4</v>
      </c>
      <c r="B104" s="1">
        <v>45097</v>
      </c>
      <c r="C104" t="s">
        <v>8</v>
      </c>
      <c r="D104" t="s">
        <v>11</v>
      </c>
      <c r="E104">
        <v>3</v>
      </c>
      <c r="F104">
        <v>12.2</v>
      </c>
      <c r="G104">
        <v>0</v>
      </c>
      <c r="H104">
        <f>13.8-F104-G104</f>
        <v>1.6000000000000014</v>
      </c>
      <c r="I104">
        <f t="shared" si="23"/>
        <v>1.6000000000000014</v>
      </c>
      <c r="J104">
        <f t="shared" si="24"/>
        <v>13.8</v>
      </c>
      <c r="K104">
        <f t="shared" si="25"/>
        <v>1.3000000000000007</v>
      </c>
      <c r="L104">
        <f t="shared" si="29"/>
        <v>24.699999999999992</v>
      </c>
      <c r="M104">
        <f t="shared" si="21"/>
        <v>0.45901639344262307</v>
      </c>
      <c r="N104">
        <v>25</v>
      </c>
      <c r="O104">
        <f t="shared" si="26"/>
        <v>6</v>
      </c>
      <c r="P104">
        <f t="shared" si="27"/>
        <v>1260</v>
      </c>
      <c r="Q104">
        <f t="shared" si="28"/>
        <v>0.52098360655737697</v>
      </c>
      <c r="R104">
        <f t="shared" si="31"/>
        <v>9.585573770491802</v>
      </c>
    </row>
    <row r="105" spans="1:18" x14ac:dyDescent="0.3">
      <c r="A105" t="s">
        <v>5</v>
      </c>
      <c r="B105" s="1">
        <v>45098</v>
      </c>
      <c r="C105" t="s">
        <v>8</v>
      </c>
      <c r="D105" t="s">
        <v>11</v>
      </c>
      <c r="E105">
        <v>3</v>
      </c>
      <c r="F105">
        <v>12.5</v>
      </c>
      <c r="G105">
        <v>0</v>
      </c>
      <c r="H105">
        <f>13.8-F105-G105</f>
        <v>1.3000000000000007</v>
      </c>
      <c r="I105">
        <f t="shared" si="23"/>
        <v>1.3000000000000007</v>
      </c>
      <c r="J105">
        <f t="shared" si="24"/>
        <v>13.8</v>
      </c>
      <c r="K105">
        <f t="shared" si="25"/>
        <v>1.4000000000000004</v>
      </c>
      <c r="L105">
        <f t="shared" si="29"/>
        <v>26.099999999999994</v>
      </c>
      <c r="M105">
        <f t="shared" si="21"/>
        <v>0.45901639344262307</v>
      </c>
      <c r="N105">
        <v>26</v>
      </c>
      <c r="O105">
        <f t="shared" si="26"/>
        <v>6</v>
      </c>
      <c r="P105">
        <f t="shared" si="27"/>
        <v>1260</v>
      </c>
      <c r="Q105">
        <f t="shared" si="28"/>
        <v>0.52098360655737697</v>
      </c>
      <c r="R105">
        <f t="shared" si="31"/>
        <v>10.106557377049178</v>
      </c>
    </row>
    <row r="106" spans="1:18" x14ac:dyDescent="0.3">
      <c r="A106" t="s">
        <v>6</v>
      </c>
      <c r="B106" s="1">
        <v>45099</v>
      </c>
      <c r="C106" t="s">
        <v>8</v>
      </c>
      <c r="D106" t="s">
        <v>11</v>
      </c>
      <c r="E106">
        <v>3</v>
      </c>
      <c r="F106">
        <v>12.4</v>
      </c>
      <c r="G106">
        <v>0.5</v>
      </c>
      <c r="H106">
        <f>13.8-F106-G106</f>
        <v>0.90000000000000036</v>
      </c>
      <c r="I106">
        <f t="shared" si="23"/>
        <v>1.4000000000000004</v>
      </c>
      <c r="J106">
        <f t="shared" si="24"/>
        <v>13.8</v>
      </c>
      <c r="K106">
        <f t="shared" si="25"/>
        <v>1.1000000000000014</v>
      </c>
      <c r="L106">
        <f t="shared" si="29"/>
        <v>27.199999999999996</v>
      </c>
      <c r="M106">
        <f t="shared" si="21"/>
        <v>0.45901639344262307</v>
      </c>
      <c r="N106">
        <v>27</v>
      </c>
      <c r="O106">
        <f t="shared" si="26"/>
        <v>6.5</v>
      </c>
      <c r="P106">
        <f t="shared" si="27"/>
        <v>1365</v>
      </c>
      <c r="Q106">
        <f t="shared" si="28"/>
        <v>0.52098360655737697</v>
      </c>
      <c r="R106">
        <f t="shared" si="31"/>
        <v>10.627540983606554</v>
      </c>
    </row>
    <row r="107" spans="1:18" x14ac:dyDescent="0.3">
      <c r="A107" t="s">
        <v>0</v>
      </c>
      <c r="B107" s="1">
        <v>45100</v>
      </c>
      <c r="C107" t="s">
        <v>8</v>
      </c>
      <c r="D107" t="s">
        <v>11</v>
      </c>
      <c r="E107">
        <v>3</v>
      </c>
      <c r="F107">
        <v>12.7</v>
      </c>
      <c r="G107">
        <v>0</v>
      </c>
      <c r="H107">
        <f>13.8-F107-G107</f>
        <v>1.1000000000000014</v>
      </c>
      <c r="I107">
        <f t="shared" si="23"/>
        <v>1.1000000000000014</v>
      </c>
      <c r="J107">
        <f t="shared" si="24"/>
        <v>13.8</v>
      </c>
      <c r="K107">
        <f t="shared" si="25"/>
        <v>0.90000000000000036</v>
      </c>
      <c r="L107">
        <f t="shared" si="29"/>
        <v>28.099999999999994</v>
      </c>
      <c r="M107">
        <f t="shared" si="21"/>
        <v>0.45901639344262307</v>
      </c>
      <c r="N107">
        <v>28</v>
      </c>
      <c r="O107">
        <f t="shared" si="26"/>
        <v>6.5</v>
      </c>
      <c r="P107">
        <f t="shared" si="27"/>
        <v>1365</v>
      </c>
      <c r="Q107">
        <f t="shared" si="28"/>
        <v>0.52098360655737697</v>
      </c>
      <c r="R107">
        <f t="shared" si="31"/>
        <v>11.14852459016393</v>
      </c>
    </row>
    <row r="108" spans="1:18" x14ac:dyDescent="0.3">
      <c r="A108" t="s">
        <v>1</v>
      </c>
      <c r="B108" s="1">
        <v>45101</v>
      </c>
      <c r="C108" t="s">
        <v>8</v>
      </c>
      <c r="D108" t="s">
        <v>11</v>
      </c>
      <c r="E108">
        <v>3</v>
      </c>
      <c r="F108">
        <v>12.9</v>
      </c>
      <c r="G108">
        <v>0</v>
      </c>
      <c r="H108">
        <f t="shared" ref="H108:H115" si="32">13.5-F108-G108</f>
        <v>0.59999999999999964</v>
      </c>
      <c r="I108">
        <f t="shared" si="23"/>
        <v>0.59999999999999964</v>
      </c>
      <c r="J108">
        <f t="shared" si="24"/>
        <v>13.5</v>
      </c>
      <c r="K108">
        <f t="shared" si="25"/>
        <v>1.1999999999999993</v>
      </c>
      <c r="L108">
        <f t="shared" si="29"/>
        <v>29.299999999999994</v>
      </c>
      <c r="M108">
        <f t="shared" si="21"/>
        <v>0.4098360655737705</v>
      </c>
      <c r="N108">
        <v>29</v>
      </c>
      <c r="O108">
        <f t="shared" si="26"/>
        <v>6.5</v>
      </c>
      <c r="P108">
        <f t="shared" si="27"/>
        <v>1365</v>
      </c>
      <c r="Q108">
        <f t="shared" si="28"/>
        <v>0.57016393442622948</v>
      </c>
      <c r="R108">
        <f>R107+Q108</f>
        <v>11.71868852459016</v>
      </c>
    </row>
    <row r="109" spans="1:18" x14ac:dyDescent="0.3">
      <c r="A109" t="s">
        <v>2</v>
      </c>
      <c r="B109" s="1">
        <v>45102</v>
      </c>
      <c r="C109" t="s">
        <v>8</v>
      </c>
      <c r="D109" t="s">
        <v>11</v>
      </c>
      <c r="E109">
        <v>3</v>
      </c>
      <c r="F109">
        <v>12.3</v>
      </c>
      <c r="G109">
        <v>0</v>
      </c>
      <c r="H109">
        <f t="shared" si="32"/>
        <v>1.1999999999999993</v>
      </c>
      <c r="I109">
        <f t="shared" si="23"/>
        <v>1.1999999999999993</v>
      </c>
      <c r="J109">
        <f t="shared" si="24"/>
        <v>13.5</v>
      </c>
      <c r="K109">
        <f t="shared" si="25"/>
        <v>1.4000000000000004</v>
      </c>
      <c r="L109">
        <f t="shared" si="29"/>
        <v>30.699999999999996</v>
      </c>
      <c r="M109">
        <f t="shared" si="21"/>
        <v>0.4098360655737705</v>
      </c>
      <c r="N109">
        <v>30</v>
      </c>
      <c r="O109">
        <f t="shared" si="26"/>
        <v>6.5</v>
      </c>
      <c r="P109">
        <f t="shared" si="27"/>
        <v>1365</v>
      </c>
      <c r="Q109">
        <f t="shared" si="28"/>
        <v>0.57016393442622948</v>
      </c>
      <c r="R109">
        <f t="shared" si="31"/>
        <v>12.28885245901639</v>
      </c>
    </row>
    <row r="110" spans="1:18" x14ac:dyDescent="0.3">
      <c r="A110" t="s">
        <v>3</v>
      </c>
      <c r="B110" s="1">
        <v>45103</v>
      </c>
      <c r="C110" t="s">
        <v>8</v>
      </c>
      <c r="D110" t="s">
        <v>11</v>
      </c>
      <c r="E110">
        <v>3</v>
      </c>
      <c r="F110">
        <v>12.1</v>
      </c>
      <c r="G110">
        <v>0.5</v>
      </c>
      <c r="H110">
        <f t="shared" si="32"/>
        <v>0.90000000000000036</v>
      </c>
      <c r="I110">
        <f t="shared" si="23"/>
        <v>1.4000000000000004</v>
      </c>
      <c r="J110">
        <f t="shared" si="24"/>
        <v>13.5</v>
      </c>
      <c r="K110">
        <f t="shared" si="25"/>
        <v>1.0999999999999996</v>
      </c>
      <c r="L110">
        <f t="shared" si="29"/>
        <v>31.799999999999997</v>
      </c>
      <c r="M110">
        <f t="shared" si="21"/>
        <v>0.4098360655737705</v>
      </c>
      <c r="N110">
        <v>31</v>
      </c>
      <c r="O110">
        <f t="shared" si="26"/>
        <v>7</v>
      </c>
      <c r="P110">
        <f t="shared" si="27"/>
        <v>1470</v>
      </c>
      <c r="Q110">
        <f t="shared" si="28"/>
        <v>0.57016393442622948</v>
      </c>
      <c r="R110">
        <f t="shared" si="31"/>
        <v>12.859016393442619</v>
      </c>
    </row>
    <row r="111" spans="1:18" x14ac:dyDescent="0.3">
      <c r="A111" t="s">
        <v>4</v>
      </c>
      <c r="B111" s="1">
        <v>45104</v>
      </c>
      <c r="C111" t="s">
        <v>8</v>
      </c>
      <c r="D111" t="s">
        <v>11</v>
      </c>
      <c r="E111">
        <v>3</v>
      </c>
      <c r="F111">
        <v>12.4</v>
      </c>
      <c r="G111">
        <v>0</v>
      </c>
      <c r="H111">
        <f t="shared" si="32"/>
        <v>1.0999999999999996</v>
      </c>
      <c r="I111">
        <f t="shared" si="23"/>
        <v>1.0999999999999996</v>
      </c>
      <c r="J111">
        <f t="shared" si="24"/>
        <v>13.5</v>
      </c>
      <c r="K111">
        <f t="shared" si="25"/>
        <v>1.4000000000000004</v>
      </c>
      <c r="L111">
        <f>L110+K111</f>
        <v>33.199999999999996</v>
      </c>
      <c r="M111">
        <f t="shared" si="21"/>
        <v>0.4098360655737705</v>
      </c>
      <c r="N111">
        <v>32</v>
      </c>
      <c r="O111">
        <f t="shared" si="26"/>
        <v>7</v>
      </c>
      <c r="P111">
        <f t="shared" si="27"/>
        <v>1470</v>
      </c>
      <c r="Q111">
        <f t="shared" si="28"/>
        <v>0.57016393442622948</v>
      </c>
      <c r="R111">
        <f t="shared" si="31"/>
        <v>13.429180327868849</v>
      </c>
    </row>
    <row r="112" spans="1:18" x14ac:dyDescent="0.3">
      <c r="A112" t="s">
        <v>5</v>
      </c>
      <c r="B112" s="1">
        <v>45105</v>
      </c>
      <c r="C112" t="s">
        <v>8</v>
      </c>
      <c r="D112" t="s">
        <v>11</v>
      </c>
      <c r="E112">
        <v>3</v>
      </c>
      <c r="F112">
        <v>12.1</v>
      </c>
      <c r="G112">
        <v>0</v>
      </c>
      <c r="H112">
        <f t="shared" si="32"/>
        <v>1.4000000000000004</v>
      </c>
      <c r="I112">
        <f t="shared" si="23"/>
        <v>1.4000000000000004</v>
      </c>
      <c r="J112">
        <f t="shared" si="24"/>
        <v>13.5</v>
      </c>
      <c r="K112">
        <f t="shared" si="25"/>
        <v>1.1999999999999993</v>
      </c>
      <c r="L112">
        <f t="shared" si="29"/>
        <v>34.399999999999991</v>
      </c>
      <c r="M112">
        <f t="shared" si="21"/>
        <v>0.4098360655737705</v>
      </c>
      <c r="N112">
        <v>33</v>
      </c>
      <c r="O112">
        <f t="shared" si="26"/>
        <v>7</v>
      </c>
      <c r="P112">
        <f t="shared" si="27"/>
        <v>1470</v>
      </c>
      <c r="Q112">
        <f t="shared" si="28"/>
        <v>0.57016393442622948</v>
      </c>
      <c r="R112">
        <f t="shared" si="31"/>
        <v>13.999344262295079</v>
      </c>
    </row>
    <row r="113" spans="1:18" x14ac:dyDescent="0.3">
      <c r="A113" t="s">
        <v>6</v>
      </c>
      <c r="B113" s="1">
        <v>45106</v>
      </c>
      <c r="C113" t="s">
        <v>8</v>
      </c>
      <c r="D113" t="s">
        <v>11</v>
      </c>
      <c r="E113">
        <v>3</v>
      </c>
      <c r="F113">
        <v>12.3</v>
      </c>
      <c r="G113">
        <v>0.5</v>
      </c>
      <c r="H113">
        <f t="shared" si="32"/>
        <v>0.69999999999999929</v>
      </c>
      <c r="I113">
        <f t="shared" si="23"/>
        <v>1.1999999999999993</v>
      </c>
      <c r="J113">
        <f t="shared" si="24"/>
        <v>13.5</v>
      </c>
      <c r="K113">
        <f t="shared" si="25"/>
        <v>1.3000000000000007</v>
      </c>
      <c r="L113">
        <f t="shared" si="29"/>
        <v>35.699999999999989</v>
      </c>
      <c r="M113">
        <f t="shared" si="21"/>
        <v>0.4098360655737705</v>
      </c>
      <c r="N113">
        <v>34</v>
      </c>
      <c r="O113">
        <f t="shared" si="26"/>
        <v>7.5</v>
      </c>
      <c r="P113">
        <f t="shared" si="27"/>
        <v>1575</v>
      </c>
      <c r="Q113">
        <f t="shared" si="28"/>
        <v>0.57016393442622948</v>
      </c>
      <c r="R113">
        <f t="shared" si="31"/>
        <v>14.569508196721308</v>
      </c>
    </row>
    <row r="114" spans="1:18" x14ac:dyDescent="0.3">
      <c r="A114" t="s">
        <v>0</v>
      </c>
      <c r="B114" s="1">
        <v>45107</v>
      </c>
      <c r="C114" t="s">
        <v>8</v>
      </c>
      <c r="D114" t="s">
        <v>11</v>
      </c>
      <c r="E114">
        <v>3</v>
      </c>
      <c r="F114">
        <v>12.2</v>
      </c>
      <c r="G114">
        <v>0</v>
      </c>
      <c r="H114">
        <f t="shared" si="32"/>
        <v>1.3000000000000007</v>
      </c>
      <c r="I114">
        <f t="shared" si="23"/>
        <v>1.3000000000000007</v>
      </c>
      <c r="J114">
        <f t="shared" si="24"/>
        <v>13.5</v>
      </c>
      <c r="K114">
        <f t="shared" si="25"/>
        <v>0.59999999999999964</v>
      </c>
      <c r="L114">
        <f t="shared" si="29"/>
        <v>36.29999999999999</v>
      </c>
      <c r="M114">
        <f t="shared" si="21"/>
        <v>0.4098360655737705</v>
      </c>
      <c r="N114">
        <v>35</v>
      </c>
      <c r="O114">
        <f t="shared" si="26"/>
        <v>7.5</v>
      </c>
      <c r="P114">
        <f t="shared" si="27"/>
        <v>1575</v>
      </c>
      <c r="Q114">
        <f t="shared" si="28"/>
        <v>0.57016393442622948</v>
      </c>
      <c r="R114">
        <f t="shared" si="31"/>
        <v>15.139672131147538</v>
      </c>
    </row>
    <row r="115" spans="1:18" x14ac:dyDescent="0.3">
      <c r="A115" t="s">
        <v>1</v>
      </c>
      <c r="B115" s="1">
        <v>45108</v>
      </c>
      <c r="C115" t="s">
        <v>8</v>
      </c>
      <c r="D115" t="s">
        <v>11</v>
      </c>
      <c r="E115">
        <v>3</v>
      </c>
      <c r="F115">
        <v>12.9</v>
      </c>
      <c r="G115">
        <v>0</v>
      </c>
      <c r="H115">
        <f t="shared" si="32"/>
        <v>0.59999999999999964</v>
      </c>
      <c r="I115">
        <f t="shared" si="23"/>
        <v>0.59999999999999964</v>
      </c>
      <c r="J115">
        <f t="shared" si="24"/>
        <v>13.5</v>
      </c>
      <c r="K115">
        <f t="shared" si="25"/>
        <v>1.0999999999999996</v>
      </c>
      <c r="L115">
        <f t="shared" si="29"/>
        <v>37.399999999999991</v>
      </c>
      <c r="M115">
        <f t="shared" si="21"/>
        <v>0.4098360655737705</v>
      </c>
      <c r="N115">
        <v>36</v>
      </c>
      <c r="O115">
        <f t="shared" si="26"/>
        <v>7.5</v>
      </c>
      <c r="P115">
        <f t="shared" si="27"/>
        <v>1575</v>
      </c>
      <c r="Q115">
        <f t="shared" si="28"/>
        <v>0.57016393442622948</v>
      </c>
      <c r="R115">
        <f t="shared" si="31"/>
        <v>15.709836065573768</v>
      </c>
    </row>
    <row r="116" spans="1:18" x14ac:dyDescent="0.3">
      <c r="A116" t="s">
        <v>2</v>
      </c>
      <c r="B116" s="1">
        <v>45109</v>
      </c>
      <c r="C116" t="s">
        <v>8</v>
      </c>
      <c r="D116" t="s">
        <v>11</v>
      </c>
      <c r="E116">
        <v>3</v>
      </c>
      <c r="F116">
        <v>12.4</v>
      </c>
      <c r="G116">
        <v>0</v>
      </c>
      <c r="H116">
        <f>13.1-F116-G116</f>
        <v>0.69999999999999929</v>
      </c>
      <c r="I116">
        <f t="shared" si="23"/>
        <v>0.69999999999999929</v>
      </c>
      <c r="J116">
        <f t="shared" si="24"/>
        <v>13.1</v>
      </c>
      <c r="K116">
        <f t="shared" si="25"/>
        <v>1.5999999999999996</v>
      </c>
      <c r="L116">
        <f t="shared" si="29"/>
        <v>38.999999999999993</v>
      </c>
      <c r="M116">
        <f t="shared" si="21"/>
        <v>0.34426229508196715</v>
      </c>
      <c r="N116">
        <v>37</v>
      </c>
      <c r="O116">
        <f t="shared" si="26"/>
        <v>7.5</v>
      </c>
      <c r="P116">
        <f t="shared" si="27"/>
        <v>1575</v>
      </c>
      <c r="Q116">
        <f t="shared" si="28"/>
        <v>0.63573770491803283</v>
      </c>
      <c r="R116">
        <f t="shared" si="31"/>
        <v>16.3455737704918</v>
      </c>
    </row>
    <row r="117" spans="1:18" x14ac:dyDescent="0.3">
      <c r="A117" t="s">
        <v>3</v>
      </c>
      <c r="B117" s="1">
        <v>45110</v>
      </c>
      <c r="C117" t="s">
        <v>8</v>
      </c>
      <c r="D117" t="s">
        <v>11</v>
      </c>
      <c r="E117">
        <v>3</v>
      </c>
      <c r="F117">
        <v>11.5</v>
      </c>
      <c r="G117">
        <v>0</v>
      </c>
      <c r="H117">
        <f>13.1-F117-G117</f>
        <v>1.5999999999999996</v>
      </c>
      <c r="I117">
        <f t="shared" si="23"/>
        <v>1.5999999999999996</v>
      </c>
      <c r="J117">
        <f t="shared" si="24"/>
        <v>13.1</v>
      </c>
      <c r="K117">
        <f t="shared" si="25"/>
        <v>2</v>
      </c>
      <c r="L117">
        <f t="shared" si="29"/>
        <v>40.999999999999993</v>
      </c>
      <c r="M117">
        <f t="shared" si="21"/>
        <v>0.34426229508196715</v>
      </c>
      <c r="N117">
        <v>38</v>
      </c>
      <c r="O117">
        <f t="shared" si="26"/>
        <v>7.5</v>
      </c>
      <c r="P117">
        <f t="shared" si="27"/>
        <v>1575</v>
      </c>
      <c r="Q117">
        <f t="shared" si="28"/>
        <v>0.63573770491803283</v>
      </c>
      <c r="R117">
        <f t="shared" si="31"/>
        <v>16.981311475409832</v>
      </c>
    </row>
    <row r="118" spans="1:18" x14ac:dyDescent="0.3">
      <c r="A118" t="s">
        <v>4</v>
      </c>
      <c r="B118" s="1">
        <v>45111</v>
      </c>
      <c r="C118" t="s">
        <v>8</v>
      </c>
      <c r="D118" t="s">
        <v>11</v>
      </c>
      <c r="E118">
        <v>3</v>
      </c>
      <c r="F118">
        <v>11.1</v>
      </c>
    </row>
    <row r="119" spans="1:18" x14ac:dyDescent="0.3">
      <c r="A119" t="s">
        <v>1</v>
      </c>
      <c r="B119" s="1">
        <v>45073</v>
      </c>
      <c r="C119" t="s">
        <v>8</v>
      </c>
      <c r="D119" t="s">
        <v>11</v>
      </c>
      <c r="E119">
        <v>4</v>
      </c>
      <c r="F119">
        <v>17</v>
      </c>
      <c r="G119">
        <v>0</v>
      </c>
      <c r="H119">
        <v>0</v>
      </c>
      <c r="I119">
        <f t="shared" ref="I119:I156" si="33">H119+G119</f>
        <v>0</v>
      </c>
      <c r="J119">
        <f t="shared" ref="J119:J156" si="34">I119+F119</f>
        <v>17</v>
      </c>
      <c r="K119">
        <f t="shared" ref="K119:K156" si="35">J119-F120</f>
        <v>0.19999999999999929</v>
      </c>
      <c r="M119">
        <f t="shared" si="21"/>
        <v>0.98360655737704927</v>
      </c>
      <c r="N119">
        <v>1</v>
      </c>
      <c r="O119">
        <v>2.5</v>
      </c>
      <c r="P119">
        <f>O119*210</f>
        <v>525</v>
      </c>
    </row>
    <row r="120" spans="1:18" x14ac:dyDescent="0.3">
      <c r="A120" t="s">
        <v>2</v>
      </c>
      <c r="B120" s="1">
        <v>45074</v>
      </c>
      <c r="C120" t="s">
        <v>8</v>
      </c>
      <c r="D120" t="s">
        <v>11</v>
      </c>
      <c r="E120">
        <v>4</v>
      </c>
      <c r="F120">
        <v>16.8</v>
      </c>
      <c r="G120">
        <v>0</v>
      </c>
      <c r="H120">
        <v>0</v>
      </c>
      <c r="I120">
        <f t="shared" si="33"/>
        <v>0</v>
      </c>
      <c r="J120">
        <f t="shared" si="34"/>
        <v>16.8</v>
      </c>
      <c r="K120">
        <f t="shared" si="35"/>
        <v>0.40000000000000213</v>
      </c>
      <c r="L120">
        <f>K119+K120</f>
        <v>0.60000000000000142</v>
      </c>
      <c r="M120">
        <f t="shared" si="21"/>
        <v>0.95081967213114771</v>
      </c>
      <c r="N120">
        <v>2</v>
      </c>
      <c r="O120">
        <f t="shared" ref="O120:O156" si="36">O119+G120</f>
        <v>2.5</v>
      </c>
      <c r="P120">
        <f t="shared" ref="P120:P156" si="37">O120*210</f>
        <v>525</v>
      </c>
      <c r="Q120">
        <f t="shared" ref="Q120:Q156" si="38">0.98-M120</f>
        <v>2.9180327868852274E-2</v>
      </c>
    </row>
    <row r="121" spans="1:18" x14ac:dyDescent="0.3">
      <c r="A121" t="s">
        <v>3</v>
      </c>
      <c r="B121" s="1">
        <v>45075</v>
      </c>
      <c r="C121" t="s">
        <v>8</v>
      </c>
      <c r="D121" t="s">
        <v>11</v>
      </c>
      <c r="E121">
        <v>4</v>
      </c>
      <c r="F121">
        <v>16.399999999999999</v>
      </c>
      <c r="G121">
        <v>0.25</v>
      </c>
      <c r="H121">
        <v>0</v>
      </c>
      <c r="I121">
        <f t="shared" si="33"/>
        <v>0.25</v>
      </c>
      <c r="J121">
        <f t="shared" si="34"/>
        <v>16.649999999999999</v>
      </c>
      <c r="K121">
        <f t="shared" si="35"/>
        <v>0.74999999999999822</v>
      </c>
      <c r="L121">
        <f>L120+K121</f>
        <v>1.3499999999999996</v>
      </c>
      <c r="M121">
        <f t="shared" si="21"/>
        <v>0.92622950819672112</v>
      </c>
      <c r="N121">
        <v>3</v>
      </c>
      <c r="O121">
        <f t="shared" si="36"/>
        <v>2.75</v>
      </c>
      <c r="P121">
        <f t="shared" si="37"/>
        <v>577.5</v>
      </c>
      <c r="Q121">
        <f t="shared" si="38"/>
        <v>5.3770491803278864E-2</v>
      </c>
      <c r="R121">
        <f>Q120+Q121</f>
        <v>8.2950819672131137E-2</v>
      </c>
    </row>
    <row r="122" spans="1:18" x14ac:dyDescent="0.3">
      <c r="A122" t="s">
        <v>4</v>
      </c>
      <c r="B122" s="1">
        <v>45076</v>
      </c>
      <c r="C122" t="s">
        <v>8</v>
      </c>
      <c r="D122" t="s">
        <v>11</v>
      </c>
      <c r="E122">
        <v>4</v>
      </c>
      <c r="F122">
        <v>15.9</v>
      </c>
      <c r="G122">
        <v>0.25</v>
      </c>
      <c r="H122">
        <v>0</v>
      </c>
      <c r="I122">
        <f t="shared" si="33"/>
        <v>0.25</v>
      </c>
      <c r="J122">
        <f t="shared" si="34"/>
        <v>16.149999999999999</v>
      </c>
      <c r="K122">
        <f t="shared" si="35"/>
        <v>0.74999999999999822</v>
      </c>
      <c r="L122">
        <f t="shared" ref="L122:L156" si="39">L121+K122</f>
        <v>2.0999999999999979</v>
      </c>
      <c r="M122">
        <f t="shared" si="21"/>
        <v>0.84426229508196704</v>
      </c>
      <c r="N122">
        <v>4</v>
      </c>
      <c r="O122">
        <f t="shared" si="36"/>
        <v>3</v>
      </c>
      <c r="P122">
        <f t="shared" si="37"/>
        <v>630</v>
      </c>
      <c r="Q122">
        <f t="shared" si="38"/>
        <v>0.13573770491803294</v>
      </c>
      <c r="R122">
        <f>R121+Q122</f>
        <v>0.21868852459016408</v>
      </c>
    </row>
    <row r="123" spans="1:18" x14ac:dyDescent="0.3">
      <c r="A123" t="s">
        <v>5</v>
      </c>
      <c r="B123" s="1">
        <v>45077</v>
      </c>
      <c r="C123" t="s">
        <v>8</v>
      </c>
      <c r="D123" t="s">
        <v>11</v>
      </c>
      <c r="E123">
        <v>4</v>
      </c>
      <c r="F123">
        <v>15.4</v>
      </c>
      <c r="G123">
        <v>0</v>
      </c>
      <c r="H123">
        <v>0</v>
      </c>
      <c r="I123">
        <f t="shared" si="33"/>
        <v>0</v>
      </c>
      <c r="J123">
        <f t="shared" si="34"/>
        <v>15.4</v>
      </c>
      <c r="K123">
        <f t="shared" si="35"/>
        <v>0.5</v>
      </c>
      <c r="L123">
        <f t="shared" si="39"/>
        <v>2.5999999999999979</v>
      </c>
      <c r="M123">
        <f t="shared" si="21"/>
        <v>0.7213114754098362</v>
      </c>
      <c r="N123">
        <v>5</v>
      </c>
      <c r="O123">
        <f t="shared" si="36"/>
        <v>3</v>
      </c>
      <c r="P123">
        <f t="shared" si="37"/>
        <v>630</v>
      </c>
      <c r="Q123">
        <f t="shared" si="38"/>
        <v>0.25868852459016378</v>
      </c>
      <c r="R123">
        <f t="shared" ref="R123:R156" si="40">R122+Q123</f>
        <v>0.47737704918032786</v>
      </c>
    </row>
    <row r="124" spans="1:18" x14ac:dyDescent="0.3">
      <c r="A124" t="s">
        <v>6</v>
      </c>
      <c r="B124" s="1">
        <v>45078</v>
      </c>
      <c r="C124" t="s">
        <v>8</v>
      </c>
      <c r="D124" t="s">
        <v>11</v>
      </c>
      <c r="E124">
        <v>4</v>
      </c>
      <c r="F124">
        <v>14.9</v>
      </c>
      <c r="G124">
        <v>0.25</v>
      </c>
      <c r="H124">
        <v>0</v>
      </c>
      <c r="I124">
        <f t="shared" si="33"/>
        <v>0.25</v>
      </c>
      <c r="J124">
        <f t="shared" si="34"/>
        <v>15.15</v>
      </c>
      <c r="K124">
        <f t="shared" si="35"/>
        <v>0.34999999999999964</v>
      </c>
      <c r="L124">
        <f t="shared" si="39"/>
        <v>2.9499999999999975</v>
      </c>
      <c r="M124">
        <f t="shared" si="21"/>
        <v>0.68032786885245911</v>
      </c>
      <c r="N124">
        <v>6</v>
      </c>
      <c r="O124">
        <f t="shared" si="36"/>
        <v>3.25</v>
      </c>
      <c r="P124">
        <f t="shared" si="37"/>
        <v>682.5</v>
      </c>
      <c r="Q124">
        <f t="shared" si="38"/>
        <v>0.29967213114754088</v>
      </c>
      <c r="R124">
        <f t="shared" si="40"/>
        <v>0.77704918032786874</v>
      </c>
    </row>
    <row r="125" spans="1:18" x14ac:dyDescent="0.3">
      <c r="A125" t="s">
        <v>0</v>
      </c>
      <c r="B125" s="1">
        <v>45079</v>
      </c>
      <c r="C125" t="s">
        <v>8</v>
      </c>
      <c r="D125" t="s">
        <v>11</v>
      </c>
      <c r="E125">
        <v>4</v>
      </c>
      <c r="F125">
        <v>14.8</v>
      </c>
      <c r="G125">
        <v>0.25</v>
      </c>
      <c r="H125">
        <v>0</v>
      </c>
      <c r="I125">
        <f t="shared" si="33"/>
        <v>0.25</v>
      </c>
      <c r="J125">
        <f t="shared" si="34"/>
        <v>15.05</v>
      </c>
      <c r="K125">
        <f t="shared" si="35"/>
        <v>0.25</v>
      </c>
      <c r="L125">
        <f t="shared" si="39"/>
        <v>3.1999999999999975</v>
      </c>
      <c r="M125">
        <f t="shared" si="21"/>
        <v>0.66393442622950838</v>
      </c>
      <c r="N125">
        <v>7</v>
      </c>
      <c r="O125">
        <f t="shared" si="36"/>
        <v>3.5</v>
      </c>
      <c r="P125">
        <f t="shared" si="37"/>
        <v>735</v>
      </c>
      <c r="Q125">
        <f t="shared" si="38"/>
        <v>0.3160655737704916</v>
      </c>
      <c r="R125">
        <f t="shared" si="40"/>
        <v>1.0931147540983603</v>
      </c>
    </row>
    <row r="126" spans="1:18" x14ac:dyDescent="0.3">
      <c r="A126" t="s">
        <v>1</v>
      </c>
      <c r="B126" s="1">
        <v>45080</v>
      </c>
      <c r="C126" t="s">
        <v>8</v>
      </c>
      <c r="D126" t="s">
        <v>11</v>
      </c>
      <c r="E126">
        <v>4</v>
      </c>
      <c r="F126">
        <v>14.8</v>
      </c>
      <c r="G126">
        <v>0</v>
      </c>
      <c r="H126">
        <v>0</v>
      </c>
      <c r="I126">
        <f t="shared" si="33"/>
        <v>0</v>
      </c>
      <c r="J126">
        <f t="shared" si="34"/>
        <v>14.8</v>
      </c>
      <c r="K126">
        <f t="shared" si="35"/>
        <v>0.60000000000000142</v>
      </c>
      <c r="L126">
        <f t="shared" si="39"/>
        <v>3.7999999999999989</v>
      </c>
      <c r="M126">
        <f t="shared" si="21"/>
        <v>0.62295081967213128</v>
      </c>
      <c r="N126">
        <v>8</v>
      </c>
      <c r="O126">
        <f t="shared" si="36"/>
        <v>3.5</v>
      </c>
      <c r="P126">
        <f t="shared" si="37"/>
        <v>735</v>
      </c>
      <c r="Q126">
        <f t="shared" si="38"/>
        <v>0.3570491803278687</v>
      </c>
      <c r="R126">
        <f t="shared" si="40"/>
        <v>1.4501639344262292</v>
      </c>
    </row>
    <row r="127" spans="1:18" x14ac:dyDescent="0.3">
      <c r="A127" t="s">
        <v>2</v>
      </c>
      <c r="B127" s="1">
        <v>45081</v>
      </c>
      <c r="C127" t="s">
        <v>8</v>
      </c>
      <c r="D127" t="s">
        <v>11</v>
      </c>
      <c r="E127">
        <v>4</v>
      </c>
      <c r="F127">
        <v>14.2</v>
      </c>
      <c r="G127">
        <v>0</v>
      </c>
      <c r="H127">
        <f t="shared" ref="H127:H133" si="41">14.7-F127-G127</f>
        <v>0.5</v>
      </c>
      <c r="I127">
        <f t="shared" si="33"/>
        <v>0.5</v>
      </c>
      <c r="J127">
        <f t="shared" si="34"/>
        <v>14.7</v>
      </c>
      <c r="K127">
        <f t="shared" si="35"/>
        <v>0.5</v>
      </c>
      <c r="L127">
        <f t="shared" si="39"/>
        <v>4.2999999999999989</v>
      </c>
      <c r="M127">
        <f t="shared" si="21"/>
        <v>0.60655737704918022</v>
      </c>
      <c r="N127">
        <v>9</v>
      </c>
      <c r="O127">
        <f t="shared" si="36"/>
        <v>3.5</v>
      </c>
      <c r="P127">
        <f t="shared" si="37"/>
        <v>735</v>
      </c>
      <c r="Q127">
        <f t="shared" si="38"/>
        <v>0.37344262295081976</v>
      </c>
      <c r="R127">
        <f t="shared" si="40"/>
        <v>1.8236065573770488</v>
      </c>
    </row>
    <row r="128" spans="1:18" x14ac:dyDescent="0.3">
      <c r="A128" t="s">
        <v>3</v>
      </c>
      <c r="B128" s="1">
        <v>45082</v>
      </c>
      <c r="C128" t="s">
        <v>8</v>
      </c>
      <c r="D128" t="s">
        <v>11</v>
      </c>
      <c r="E128">
        <v>4</v>
      </c>
      <c r="F128">
        <v>14.2</v>
      </c>
      <c r="G128">
        <v>0.25</v>
      </c>
      <c r="H128">
        <f t="shared" si="41"/>
        <v>0.25</v>
      </c>
      <c r="I128">
        <f t="shared" si="33"/>
        <v>0.5</v>
      </c>
      <c r="J128">
        <f t="shared" si="34"/>
        <v>14.7</v>
      </c>
      <c r="K128">
        <f t="shared" si="35"/>
        <v>0.39999999999999858</v>
      </c>
      <c r="L128">
        <f t="shared" si="39"/>
        <v>4.6999999999999975</v>
      </c>
      <c r="M128">
        <f t="shared" si="21"/>
        <v>0.60655737704918022</v>
      </c>
      <c r="N128">
        <v>10</v>
      </c>
      <c r="O128">
        <f t="shared" si="36"/>
        <v>3.75</v>
      </c>
      <c r="P128">
        <f t="shared" si="37"/>
        <v>787.5</v>
      </c>
      <c r="Q128">
        <f t="shared" si="38"/>
        <v>0.37344262295081976</v>
      </c>
      <c r="R128">
        <f t="shared" si="40"/>
        <v>2.1970491803278684</v>
      </c>
    </row>
    <row r="129" spans="1:18" x14ac:dyDescent="0.3">
      <c r="A129" t="s">
        <v>4</v>
      </c>
      <c r="B129" s="1">
        <v>45083</v>
      </c>
      <c r="C129" t="s">
        <v>8</v>
      </c>
      <c r="D129" t="s">
        <v>11</v>
      </c>
      <c r="E129">
        <v>4</v>
      </c>
      <c r="F129">
        <v>14.3</v>
      </c>
      <c r="G129">
        <v>0.25</v>
      </c>
      <c r="H129">
        <f t="shared" si="41"/>
        <v>0.14999999999999858</v>
      </c>
      <c r="I129">
        <f t="shared" si="33"/>
        <v>0.39999999999999858</v>
      </c>
      <c r="J129">
        <f t="shared" si="34"/>
        <v>14.7</v>
      </c>
      <c r="K129">
        <f t="shared" si="35"/>
        <v>0.69999999999999929</v>
      </c>
      <c r="L129">
        <f t="shared" si="39"/>
        <v>5.3999999999999968</v>
      </c>
      <c r="M129">
        <f t="shared" si="21"/>
        <v>0.60655737704918022</v>
      </c>
      <c r="N129">
        <v>11</v>
      </c>
      <c r="O129">
        <f t="shared" si="36"/>
        <v>4</v>
      </c>
      <c r="P129">
        <f t="shared" si="37"/>
        <v>840</v>
      </c>
      <c r="Q129">
        <f t="shared" si="38"/>
        <v>0.37344262295081976</v>
      </c>
      <c r="R129">
        <f t="shared" si="40"/>
        <v>2.5704918032786881</v>
      </c>
    </row>
    <row r="130" spans="1:18" x14ac:dyDescent="0.3">
      <c r="A130" t="s">
        <v>5</v>
      </c>
      <c r="B130" s="1">
        <v>45084</v>
      </c>
      <c r="C130" t="s">
        <v>8</v>
      </c>
      <c r="D130" t="s">
        <v>11</v>
      </c>
      <c r="E130">
        <v>4</v>
      </c>
      <c r="F130">
        <v>14</v>
      </c>
      <c r="G130">
        <v>0</v>
      </c>
      <c r="H130">
        <f t="shared" si="41"/>
        <v>0.69999999999999929</v>
      </c>
      <c r="I130">
        <f t="shared" si="33"/>
        <v>0.69999999999999929</v>
      </c>
      <c r="J130">
        <f t="shared" si="34"/>
        <v>14.7</v>
      </c>
      <c r="K130">
        <f t="shared" si="35"/>
        <v>0.69999999999999929</v>
      </c>
      <c r="L130">
        <f t="shared" si="39"/>
        <v>6.0999999999999961</v>
      </c>
      <c r="M130">
        <f t="shared" si="21"/>
        <v>0.60655737704918022</v>
      </c>
      <c r="N130">
        <v>12</v>
      </c>
      <c r="O130">
        <f t="shared" si="36"/>
        <v>4</v>
      </c>
      <c r="P130">
        <f t="shared" si="37"/>
        <v>840</v>
      </c>
      <c r="Q130">
        <f t="shared" si="38"/>
        <v>0.37344262295081976</v>
      </c>
      <c r="R130">
        <f t="shared" si="40"/>
        <v>2.9439344262295077</v>
      </c>
    </row>
    <row r="131" spans="1:18" x14ac:dyDescent="0.3">
      <c r="A131" t="s">
        <v>6</v>
      </c>
      <c r="B131" s="1">
        <v>45085</v>
      </c>
      <c r="C131" t="s">
        <v>8</v>
      </c>
      <c r="D131" t="s">
        <v>11</v>
      </c>
      <c r="E131">
        <v>4</v>
      </c>
      <c r="F131">
        <v>14</v>
      </c>
      <c r="G131">
        <v>0.25</v>
      </c>
      <c r="H131">
        <f t="shared" si="41"/>
        <v>0.44999999999999929</v>
      </c>
      <c r="I131">
        <f t="shared" si="33"/>
        <v>0.69999999999999929</v>
      </c>
      <c r="J131">
        <f t="shared" si="34"/>
        <v>14.7</v>
      </c>
      <c r="K131">
        <f t="shared" si="35"/>
        <v>1.0999999999999996</v>
      </c>
      <c r="L131">
        <f t="shared" si="39"/>
        <v>7.1999999999999957</v>
      </c>
      <c r="M131">
        <f t="shared" ref="M131:M194" si="42">(J131-11)/6.1</f>
        <v>0.60655737704918022</v>
      </c>
      <c r="N131">
        <v>13</v>
      </c>
      <c r="O131">
        <f t="shared" si="36"/>
        <v>4.25</v>
      </c>
      <c r="P131">
        <f t="shared" si="37"/>
        <v>892.5</v>
      </c>
      <c r="Q131">
        <f t="shared" si="38"/>
        <v>0.37344262295081976</v>
      </c>
      <c r="R131">
        <f t="shared" si="40"/>
        <v>3.3173770491803274</v>
      </c>
    </row>
    <row r="132" spans="1:18" x14ac:dyDescent="0.3">
      <c r="A132" t="s">
        <v>0</v>
      </c>
      <c r="B132" s="1">
        <v>45086</v>
      </c>
      <c r="C132" t="s">
        <v>8</v>
      </c>
      <c r="D132" t="s">
        <v>11</v>
      </c>
      <c r="E132">
        <v>4</v>
      </c>
      <c r="F132">
        <v>13.6</v>
      </c>
      <c r="G132">
        <v>0.25</v>
      </c>
      <c r="H132">
        <f t="shared" si="41"/>
        <v>0.84999999999999964</v>
      </c>
      <c r="I132">
        <f t="shared" si="33"/>
        <v>1.0999999999999996</v>
      </c>
      <c r="J132">
        <f t="shared" si="34"/>
        <v>14.7</v>
      </c>
      <c r="K132">
        <f t="shared" si="35"/>
        <v>1.0999999999999996</v>
      </c>
      <c r="L132">
        <f t="shared" si="39"/>
        <v>8.2999999999999954</v>
      </c>
      <c r="M132">
        <f t="shared" si="42"/>
        <v>0.60655737704918022</v>
      </c>
      <c r="N132">
        <v>14</v>
      </c>
      <c r="O132">
        <f t="shared" si="36"/>
        <v>4.5</v>
      </c>
      <c r="P132">
        <f t="shared" si="37"/>
        <v>945</v>
      </c>
      <c r="Q132">
        <f t="shared" si="38"/>
        <v>0.37344262295081976</v>
      </c>
      <c r="R132">
        <f t="shared" si="40"/>
        <v>3.690819672131147</v>
      </c>
    </row>
    <row r="133" spans="1:18" x14ac:dyDescent="0.3">
      <c r="A133" t="s">
        <v>1</v>
      </c>
      <c r="B133" s="1">
        <v>45087</v>
      </c>
      <c r="C133" t="s">
        <v>8</v>
      </c>
      <c r="D133" t="s">
        <v>11</v>
      </c>
      <c r="E133">
        <v>4</v>
      </c>
      <c r="F133">
        <v>13.6</v>
      </c>
      <c r="G133">
        <v>0</v>
      </c>
      <c r="H133">
        <f t="shared" si="41"/>
        <v>1.0999999999999996</v>
      </c>
      <c r="I133">
        <f t="shared" si="33"/>
        <v>1.0999999999999996</v>
      </c>
      <c r="J133">
        <f t="shared" si="34"/>
        <v>14.7</v>
      </c>
      <c r="K133">
        <f t="shared" si="35"/>
        <v>1.1999999999999993</v>
      </c>
      <c r="L133">
        <f t="shared" si="39"/>
        <v>9.4999999999999947</v>
      </c>
      <c r="M133">
        <f t="shared" si="42"/>
        <v>0.60655737704918022</v>
      </c>
      <c r="N133">
        <v>15</v>
      </c>
      <c r="O133">
        <f t="shared" si="36"/>
        <v>4.5</v>
      </c>
      <c r="P133">
        <f t="shared" si="37"/>
        <v>945</v>
      </c>
      <c r="Q133">
        <f t="shared" si="38"/>
        <v>0.37344262295081976</v>
      </c>
      <c r="R133">
        <f t="shared" si="40"/>
        <v>4.0642622950819671</v>
      </c>
    </row>
    <row r="134" spans="1:18" x14ac:dyDescent="0.3">
      <c r="A134" t="s">
        <v>2</v>
      </c>
      <c r="B134" s="1">
        <v>45088</v>
      </c>
      <c r="C134" t="s">
        <v>8</v>
      </c>
      <c r="D134" t="s">
        <v>11</v>
      </c>
      <c r="E134">
        <v>4</v>
      </c>
      <c r="F134">
        <v>13.5</v>
      </c>
      <c r="G134">
        <v>0</v>
      </c>
      <c r="H134">
        <f>14.5-F134-G134</f>
        <v>1</v>
      </c>
      <c r="I134">
        <f t="shared" si="33"/>
        <v>1</v>
      </c>
      <c r="J134">
        <f t="shared" si="34"/>
        <v>14.5</v>
      </c>
      <c r="K134">
        <f t="shared" si="35"/>
        <v>0.90000000000000036</v>
      </c>
      <c r="L134">
        <f t="shared" si="39"/>
        <v>10.399999999999995</v>
      </c>
      <c r="M134">
        <f t="shared" si="42"/>
        <v>0.57377049180327877</v>
      </c>
      <c r="N134">
        <v>16</v>
      </c>
      <c r="O134">
        <f t="shared" si="36"/>
        <v>4.5</v>
      </c>
      <c r="P134">
        <f t="shared" si="37"/>
        <v>945</v>
      </c>
      <c r="Q134">
        <f t="shared" si="38"/>
        <v>0.40622950819672121</v>
      </c>
      <c r="R134">
        <f t="shared" si="40"/>
        <v>4.470491803278688</v>
      </c>
    </row>
    <row r="135" spans="1:18" x14ac:dyDescent="0.3">
      <c r="A135" t="s">
        <v>3</v>
      </c>
      <c r="B135" s="1">
        <v>45089</v>
      </c>
      <c r="C135" t="s">
        <v>8</v>
      </c>
      <c r="D135" t="s">
        <v>11</v>
      </c>
      <c r="E135">
        <v>4</v>
      </c>
      <c r="F135">
        <v>13.6</v>
      </c>
      <c r="G135">
        <v>0.5</v>
      </c>
      <c r="H135">
        <f>14.5-F135-G135</f>
        <v>0.40000000000000036</v>
      </c>
      <c r="I135">
        <f t="shared" si="33"/>
        <v>0.90000000000000036</v>
      </c>
      <c r="J135">
        <f t="shared" si="34"/>
        <v>14.5</v>
      </c>
      <c r="K135">
        <f t="shared" si="35"/>
        <v>0.30000000000000071</v>
      </c>
      <c r="L135">
        <f t="shared" si="39"/>
        <v>10.699999999999996</v>
      </c>
      <c r="M135">
        <f t="shared" si="42"/>
        <v>0.57377049180327877</v>
      </c>
      <c r="N135">
        <v>17</v>
      </c>
      <c r="O135">
        <f t="shared" si="36"/>
        <v>5</v>
      </c>
      <c r="P135">
        <f t="shared" si="37"/>
        <v>1050</v>
      </c>
      <c r="Q135">
        <f t="shared" si="38"/>
        <v>0.40622950819672121</v>
      </c>
      <c r="R135">
        <f t="shared" si="40"/>
        <v>4.8767213114754089</v>
      </c>
    </row>
    <row r="136" spans="1:18" x14ac:dyDescent="0.3">
      <c r="A136" t="s">
        <v>4</v>
      </c>
      <c r="B136" s="1">
        <v>45090</v>
      </c>
      <c r="C136" t="s">
        <v>8</v>
      </c>
      <c r="D136" t="s">
        <v>11</v>
      </c>
      <c r="E136">
        <v>4</v>
      </c>
      <c r="F136">
        <v>14.2</v>
      </c>
      <c r="G136">
        <v>0</v>
      </c>
      <c r="H136">
        <v>0</v>
      </c>
      <c r="I136">
        <f t="shared" si="33"/>
        <v>0</v>
      </c>
      <c r="J136">
        <f t="shared" si="34"/>
        <v>14.2</v>
      </c>
      <c r="K136">
        <f t="shared" si="35"/>
        <v>0.69999999999999929</v>
      </c>
      <c r="L136">
        <f t="shared" si="39"/>
        <v>11.399999999999995</v>
      </c>
      <c r="M136">
        <f t="shared" si="42"/>
        <v>0.52459016393442615</v>
      </c>
      <c r="N136">
        <v>18</v>
      </c>
      <c r="O136">
        <f t="shared" si="36"/>
        <v>5</v>
      </c>
      <c r="P136">
        <f t="shared" si="37"/>
        <v>1050</v>
      </c>
      <c r="Q136">
        <f t="shared" si="38"/>
        <v>0.45540983606557384</v>
      </c>
      <c r="R136">
        <f t="shared" si="40"/>
        <v>5.3321311475409825</v>
      </c>
    </row>
    <row r="137" spans="1:18" x14ac:dyDescent="0.3">
      <c r="A137" t="s">
        <v>5</v>
      </c>
      <c r="B137" s="1">
        <v>45091</v>
      </c>
      <c r="C137" t="s">
        <v>8</v>
      </c>
      <c r="D137" t="s">
        <v>11</v>
      </c>
      <c r="E137">
        <v>4</v>
      </c>
      <c r="F137">
        <v>13.5</v>
      </c>
      <c r="G137">
        <v>0</v>
      </c>
      <c r="H137">
        <v>0</v>
      </c>
      <c r="I137">
        <f t="shared" si="33"/>
        <v>0</v>
      </c>
      <c r="J137">
        <f t="shared" si="34"/>
        <v>13.5</v>
      </c>
      <c r="K137">
        <f t="shared" si="35"/>
        <v>1</v>
      </c>
      <c r="L137">
        <f t="shared" si="39"/>
        <v>12.399999999999995</v>
      </c>
      <c r="M137">
        <f t="shared" si="42"/>
        <v>0.4098360655737705</v>
      </c>
      <c r="N137">
        <v>19</v>
      </c>
      <c r="O137">
        <f t="shared" si="36"/>
        <v>5</v>
      </c>
      <c r="P137">
        <f t="shared" si="37"/>
        <v>1050</v>
      </c>
      <c r="Q137">
        <f t="shared" si="38"/>
        <v>0.57016393442622948</v>
      </c>
      <c r="R137">
        <f t="shared" si="40"/>
        <v>5.9022950819672122</v>
      </c>
    </row>
    <row r="138" spans="1:18" x14ac:dyDescent="0.3">
      <c r="A138" t="s">
        <v>6</v>
      </c>
      <c r="B138" s="1">
        <v>45092</v>
      </c>
      <c r="C138" t="s">
        <v>8</v>
      </c>
      <c r="D138" t="s">
        <v>11</v>
      </c>
      <c r="E138">
        <v>4</v>
      </c>
      <c r="F138">
        <v>12.5</v>
      </c>
      <c r="G138">
        <v>0.5</v>
      </c>
      <c r="H138">
        <f>14-F138-G138</f>
        <v>1</v>
      </c>
      <c r="I138">
        <f t="shared" si="33"/>
        <v>1.5</v>
      </c>
      <c r="J138">
        <f t="shared" si="34"/>
        <v>14</v>
      </c>
      <c r="K138">
        <f t="shared" si="35"/>
        <v>1.3000000000000007</v>
      </c>
      <c r="L138">
        <f t="shared" si="39"/>
        <v>13.699999999999996</v>
      </c>
      <c r="M138">
        <f t="shared" si="42"/>
        <v>0.49180327868852464</v>
      </c>
      <c r="N138">
        <v>20</v>
      </c>
      <c r="O138">
        <f t="shared" si="36"/>
        <v>5.5</v>
      </c>
      <c r="P138">
        <f t="shared" si="37"/>
        <v>1155</v>
      </c>
      <c r="Q138">
        <f t="shared" si="38"/>
        <v>0.48819672131147535</v>
      </c>
      <c r="R138">
        <f t="shared" si="40"/>
        <v>6.3904918032786879</v>
      </c>
    </row>
    <row r="139" spans="1:18" x14ac:dyDescent="0.3">
      <c r="A139" t="s">
        <v>0</v>
      </c>
      <c r="B139" s="1">
        <v>45093</v>
      </c>
      <c r="C139" t="s">
        <v>8</v>
      </c>
      <c r="D139" t="s">
        <v>11</v>
      </c>
      <c r="E139">
        <v>4</v>
      </c>
      <c r="F139">
        <v>12.7</v>
      </c>
      <c r="G139">
        <v>0</v>
      </c>
      <c r="H139">
        <f>14-F139-G139</f>
        <v>1.3000000000000007</v>
      </c>
      <c r="I139">
        <f t="shared" si="33"/>
        <v>1.3000000000000007</v>
      </c>
      <c r="J139">
        <f t="shared" si="34"/>
        <v>14</v>
      </c>
      <c r="K139">
        <f t="shared" si="35"/>
        <v>1</v>
      </c>
      <c r="L139">
        <f t="shared" si="39"/>
        <v>14.699999999999996</v>
      </c>
      <c r="M139">
        <f t="shared" si="42"/>
        <v>0.49180327868852464</v>
      </c>
      <c r="N139">
        <v>21</v>
      </c>
      <c r="O139">
        <f t="shared" si="36"/>
        <v>5.5</v>
      </c>
      <c r="P139">
        <f t="shared" si="37"/>
        <v>1155</v>
      </c>
      <c r="Q139">
        <f t="shared" si="38"/>
        <v>0.48819672131147535</v>
      </c>
      <c r="R139">
        <f t="shared" si="40"/>
        <v>6.8786885245901637</v>
      </c>
    </row>
    <row r="140" spans="1:18" x14ac:dyDescent="0.3">
      <c r="A140" t="s">
        <v>1</v>
      </c>
      <c r="B140" s="1">
        <v>45094</v>
      </c>
      <c r="C140" t="s">
        <v>8</v>
      </c>
      <c r="D140" t="s">
        <v>11</v>
      </c>
      <c r="E140">
        <v>4</v>
      </c>
      <c r="F140">
        <v>13</v>
      </c>
      <c r="G140">
        <v>0</v>
      </c>
      <c r="H140">
        <f>14-F140-G140</f>
        <v>1</v>
      </c>
      <c r="I140">
        <f t="shared" si="33"/>
        <v>1</v>
      </c>
      <c r="J140">
        <f t="shared" si="34"/>
        <v>14</v>
      </c>
      <c r="K140">
        <f t="shared" si="35"/>
        <v>0.69999999999999929</v>
      </c>
      <c r="L140">
        <f>L139+K140</f>
        <v>15.399999999999995</v>
      </c>
      <c r="M140">
        <f t="shared" si="42"/>
        <v>0.49180327868852464</v>
      </c>
      <c r="N140">
        <v>22</v>
      </c>
      <c r="O140">
        <f t="shared" si="36"/>
        <v>5.5</v>
      </c>
      <c r="P140">
        <f t="shared" si="37"/>
        <v>1155</v>
      </c>
      <c r="Q140">
        <f t="shared" si="38"/>
        <v>0.48819672131147535</v>
      </c>
      <c r="R140">
        <f t="shared" si="40"/>
        <v>7.3668852459016394</v>
      </c>
    </row>
    <row r="141" spans="1:18" x14ac:dyDescent="0.3">
      <c r="A141" t="s">
        <v>2</v>
      </c>
      <c r="B141" s="1">
        <v>45095</v>
      </c>
      <c r="C141" t="s">
        <v>8</v>
      </c>
      <c r="D141" t="s">
        <v>11</v>
      </c>
      <c r="E141">
        <v>4</v>
      </c>
      <c r="F141">
        <v>13.3</v>
      </c>
      <c r="G141">
        <v>0</v>
      </c>
      <c r="H141">
        <f>14-F141-G141</f>
        <v>0.69999999999999929</v>
      </c>
      <c r="I141">
        <f t="shared" si="33"/>
        <v>0.69999999999999929</v>
      </c>
      <c r="J141">
        <f t="shared" si="34"/>
        <v>14</v>
      </c>
      <c r="K141">
        <f t="shared" si="35"/>
        <v>1</v>
      </c>
      <c r="L141">
        <f t="shared" si="39"/>
        <v>16.399999999999995</v>
      </c>
      <c r="M141">
        <f t="shared" si="42"/>
        <v>0.49180327868852464</v>
      </c>
      <c r="N141">
        <v>23</v>
      </c>
      <c r="O141">
        <f t="shared" si="36"/>
        <v>5.5</v>
      </c>
      <c r="P141">
        <f t="shared" si="37"/>
        <v>1155</v>
      </c>
      <c r="Q141">
        <f t="shared" si="38"/>
        <v>0.48819672131147535</v>
      </c>
      <c r="R141">
        <f t="shared" si="40"/>
        <v>7.8550819672131151</v>
      </c>
    </row>
    <row r="142" spans="1:18" x14ac:dyDescent="0.3">
      <c r="A142" t="s">
        <v>3</v>
      </c>
      <c r="B142" s="1">
        <v>45096</v>
      </c>
      <c r="C142" t="s">
        <v>8</v>
      </c>
      <c r="D142" t="s">
        <v>11</v>
      </c>
      <c r="E142">
        <v>4</v>
      </c>
      <c r="F142">
        <v>13</v>
      </c>
      <c r="G142">
        <v>0.5</v>
      </c>
      <c r="H142">
        <f>13.9-F142-G142</f>
        <v>0.40000000000000036</v>
      </c>
      <c r="I142">
        <f t="shared" si="33"/>
        <v>0.90000000000000036</v>
      </c>
      <c r="J142">
        <f t="shared" si="34"/>
        <v>13.9</v>
      </c>
      <c r="K142">
        <f t="shared" si="35"/>
        <v>1.3000000000000007</v>
      </c>
      <c r="L142">
        <f t="shared" si="39"/>
        <v>17.699999999999996</v>
      </c>
      <c r="M142">
        <f t="shared" si="42"/>
        <v>0.47540983606557385</v>
      </c>
      <c r="N142">
        <v>24</v>
      </c>
      <c r="O142">
        <f t="shared" si="36"/>
        <v>6</v>
      </c>
      <c r="P142">
        <f t="shared" si="37"/>
        <v>1260</v>
      </c>
      <c r="Q142">
        <f t="shared" si="38"/>
        <v>0.50459016393442613</v>
      </c>
      <c r="R142">
        <f t="shared" si="40"/>
        <v>8.3596721311475406</v>
      </c>
    </row>
    <row r="143" spans="1:18" x14ac:dyDescent="0.3">
      <c r="A143" t="s">
        <v>4</v>
      </c>
      <c r="B143" s="1">
        <v>45097</v>
      </c>
      <c r="C143" t="s">
        <v>8</v>
      </c>
      <c r="D143" t="s">
        <v>11</v>
      </c>
      <c r="E143">
        <v>4</v>
      </c>
      <c r="F143">
        <v>12.6</v>
      </c>
      <c r="G143">
        <v>0</v>
      </c>
      <c r="H143">
        <f>13.8-F143-G143</f>
        <v>1.2000000000000011</v>
      </c>
      <c r="I143">
        <f t="shared" si="33"/>
        <v>1.2000000000000011</v>
      </c>
      <c r="J143">
        <f t="shared" si="34"/>
        <v>13.8</v>
      </c>
      <c r="K143">
        <f t="shared" si="35"/>
        <v>1.2000000000000011</v>
      </c>
      <c r="L143">
        <f t="shared" si="39"/>
        <v>18.899999999999999</v>
      </c>
      <c r="M143">
        <f t="shared" si="42"/>
        <v>0.45901639344262307</v>
      </c>
      <c r="N143">
        <v>25</v>
      </c>
      <c r="O143">
        <f t="shared" si="36"/>
        <v>6</v>
      </c>
      <c r="P143">
        <f t="shared" si="37"/>
        <v>1260</v>
      </c>
      <c r="Q143">
        <f t="shared" si="38"/>
        <v>0.52098360655737697</v>
      </c>
      <c r="R143">
        <f t="shared" si="40"/>
        <v>8.8806557377049167</v>
      </c>
    </row>
    <row r="144" spans="1:18" x14ac:dyDescent="0.3">
      <c r="A144" t="s">
        <v>5</v>
      </c>
      <c r="B144" s="1">
        <v>45098</v>
      </c>
      <c r="C144" t="s">
        <v>8</v>
      </c>
      <c r="D144" t="s">
        <v>11</v>
      </c>
      <c r="E144">
        <v>4</v>
      </c>
      <c r="F144">
        <v>12.6</v>
      </c>
      <c r="G144">
        <v>0</v>
      </c>
      <c r="H144">
        <f>13.8-F144-G144</f>
        <v>1.2000000000000011</v>
      </c>
      <c r="I144">
        <f t="shared" si="33"/>
        <v>1.2000000000000011</v>
      </c>
      <c r="J144">
        <f t="shared" si="34"/>
        <v>13.8</v>
      </c>
      <c r="K144">
        <f t="shared" si="35"/>
        <v>1.3000000000000007</v>
      </c>
      <c r="L144">
        <f t="shared" si="39"/>
        <v>20.2</v>
      </c>
      <c r="M144">
        <f t="shared" si="42"/>
        <v>0.45901639344262307</v>
      </c>
      <c r="N144">
        <v>26</v>
      </c>
      <c r="O144">
        <f t="shared" si="36"/>
        <v>6</v>
      </c>
      <c r="P144">
        <f t="shared" si="37"/>
        <v>1260</v>
      </c>
      <c r="Q144">
        <f t="shared" si="38"/>
        <v>0.52098360655737697</v>
      </c>
      <c r="R144">
        <f t="shared" si="40"/>
        <v>9.4016393442622928</v>
      </c>
    </row>
    <row r="145" spans="1:18" x14ac:dyDescent="0.3">
      <c r="A145" t="s">
        <v>6</v>
      </c>
      <c r="B145" s="1">
        <v>45099</v>
      </c>
      <c r="C145" t="s">
        <v>8</v>
      </c>
      <c r="D145" t="s">
        <v>11</v>
      </c>
      <c r="E145">
        <v>4</v>
      </c>
      <c r="F145">
        <v>12.5</v>
      </c>
      <c r="G145">
        <v>0.5</v>
      </c>
      <c r="H145">
        <f>13.8-F145-G145</f>
        <v>0.80000000000000071</v>
      </c>
      <c r="I145">
        <f t="shared" si="33"/>
        <v>1.3000000000000007</v>
      </c>
      <c r="J145">
        <f t="shared" si="34"/>
        <v>13.8</v>
      </c>
      <c r="K145">
        <f t="shared" si="35"/>
        <v>1.1000000000000014</v>
      </c>
      <c r="L145">
        <f t="shared" si="39"/>
        <v>21.3</v>
      </c>
      <c r="M145">
        <f t="shared" si="42"/>
        <v>0.45901639344262307</v>
      </c>
      <c r="N145">
        <v>27</v>
      </c>
      <c r="O145">
        <f t="shared" si="36"/>
        <v>6.5</v>
      </c>
      <c r="P145">
        <f t="shared" si="37"/>
        <v>1365</v>
      </c>
      <c r="Q145">
        <f t="shared" si="38"/>
        <v>0.52098360655737697</v>
      </c>
      <c r="R145">
        <f t="shared" si="40"/>
        <v>9.9226229508196688</v>
      </c>
    </row>
    <row r="146" spans="1:18" x14ac:dyDescent="0.3">
      <c r="A146" t="s">
        <v>0</v>
      </c>
      <c r="B146" s="1">
        <v>45100</v>
      </c>
      <c r="C146" t="s">
        <v>8</v>
      </c>
      <c r="D146" t="s">
        <v>11</v>
      </c>
      <c r="E146">
        <v>4</v>
      </c>
      <c r="F146">
        <v>12.7</v>
      </c>
      <c r="G146">
        <v>0</v>
      </c>
      <c r="H146">
        <f>13.8-F146-G146</f>
        <v>1.1000000000000014</v>
      </c>
      <c r="I146">
        <f t="shared" si="33"/>
        <v>1.1000000000000014</v>
      </c>
      <c r="J146">
        <f t="shared" si="34"/>
        <v>13.8</v>
      </c>
      <c r="K146">
        <f t="shared" si="35"/>
        <v>0.60000000000000142</v>
      </c>
      <c r="L146">
        <f t="shared" si="39"/>
        <v>21.900000000000002</v>
      </c>
      <c r="M146">
        <f t="shared" si="42"/>
        <v>0.45901639344262307</v>
      </c>
      <c r="N146">
        <v>28</v>
      </c>
      <c r="O146">
        <f t="shared" si="36"/>
        <v>6.5</v>
      </c>
      <c r="P146">
        <f t="shared" si="37"/>
        <v>1365</v>
      </c>
      <c r="Q146">
        <f t="shared" si="38"/>
        <v>0.52098360655737697</v>
      </c>
      <c r="R146">
        <f t="shared" si="40"/>
        <v>10.443606557377045</v>
      </c>
    </row>
    <row r="147" spans="1:18" x14ac:dyDescent="0.3">
      <c r="A147" t="s">
        <v>1</v>
      </c>
      <c r="B147" s="1">
        <v>45101</v>
      </c>
      <c r="C147" t="s">
        <v>8</v>
      </c>
      <c r="D147" t="s">
        <v>11</v>
      </c>
      <c r="E147">
        <v>4</v>
      </c>
      <c r="F147">
        <v>13.2</v>
      </c>
      <c r="G147">
        <v>0</v>
      </c>
      <c r="H147">
        <f t="shared" ref="H147:H154" si="43">13.5-F147-G147</f>
        <v>0.30000000000000071</v>
      </c>
      <c r="I147">
        <f t="shared" si="33"/>
        <v>0.30000000000000071</v>
      </c>
      <c r="J147">
        <f t="shared" si="34"/>
        <v>13.5</v>
      </c>
      <c r="K147">
        <f t="shared" si="35"/>
        <v>1.0999999999999996</v>
      </c>
      <c r="L147">
        <f t="shared" si="39"/>
        <v>23</v>
      </c>
      <c r="M147">
        <f t="shared" si="42"/>
        <v>0.4098360655737705</v>
      </c>
      <c r="N147">
        <v>29</v>
      </c>
      <c r="O147">
        <f t="shared" si="36"/>
        <v>6.5</v>
      </c>
      <c r="P147">
        <f t="shared" si="37"/>
        <v>1365</v>
      </c>
      <c r="Q147">
        <f t="shared" si="38"/>
        <v>0.57016393442622948</v>
      </c>
      <c r="R147">
        <f>R146+Q147</f>
        <v>11.013770491803275</v>
      </c>
    </row>
    <row r="148" spans="1:18" x14ac:dyDescent="0.3">
      <c r="A148" t="s">
        <v>2</v>
      </c>
      <c r="B148" s="1">
        <v>45102</v>
      </c>
      <c r="C148" t="s">
        <v>8</v>
      </c>
      <c r="D148" t="s">
        <v>11</v>
      </c>
      <c r="E148">
        <v>4</v>
      </c>
      <c r="F148">
        <v>12.4</v>
      </c>
      <c r="G148">
        <v>0</v>
      </c>
      <c r="H148">
        <f t="shared" si="43"/>
        <v>1.0999999999999996</v>
      </c>
      <c r="I148">
        <f t="shared" si="33"/>
        <v>1.0999999999999996</v>
      </c>
      <c r="J148">
        <f t="shared" si="34"/>
        <v>13.5</v>
      </c>
      <c r="K148">
        <f t="shared" si="35"/>
        <v>1.3000000000000007</v>
      </c>
      <c r="L148">
        <f t="shared" si="39"/>
        <v>24.3</v>
      </c>
      <c r="M148">
        <f t="shared" si="42"/>
        <v>0.4098360655737705</v>
      </c>
      <c r="N148">
        <v>30</v>
      </c>
      <c r="O148">
        <f t="shared" si="36"/>
        <v>6.5</v>
      </c>
      <c r="P148">
        <f t="shared" si="37"/>
        <v>1365</v>
      </c>
      <c r="Q148">
        <f t="shared" si="38"/>
        <v>0.57016393442622948</v>
      </c>
      <c r="R148">
        <f t="shared" si="40"/>
        <v>11.583934426229504</v>
      </c>
    </row>
    <row r="149" spans="1:18" x14ac:dyDescent="0.3">
      <c r="A149" t="s">
        <v>3</v>
      </c>
      <c r="B149" s="1">
        <v>45103</v>
      </c>
      <c r="C149" t="s">
        <v>8</v>
      </c>
      <c r="D149" t="s">
        <v>11</v>
      </c>
      <c r="E149">
        <v>4</v>
      </c>
      <c r="F149">
        <v>12.2</v>
      </c>
      <c r="G149">
        <v>0.5</v>
      </c>
      <c r="H149">
        <f t="shared" si="43"/>
        <v>0.80000000000000071</v>
      </c>
      <c r="I149">
        <f t="shared" si="33"/>
        <v>1.3000000000000007</v>
      </c>
      <c r="J149">
        <f t="shared" si="34"/>
        <v>13.5</v>
      </c>
      <c r="K149">
        <f t="shared" si="35"/>
        <v>0.90000000000000036</v>
      </c>
      <c r="L149">
        <f t="shared" si="39"/>
        <v>25.200000000000003</v>
      </c>
      <c r="M149">
        <f t="shared" si="42"/>
        <v>0.4098360655737705</v>
      </c>
      <c r="N149">
        <v>31</v>
      </c>
      <c r="O149">
        <f t="shared" si="36"/>
        <v>7</v>
      </c>
      <c r="P149">
        <f t="shared" si="37"/>
        <v>1470</v>
      </c>
      <c r="Q149">
        <f t="shared" si="38"/>
        <v>0.57016393442622948</v>
      </c>
      <c r="R149">
        <f t="shared" si="40"/>
        <v>12.154098360655734</v>
      </c>
    </row>
    <row r="150" spans="1:18" x14ac:dyDescent="0.3">
      <c r="A150" t="s">
        <v>4</v>
      </c>
      <c r="B150" s="1">
        <v>45104</v>
      </c>
      <c r="C150" t="s">
        <v>8</v>
      </c>
      <c r="D150" t="s">
        <v>11</v>
      </c>
      <c r="E150">
        <v>4</v>
      </c>
      <c r="F150">
        <v>12.6</v>
      </c>
      <c r="G150">
        <v>0</v>
      </c>
      <c r="H150">
        <f t="shared" si="43"/>
        <v>0.90000000000000036</v>
      </c>
      <c r="I150">
        <f t="shared" si="33"/>
        <v>0.90000000000000036</v>
      </c>
      <c r="J150">
        <f t="shared" si="34"/>
        <v>13.5</v>
      </c>
      <c r="K150">
        <f t="shared" si="35"/>
        <v>1.1999999999999993</v>
      </c>
      <c r="L150">
        <f>L149+K150</f>
        <v>26.400000000000002</v>
      </c>
      <c r="M150">
        <f t="shared" si="42"/>
        <v>0.4098360655737705</v>
      </c>
      <c r="N150">
        <v>32</v>
      </c>
      <c r="O150">
        <f t="shared" si="36"/>
        <v>7</v>
      </c>
      <c r="P150">
        <f t="shared" si="37"/>
        <v>1470</v>
      </c>
      <c r="Q150">
        <f t="shared" si="38"/>
        <v>0.57016393442622948</v>
      </c>
      <c r="R150">
        <f t="shared" si="40"/>
        <v>12.724262295081964</v>
      </c>
    </row>
    <row r="151" spans="1:18" x14ac:dyDescent="0.3">
      <c r="A151" t="s">
        <v>5</v>
      </c>
      <c r="B151" s="1">
        <v>45105</v>
      </c>
      <c r="C151" t="s">
        <v>8</v>
      </c>
      <c r="D151" t="s">
        <v>11</v>
      </c>
      <c r="E151">
        <v>4</v>
      </c>
      <c r="F151">
        <v>12.3</v>
      </c>
      <c r="G151">
        <v>0</v>
      </c>
      <c r="H151">
        <f t="shared" si="43"/>
        <v>1.1999999999999993</v>
      </c>
      <c r="I151">
        <f t="shared" si="33"/>
        <v>1.1999999999999993</v>
      </c>
      <c r="J151">
        <f t="shared" si="34"/>
        <v>13.5</v>
      </c>
      <c r="K151">
        <f t="shared" si="35"/>
        <v>1.1999999999999993</v>
      </c>
      <c r="L151">
        <f t="shared" si="39"/>
        <v>27.6</v>
      </c>
      <c r="M151">
        <f t="shared" si="42"/>
        <v>0.4098360655737705</v>
      </c>
      <c r="N151">
        <v>33</v>
      </c>
      <c r="O151">
        <f t="shared" si="36"/>
        <v>7</v>
      </c>
      <c r="P151">
        <f t="shared" si="37"/>
        <v>1470</v>
      </c>
      <c r="Q151">
        <f t="shared" si="38"/>
        <v>0.57016393442622948</v>
      </c>
      <c r="R151">
        <f t="shared" si="40"/>
        <v>13.294426229508193</v>
      </c>
    </row>
    <row r="152" spans="1:18" x14ac:dyDescent="0.3">
      <c r="A152" t="s">
        <v>6</v>
      </c>
      <c r="B152" s="1">
        <v>45106</v>
      </c>
      <c r="C152" t="s">
        <v>8</v>
      </c>
      <c r="D152" t="s">
        <v>11</v>
      </c>
      <c r="E152">
        <v>4</v>
      </c>
      <c r="F152">
        <v>12.3</v>
      </c>
      <c r="G152">
        <v>0.5</v>
      </c>
      <c r="H152">
        <f t="shared" si="43"/>
        <v>0.69999999999999929</v>
      </c>
      <c r="I152">
        <f t="shared" si="33"/>
        <v>1.1999999999999993</v>
      </c>
      <c r="J152">
        <f t="shared" si="34"/>
        <v>13.5</v>
      </c>
      <c r="K152">
        <f t="shared" si="35"/>
        <v>1.0999999999999996</v>
      </c>
      <c r="L152">
        <f t="shared" si="39"/>
        <v>28.700000000000003</v>
      </c>
      <c r="M152">
        <f t="shared" si="42"/>
        <v>0.4098360655737705</v>
      </c>
      <c r="N152">
        <v>34</v>
      </c>
      <c r="O152">
        <f t="shared" si="36"/>
        <v>7.5</v>
      </c>
      <c r="P152">
        <f t="shared" si="37"/>
        <v>1575</v>
      </c>
      <c r="Q152">
        <f t="shared" si="38"/>
        <v>0.57016393442622948</v>
      </c>
      <c r="R152">
        <f t="shared" si="40"/>
        <v>13.864590163934423</v>
      </c>
    </row>
    <row r="153" spans="1:18" x14ac:dyDescent="0.3">
      <c r="A153" t="s">
        <v>0</v>
      </c>
      <c r="B153" s="1">
        <v>45107</v>
      </c>
      <c r="C153" t="s">
        <v>8</v>
      </c>
      <c r="D153" t="s">
        <v>11</v>
      </c>
      <c r="E153">
        <v>4</v>
      </c>
      <c r="F153">
        <v>12.4</v>
      </c>
      <c r="G153">
        <v>0</v>
      </c>
      <c r="H153">
        <f t="shared" si="43"/>
        <v>1.0999999999999996</v>
      </c>
      <c r="I153">
        <f t="shared" si="33"/>
        <v>1.0999999999999996</v>
      </c>
      <c r="J153">
        <f t="shared" si="34"/>
        <v>13.5</v>
      </c>
      <c r="K153">
        <f t="shared" si="35"/>
        <v>0.59999999999999964</v>
      </c>
      <c r="L153">
        <f t="shared" si="39"/>
        <v>29.300000000000004</v>
      </c>
      <c r="M153">
        <f t="shared" si="42"/>
        <v>0.4098360655737705</v>
      </c>
      <c r="N153">
        <v>35</v>
      </c>
      <c r="O153">
        <f t="shared" si="36"/>
        <v>7.5</v>
      </c>
      <c r="P153">
        <f t="shared" si="37"/>
        <v>1575</v>
      </c>
      <c r="Q153">
        <f t="shared" si="38"/>
        <v>0.57016393442622948</v>
      </c>
      <c r="R153">
        <f t="shared" si="40"/>
        <v>14.434754098360653</v>
      </c>
    </row>
    <row r="154" spans="1:18" x14ac:dyDescent="0.3">
      <c r="A154" t="s">
        <v>1</v>
      </c>
      <c r="B154" s="1">
        <v>45108</v>
      </c>
      <c r="C154" t="s">
        <v>8</v>
      </c>
      <c r="D154" t="s">
        <v>11</v>
      </c>
      <c r="E154">
        <v>4</v>
      </c>
      <c r="F154">
        <v>12.9</v>
      </c>
      <c r="G154">
        <v>0</v>
      </c>
      <c r="H154">
        <f t="shared" si="43"/>
        <v>0.59999999999999964</v>
      </c>
      <c r="I154">
        <f t="shared" si="33"/>
        <v>0.59999999999999964</v>
      </c>
      <c r="J154">
        <f t="shared" si="34"/>
        <v>13.5</v>
      </c>
      <c r="K154">
        <f t="shared" si="35"/>
        <v>0.90000000000000036</v>
      </c>
      <c r="L154">
        <f t="shared" si="39"/>
        <v>30.200000000000003</v>
      </c>
      <c r="M154">
        <f t="shared" si="42"/>
        <v>0.4098360655737705</v>
      </c>
      <c r="N154">
        <v>36</v>
      </c>
      <c r="O154">
        <f t="shared" si="36"/>
        <v>7.5</v>
      </c>
      <c r="P154">
        <f t="shared" si="37"/>
        <v>1575</v>
      </c>
      <c r="Q154">
        <f t="shared" si="38"/>
        <v>0.57016393442622948</v>
      </c>
      <c r="R154">
        <f t="shared" si="40"/>
        <v>15.004918032786883</v>
      </c>
    </row>
    <row r="155" spans="1:18" x14ac:dyDescent="0.3">
      <c r="A155" t="s">
        <v>2</v>
      </c>
      <c r="B155" s="1">
        <v>45109</v>
      </c>
      <c r="C155" t="s">
        <v>8</v>
      </c>
      <c r="D155" t="s">
        <v>11</v>
      </c>
      <c r="E155">
        <v>4</v>
      </c>
      <c r="F155">
        <v>12.6</v>
      </c>
      <c r="G155">
        <v>0</v>
      </c>
      <c r="H155">
        <f>13.1-F155-G155</f>
        <v>0.5</v>
      </c>
      <c r="I155">
        <f t="shared" si="33"/>
        <v>0.5</v>
      </c>
      <c r="J155">
        <f t="shared" si="34"/>
        <v>13.1</v>
      </c>
      <c r="K155">
        <f t="shared" si="35"/>
        <v>1.1999999999999993</v>
      </c>
      <c r="L155">
        <f t="shared" si="39"/>
        <v>31.400000000000002</v>
      </c>
      <c r="M155">
        <f t="shared" si="42"/>
        <v>0.34426229508196715</v>
      </c>
      <c r="N155">
        <v>37</v>
      </c>
      <c r="O155">
        <f t="shared" si="36"/>
        <v>7.5</v>
      </c>
      <c r="P155">
        <f t="shared" si="37"/>
        <v>1575</v>
      </c>
      <c r="Q155">
        <f t="shared" si="38"/>
        <v>0.63573770491803283</v>
      </c>
      <c r="R155">
        <f t="shared" si="40"/>
        <v>15.640655737704915</v>
      </c>
    </row>
    <row r="156" spans="1:18" x14ac:dyDescent="0.3">
      <c r="A156" t="s">
        <v>3</v>
      </c>
      <c r="B156" s="1">
        <v>45110</v>
      </c>
      <c r="C156" t="s">
        <v>8</v>
      </c>
      <c r="D156" t="s">
        <v>11</v>
      </c>
      <c r="E156">
        <v>4</v>
      </c>
      <c r="F156">
        <v>11.9</v>
      </c>
      <c r="G156">
        <v>0</v>
      </c>
      <c r="H156">
        <f>13.1-F156-G156</f>
        <v>1.1999999999999993</v>
      </c>
      <c r="I156">
        <f t="shared" si="33"/>
        <v>1.1999999999999993</v>
      </c>
      <c r="J156">
        <f t="shared" si="34"/>
        <v>13.1</v>
      </c>
      <c r="K156">
        <f t="shared" si="35"/>
        <v>1.5</v>
      </c>
      <c r="L156">
        <f t="shared" si="39"/>
        <v>32.900000000000006</v>
      </c>
      <c r="M156">
        <f t="shared" si="42"/>
        <v>0.34426229508196715</v>
      </c>
      <c r="N156">
        <v>38</v>
      </c>
      <c r="O156">
        <f t="shared" si="36"/>
        <v>7.5</v>
      </c>
      <c r="P156">
        <f t="shared" si="37"/>
        <v>1575</v>
      </c>
      <c r="Q156">
        <f t="shared" si="38"/>
        <v>0.63573770491803283</v>
      </c>
      <c r="R156">
        <f t="shared" si="40"/>
        <v>16.276393442622947</v>
      </c>
    </row>
    <row r="157" spans="1:18" x14ac:dyDescent="0.3">
      <c r="A157" t="s">
        <v>4</v>
      </c>
      <c r="B157" s="1">
        <v>45111</v>
      </c>
      <c r="C157" t="s">
        <v>8</v>
      </c>
      <c r="D157" t="s">
        <v>11</v>
      </c>
      <c r="E157">
        <v>4</v>
      </c>
      <c r="F157">
        <v>11.6</v>
      </c>
    </row>
    <row r="158" spans="1:18" x14ac:dyDescent="0.3">
      <c r="A158" t="s">
        <v>1</v>
      </c>
      <c r="B158" s="1">
        <v>45073</v>
      </c>
      <c r="C158" t="s">
        <v>8</v>
      </c>
      <c r="D158" t="s">
        <v>11</v>
      </c>
      <c r="E158">
        <v>5</v>
      </c>
      <c r="F158">
        <v>17</v>
      </c>
      <c r="G158">
        <v>0</v>
      </c>
      <c r="H158">
        <v>0</v>
      </c>
      <c r="I158">
        <f t="shared" ref="I158:I174" si="44">H158+G158</f>
        <v>0</v>
      </c>
      <c r="J158">
        <f t="shared" ref="J158:J198" si="45">I158+F158</f>
        <v>17</v>
      </c>
      <c r="K158">
        <f t="shared" ref="K158:K198" si="46">J158-F159</f>
        <v>0.10000000000000142</v>
      </c>
      <c r="M158">
        <f t="shared" si="42"/>
        <v>0.98360655737704927</v>
      </c>
      <c r="N158">
        <v>1</v>
      </c>
      <c r="O158">
        <v>2.5</v>
      </c>
      <c r="P158">
        <f>O158*210</f>
        <v>525</v>
      </c>
    </row>
    <row r="159" spans="1:18" x14ac:dyDescent="0.3">
      <c r="A159" t="s">
        <v>2</v>
      </c>
      <c r="B159" s="1">
        <v>45074</v>
      </c>
      <c r="C159" t="s">
        <v>8</v>
      </c>
      <c r="D159" t="s">
        <v>11</v>
      </c>
      <c r="E159">
        <v>5</v>
      </c>
      <c r="F159">
        <v>16.899999999999999</v>
      </c>
      <c r="G159">
        <v>0</v>
      </c>
      <c r="H159">
        <v>0</v>
      </c>
      <c r="I159">
        <f t="shared" si="44"/>
        <v>0</v>
      </c>
      <c r="J159">
        <f t="shared" si="45"/>
        <v>16.899999999999999</v>
      </c>
      <c r="K159">
        <f t="shared" si="46"/>
        <v>0.19999999999999929</v>
      </c>
      <c r="L159">
        <f>K159+K158</f>
        <v>0.30000000000000071</v>
      </c>
      <c r="M159">
        <f t="shared" si="42"/>
        <v>0.96721311475409821</v>
      </c>
      <c r="N159">
        <v>2</v>
      </c>
      <c r="O159">
        <f t="shared" ref="O159:O198" si="47">O158+G159</f>
        <v>2.5</v>
      </c>
      <c r="P159">
        <f t="shared" ref="P159:P198" si="48">O159*210</f>
        <v>525</v>
      </c>
      <c r="Q159">
        <f t="shared" ref="Q159:Q198" si="49">0.98-M159</f>
        <v>1.2786885245901769E-2</v>
      </c>
    </row>
    <row r="160" spans="1:18" x14ac:dyDescent="0.3">
      <c r="A160" t="s">
        <v>3</v>
      </c>
      <c r="B160" s="1">
        <v>45075</v>
      </c>
      <c r="C160" t="s">
        <v>8</v>
      </c>
      <c r="D160" t="s">
        <v>11</v>
      </c>
      <c r="E160">
        <v>5</v>
      </c>
      <c r="F160">
        <v>16.7</v>
      </c>
      <c r="G160">
        <v>0.25</v>
      </c>
      <c r="H160">
        <v>0</v>
      </c>
      <c r="I160">
        <f t="shared" si="44"/>
        <v>0.25</v>
      </c>
      <c r="J160">
        <f t="shared" si="45"/>
        <v>16.95</v>
      </c>
      <c r="K160">
        <f t="shared" si="46"/>
        <v>0.34999999999999787</v>
      </c>
      <c r="L160">
        <f>L159+K160</f>
        <v>0.64999999999999858</v>
      </c>
      <c r="M160">
        <f t="shared" si="42"/>
        <v>0.97540983606557374</v>
      </c>
      <c r="N160">
        <v>3</v>
      </c>
      <c r="O160">
        <f t="shared" si="47"/>
        <v>2.75</v>
      </c>
      <c r="P160">
        <f t="shared" si="48"/>
        <v>577.5</v>
      </c>
      <c r="Q160">
        <f t="shared" si="49"/>
        <v>4.590163934426239E-3</v>
      </c>
      <c r="R160">
        <f>Q159+Q160</f>
        <v>1.7377049180328008E-2</v>
      </c>
    </row>
    <row r="161" spans="1:18" x14ac:dyDescent="0.3">
      <c r="A161" t="s">
        <v>4</v>
      </c>
      <c r="B161" s="1">
        <v>45076</v>
      </c>
      <c r="C161" t="s">
        <v>8</v>
      </c>
      <c r="D161" t="s">
        <v>11</v>
      </c>
      <c r="E161">
        <v>5</v>
      </c>
      <c r="F161">
        <v>16.600000000000001</v>
      </c>
      <c r="G161">
        <v>0.25</v>
      </c>
      <c r="H161">
        <v>0</v>
      </c>
      <c r="I161">
        <f t="shared" si="44"/>
        <v>0.25</v>
      </c>
      <c r="J161">
        <f t="shared" si="45"/>
        <v>16.850000000000001</v>
      </c>
      <c r="K161">
        <f t="shared" si="46"/>
        <v>0.45000000000000284</v>
      </c>
      <c r="L161">
        <f t="shared" ref="L161:L197" si="50">L160+K161</f>
        <v>1.1000000000000014</v>
      </c>
      <c r="M161">
        <f t="shared" si="42"/>
        <v>0.95901639344262324</v>
      </c>
      <c r="N161">
        <v>4</v>
      </c>
      <c r="O161">
        <f t="shared" si="47"/>
        <v>3</v>
      </c>
      <c r="P161">
        <f t="shared" si="48"/>
        <v>630</v>
      </c>
      <c r="Q161">
        <f t="shared" si="49"/>
        <v>2.0983606557376744E-2</v>
      </c>
      <c r="R161">
        <f>R160+Q161</f>
        <v>3.8360655737704752E-2</v>
      </c>
    </row>
    <row r="162" spans="1:18" x14ac:dyDescent="0.3">
      <c r="A162" t="s">
        <v>5</v>
      </c>
      <c r="B162" s="1">
        <v>45077</v>
      </c>
      <c r="C162" t="s">
        <v>8</v>
      </c>
      <c r="D162" t="s">
        <v>11</v>
      </c>
      <c r="E162">
        <v>5</v>
      </c>
      <c r="F162">
        <v>16.399999999999999</v>
      </c>
      <c r="G162">
        <v>0</v>
      </c>
      <c r="H162">
        <v>0</v>
      </c>
      <c r="I162">
        <f t="shared" si="44"/>
        <v>0</v>
      </c>
      <c r="J162">
        <f t="shared" si="45"/>
        <v>16.399999999999999</v>
      </c>
      <c r="K162">
        <f t="shared" si="46"/>
        <v>0.29999999999999716</v>
      </c>
      <c r="L162">
        <f t="shared" si="50"/>
        <v>1.3999999999999986</v>
      </c>
      <c r="M162">
        <f t="shared" si="42"/>
        <v>0.88524590163934413</v>
      </c>
      <c r="N162">
        <v>5</v>
      </c>
      <c r="O162">
        <f t="shared" si="47"/>
        <v>3</v>
      </c>
      <c r="P162">
        <f t="shared" si="48"/>
        <v>630</v>
      </c>
      <c r="Q162">
        <f t="shared" si="49"/>
        <v>9.4754098360655847E-2</v>
      </c>
      <c r="R162">
        <f t="shared" ref="R162:R198" si="51">R161+Q162</f>
        <v>0.1331147540983606</v>
      </c>
    </row>
    <row r="163" spans="1:18" x14ac:dyDescent="0.3">
      <c r="A163" t="s">
        <v>6</v>
      </c>
      <c r="B163" s="1">
        <v>45078</v>
      </c>
      <c r="C163" t="s">
        <v>8</v>
      </c>
      <c r="D163" t="s">
        <v>11</v>
      </c>
      <c r="E163">
        <v>5</v>
      </c>
      <c r="F163">
        <v>16.100000000000001</v>
      </c>
      <c r="G163">
        <v>0.25</v>
      </c>
      <c r="H163">
        <v>0</v>
      </c>
      <c r="I163">
        <f t="shared" si="44"/>
        <v>0.25</v>
      </c>
      <c r="J163">
        <f t="shared" si="45"/>
        <v>16.350000000000001</v>
      </c>
      <c r="K163">
        <f t="shared" si="46"/>
        <v>0.15000000000000213</v>
      </c>
      <c r="L163">
        <f t="shared" si="50"/>
        <v>1.5500000000000007</v>
      </c>
      <c r="M163">
        <f t="shared" si="42"/>
        <v>0.87704918032786916</v>
      </c>
      <c r="N163">
        <v>6</v>
      </c>
      <c r="O163">
        <f t="shared" si="47"/>
        <v>3.25</v>
      </c>
      <c r="P163">
        <f t="shared" si="48"/>
        <v>682.5</v>
      </c>
      <c r="Q163">
        <f t="shared" si="49"/>
        <v>0.10295081967213082</v>
      </c>
      <c r="R163">
        <f t="shared" si="51"/>
        <v>0.23606557377049142</v>
      </c>
    </row>
    <row r="164" spans="1:18" x14ac:dyDescent="0.3">
      <c r="A164" t="s">
        <v>0</v>
      </c>
      <c r="B164" s="1">
        <v>45079</v>
      </c>
      <c r="C164" t="s">
        <v>8</v>
      </c>
      <c r="D164" t="s">
        <v>11</v>
      </c>
      <c r="E164">
        <v>5</v>
      </c>
      <c r="F164">
        <v>16.2</v>
      </c>
      <c r="G164">
        <v>0.25</v>
      </c>
      <c r="H164">
        <v>0</v>
      </c>
      <c r="I164">
        <f t="shared" si="44"/>
        <v>0.25</v>
      </c>
      <c r="J164">
        <f t="shared" si="45"/>
        <v>16.45</v>
      </c>
      <c r="K164">
        <f t="shared" si="46"/>
        <v>0.14999999999999858</v>
      </c>
      <c r="L164">
        <f t="shared" si="50"/>
        <v>1.6999999999999993</v>
      </c>
      <c r="M164">
        <f t="shared" si="42"/>
        <v>0.89344262295081955</v>
      </c>
      <c r="N164">
        <v>7</v>
      </c>
      <c r="O164">
        <f t="shared" si="47"/>
        <v>3.5</v>
      </c>
      <c r="P164">
        <f t="shared" si="48"/>
        <v>735</v>
      </c>
      <c r="Q164">
        <f t="shared" si="49"/>
        <v>8.6557377049180428E-2</v>
      </c>
      <c r="R164">
        <f t="shared" si="51"/>
        <v>0.32262295081967185</v>
      </c>
    </row>
    <row r="165" spans="1:18" x14ac:dyDescent="0.3">
      <c r="A165" t="s">
        <v>1</v>
      </c>
      <c r="B165" s="1">
        <v>45080</v>
      </c>
      <c r="C165" t="s">
        <v>8</v>
      </c>
      <c r="D165" t="s">
        <v>11</v>
      </c>
      <c r="E165">
        <v>5</v>
      </c>
      <c r="F165">
        <v>16.3</v>
      </c>
      <c r="G165">
        <v>0</v>
      </c>
      <c r="H165">
        <v>0</v>
      </c>
      <c r="I165">
        <f t="shared" si="44"/>
        <v>0</v>
      </c>
      <c r="J165">
        <f t="shared" si="45"/>
        <v>16.3</v>
      </c>
      <c r="K165">
        <f t="shared" si="46"/>
        <v>0.30000000000000071</v>
      </c>
      <c r="L165">
        <f t="shared" si="50"/>
        <v>2</v>
      </c>
      <c r="M165">
        <f t="shared" si="42"/>
        <v>0.86885245901639363</v>
      </c>
      <c r="N165">
        <v>8</v>
      </c>
      <c r="O165">
        <f t="shared" si="47"/>
        <v>3.5</v>
      </c>
      <c r="P165">
        <f t="shared" si="48"/>
        <v>735</v>
      </c>
      <c r="Q165">
        <f t="shared" si="49"/>
        <v>0.11114754098360635</v>
      </c>
      <c r="R165">
        <f t="shared" si="51"/>
        <v>0.4337704918032782</v>
      </c>
    </row>
    <row r="166" spans="1:18" x14ac:dyDescent="0.3">
      <c r="A166" t="s">
        <v>2</v>
      </c>
      <c r="B166" s="1">
        <v>45081</v>
      </c>
      <c r="C166" t="s">
        <v>8</v>
      </c>
      <c r="D166" t="s">
        <v>11</v>
      </c>
      <c r="E166">
        <v>5</v>
      </c>
      <c r="F166">
        <v>16</v>
      </c>
      <c r="G166">
        <v>0</v>
      </c>
      <c r="H166">
        <v>0</v>
      </c>
      <c r="I166">
        <f t="shared" si="44"/>
        <v>0</v>
      </c>
      <c r="J166">
        <f t="shared" si="45"/>
        <v>16</v>
      </c>
      <c r="K166">
        <f t="shared" si="46"/>
        <v>0.30000000000000071</v>
      </c>
      <c r="L166">
        <f t="shared" si="50"/>
        <v>2.3000000000000007</v>
      </c>
      <c r="M166">
        <f t="shared" si="42"/>
        <v>0.81967213114754101</v>
      </c>
      <c r="N166">
        <v>9</v>
      </c>
      <c r="O166">
        <f t="shared" si="47"/>
        <v>3.5</v>
      </c>
      <c r="P166">
        <f t="shared" si="48"/>
        <v>735</v>
      </c>
      <c r="Q166">
        <f t="shared" si="49"/>
        <v>0.16032786885245898</v>
      </c>
      <c r="R166">
        <f t="shared" si="51"/>
        <v>0.59409836065573718</v>
      </c>
    </row>
    <row r="167" spans="1:18" x14ac:dyDescent="0.3">
      <c r="A167" t="s">
        <v>3</v>
      </c>
      <c r="B167" s="1">
        <v>45082</v>
      </c>
      <c r="C167" t="s">
        <v>8</v>
      </c>
      <c r="D167" t="s">
        <v>11</v>
      </c>
      <c r="E167">
        <v>5</v>
      </c>
      <c r="F167">
        <v>15.7</v>
      </c>
      <c r="G167">
        <v>0.25</v>
      </c>
      <c r="H167">
        <v>0</v>
      </c>
      <c r="I167">
        <f t="shared" si="44"/>
        <v>0.25</v>
      </c>
      <c r="J167">
        <f t="shared" si="45"/>
        <v>15.95</v>
      </c>
      <c r="K167">
        <f t="shared" si="46"/>
        <v>0.25</v>
      </c>
      <c r="L167">
        <f t="shared" si="50"/>
        <v>2.5500000000000007</v>
      </c>
      <c r="M167">
        <f t="shared" si="42"/>
        <v>0.81147540983606548</v>
      </c>
      <c r="N167">
        <v>10</v>
      </c>
      <c r="O167">
        <f t="shared" si="47"/>
        <v>3.75</v>
      </c>
      <c r="P167">
        <f t="shared" si="48"/>
        <v>787.5</v>
      </c>
      <c r="Q167">
        <f t="shared" si="49"/>
        <v>0.16852459016393451</v>
      </c>
      <c r="R167">
        <f t="shared" si="51"/>
        <v>0.76262295081967169</v>
      </c>
    </row>
    <row r="168" spans="1:18" x14ac:dyDescent="0.3">
      <c r="A168" t="s">
        <v>4</v>
      </c>
      <c r="B168" s="1">
        <v>45083</v>
      </c>
      <c r="C168" t="s">
        <v>8</v>
      </c>
      <c r="D168" t="s">
        <v>11</v>
      </c>
      <c r="E168">
        <v>5</v>
      </c>
      <c r="F168">
        <v>15.7</v>
      </c>
      <c r="G168">
        <v>0.25</v>
      </c>
      <c r="H168">
        <v>0</v>
      </c>
      <c r="I168">
        <f t="shared" si="44"/>
        <v>0.25</v>
      </c>
      <c r="J168">
        <f t="shared" si="45"/>
        <v>15.95</v>
      </c>
      <c r="K168">
        <f t="shared" si="46"/>
        <v>0.54999999999999893</v>
      </c>
      <c r="L168">
        <f t="shared" si="50"/>
        <v>3.0999999999999996</v>
      </c>
      <c r="M168">
        <f t="shared" si="42"/>
        <v>0.81147540983606548</v>
      </c>
      <c r="N168">
        <v>11</v>
      </c>
      <c r="O168">
        <f t="shared" si="47"/>
        <v>4</v>
      </c>
      <c r="P168">
        <f t="shared" si="48"/>
        <v>840</v>
      </c>
      <c r="Q168">
        <f t="shared" si="49"/>
        <v>0.16852459016393451</v>
      </c>
      <c r="R168">
        <f t="shared" si="51"/>
        <v>0.93114754098360619</v>
      </c>
    </row>
    <row r="169" spans="1:18" x14ac:dyDescent="0.3">
      <c r="A169" t="s">
        <v>5</v>
      </c>
      <c r="B169" s="1">
        <v>45084</v>
      </c>
      <c r="C169" t="s">
        <v>8</v>
      </c>
      <c r="D169" t="s">
        <v>11</v>
      </c>
      <c r="E169">
        <v>5</v>
      </c>
      <c r="F169">
        <v>15.4</v>
      </c>
      <c r="G169">
        <v>0</v>
      </c>
      <c r="H169">
        <v>0</v>
      </c>
      <c r="I169">
        <f t="shared" si="44"/>
        <v>0</v>
      </c>
      <c r="J169">
        <f t="shared" si="45"/>
        <v>15.4</v>
      </c>
      <c r="K169">
        <f t="shared" si="46"/>
        <v>0.30000000000000071</v>
      </c>
      <c r="L169">
        <f t="shared" si="50"/>
        <v>3.4000000000000004</v>
      </c>
      <c r="M169">
        <f t="shared" si="42"/>
        <v>0.7213114754098362</v>
      </c>
      <c r="N169">
        <v>12</v>
      </c>
      <c r="O169">
        <f t="shared" si="47"/>
        <v>4</v>
      </c>
      <c r="P169">
        <f t="shared" si="48"/>
        <v>840</v>
      </c>
      <c r="Q169">
        <f t="shared" si="49"/>
        <v>0.25868852459016378</v>
      </c>
      <c r="R169">
        <f t="shared" si="51"/>
        <v>1.1898360655737701</v>
      </c>
    </row>
    <row r="170" spans="1:18" x14ac:dyDescent="0.3">
      <c r="A170" t="s">
        <v>6</v>
      </c>
      <c r="B170" s="1">
        <v>45085</v>
      </c>
      <c r="C170" t="s">
        <v>8</v>
      </c>
      <c r="D170" t="s">
        <v>11</v>
      </c>
      <c r="E170">
        <v>5</v>
      </c>
      <c r="F170">
        <v>15.1</v>
      </c>
      <c r="G170">
        <v>0.25</v>
      </c>
      <c r="H170">
        <v>0</v>
      </c>
      <c r="I170">
        <f t="shared" si="44"/>
        <v>0.25</v>
      </c>
      <c r="J170">
        <f t="shared" si="45"/>
        <v>15.35</v>
      </c>
      <c r="K170">
        <f t="shared" si="46"/>
        <v>0.25</v>
      </c>
      <c r="L170">
        <f t="shared" si="50"/>
        <v>3.6500000000000004</v>
      </c>
      <c r="M170">
        <f t="shared" si="42"/>
        <v>0.71311475409836067</v>
      </c>
      <c r="N170">
        <v>13</v>
      </c>
      <c r="O170">
        <f t="shared" si="47"/>
        <v>4.25</v>
      </c>
      <c r="P170">
        <f t="shared" si="48"/>
        <v>892.5</v>
      </c>
      <c r="Q170">
        <f t="shared" si="49"/>
        <v>0.26688524590163931</v>
      </c>
      <c r="R170">
        <f t="shared" si="51"/>
        <v>1.4567213114754094</v>
      </c>
    </row>
    <row r="171" spans="1:18" x14ac:dyDescent="0.3">
      <c r="A171" t="s">
        <v>0</v>
      </c>
      <c r="B171" s="1">
        <v>45086</v>
      </c>
      <c r="C171" t="s">
        <v>8</v>
      </c>
      <c r="D171" t="s">
        <v>11</v>
      </c>
      <c r="E171">
        <v>5</v>
      </c>
      <c r="F171">
        <v>15.1</v>
      </c>
      <c r="G171">
        <v>0.25</v>
      </c>
      <c r="H171">
        <v>0</v>
      </c>
      <c r="I171">
        <f t="shared" si="44"/>
        <v>0.25</v>
      </c>
      <c r="J171">
        <f t="shared" si="45"/>
        <v>15.35</v>
      </c>
      <c r="K171">
        <f t="shared" si="46"/>
        <v>0.65000000000000036</v>
      </c>
      <c r="L171">
        <f t="shared" si="50"/>
        <v>4.3000000000000007</v>
      </c>
      <c r="M171">
        <f t="shared" si="42"/>
        <v>0.71311475409836067</v>
      </c>
      <c r="N171">
        <v>14</v>
      </c>
      <c r="O171">
        <f t="shared" si="47"/>
        <v>4.5</v>
      </c>
      <c r="P171">
        <f t="shared" si="48"/>
        <v>945</v>
      </c>
      <c r="Q171">
        <f t="shared" si="49"/>
        <v>0.26688524590163931</v>
      </c>
      <c r="R171">
        <f t="shared" si="51"/>
        <v>1.7236065573770487</v>
      </c>
    </row>
    <row r="172" spans="1:18" x14ac:dyDescent="0.3">
      <c r="A172" t="s">
        <v>1</v>
      </c>
      <c r="B172" s="1">
        <v>45087</v>
      </c>
      <c r="C172" t="s">
        <v>8</v>
      </c>
      <c r="D172" t="s">
        <v>11</v>
      </c>
      <c r="E172">
        <v>5</v>
      </c>
      <c r="F172">
        <v>14.7</v>
      </c>
      <c r="G172">
        <v>0</v>
      </c>
      <c r="H172">
        <f>14.7-F172-G172</f>
        <v>0</v>
      </c>
      <c r="I172">
        <f t="shared" si="44"/>
        <v>0</v>
      </c>
      <c r="J172">
        <f t="shared" si="45"/>
        <v>14.7</v>
      </c>
      <c r="K172">
        <f t="shared" si="46"/>
        <v>0.5</v>
      </c>
      <c r="L172">
        <f t="shared" si="50"/>
        <v>4.8000000000000007</v>
      </c>
      <c r="M172">
        <f t="shared" si="42"/>
        <v>0.60655737704918022</v>
      </c>
      <c r="N172">
        <v>15</v>
      </c>
      <c r="O172">
        <f t="shared" si="47"/>
        <v>4.5</v>
      </c>
      <c r="P172">
        <f t="shared" si="48"/>
        <v>945</v>
      </c>
      <c r="Q172">
        <f t="shared" si="49"/>
        <v>0.37344262295081976</v>
      </c>
      <c r="R172">
        <f t="shared" si="51"/>
        <v>2.0970491803278684</v>
      </c>
    </row>
    <row r="173" spans="1:18" x14ac:dyDescent="0.3">
      <c r="A173" t="s">
        <v>2</v>
      </c>
      <c r="B173" s="1">
        <v>45088</v>
      </c>
      <c r="C173" t="s">
        <v>8</v>
      </c>
      <c r="D173" t="s">
        <v>11</v>
      </c>
      <c r="E173">
        <v>5</v>
      </c>
      <c r="F173">
        <v>14.2</v>
      </c>
      <c r="G173">
        <v>0</v>
      </c>
      <c r="H173">
        <f>14.7-F173-G173</f>
        <v>0.5</v>
      </c>
      <c r="I173">
        <f t="shared" si="44"/>
        <v>0.5</v>
      </c>
      <c r="J173">
        <f t="shared" si="45"/>
        <v>14.7</v>
      </c>
      <c r="K173">
        <f t="shared" si="46"/>
        <v>0.69999999999999929</v>
      </c>
      <c r="L173">
        <f t="shared" si="50"/>
        <v>5.5</v>
      </c>
      <c r="M173">
        <f t="shared" si="42"/>
        <v>0.60655737704918022</v>
      </c>
      <c r="N173">
        <v>16</v>
      </c>
      <c r="O173">
        <f t="shared" si="47"/>
        <v>4.5</v>
      </c>
      <c r="P173">
        <f t="shared" si="48"/>
        <v>945</v>
      </c>
      <c r="Q173">
        <f t="shared" si="49"/>
        <v>0.37344262295081976</v>
      </c>
      <c r="R173">
        <f t="shared" si="51"/>
        <v>2.470491803278688</v>
      </c>
    </row>
    <row r="174" spans="1:18" x14ac:dyDescent="0.3">
      <c r="A174" t="s">
        <v>3</v>
      </c>
      <c r="B174" s="1">
        <v>45089</v>
      </c>
      <c r="C174" t="s">
        <v>8</v>
      </c>
      <c r="D174" t="s">
        <v>11</v>
      </c>
      <c r="E174">
        <v>5</v>
      </c>
      <c r="F174">
        <v>14</v>
      </c>
      <c r="G174">
        <v>0.25</v>
      </c>
      <c r="H174">
        <f>14.7-F174-G174</f>
        <v>0.44999999999999929</v>
      </c>
      <c r="I174">
        <f t="shared" si="44"/>
        <v>0.69999999999999929</v>
      </c>
      <c r="J174">
        <f t="shared" si="45"/>
        <v>14.7</v>
      </c>
      <c r="K174">
        <f t="shared" si="46"/>
        <v>0.29999999999999893</v>
      </c>
      <c r="L174">
        <f t="shared" si="50"/>
        <v>5.7999999999999989</v>
      </c>
      <c r="M174">
        <f t="shared" si="42"/>
        <v>0.60655737704918022</v>
      </c>
      <c r="N174">
        <v>17</v>
      </c>
      <c r="O174">
        <f t="shared" si="47"/>
        <v>4.75</v>
      </c>
      <c r="P174">
        <f t="shared" si="48"/>
        <v>997.5</v>
      </c>
      <c r="Q174">
        <f t="shared" si="49"/>
        <v>0.37344262295081976</v>
      </c>
      <c r="R174">
        <f t="shared" si="51"/>
        <v>2.8439344262295077</v>
      </c>
    </row>
    <row r="175" spans="1:18" x14ac:dyDescent="0.3">
      <c r="A175" t="s">
        <v>4</v>
      </c>
      <c r="B175" s="1">
        <v>45090</v>
      </c>
      <c r="C175" t="s">
        <v>8</v>
      </c>
      <c r="D175" t="s">
        <v>11</v>
      </c>
      <c r="E175">
        <v>5</v>
      </c>
      <c r="F175">
        <v>14.4</v>
      </c>
      <c r="G175">
        <v>0.25</v>
      </c>
      <c r="H175">
        <f>14.7-F175-G175</f>
        <v>4.9999999999998934E-2</v>
      </c>
      <c r="I175">
        <v>0</v>
      </c>
      <c r="J175">
        <f t="shared" si="45"/>
        <v>14.4</v>
      </c>
      <c r="K175">
        <f t="shared" si="46"/>
        <v>0.30000000000000071</v>
      </c>
      <c r="L175">
        <f t="shared" si="50"/>
        <v>6.1</v>
      </c>
      <c r="M175">
        <f t="shared" si="42"/>
        <v>0.55737704918032793</v>
      </c>
      <c r="N175">
        <v>18</v>
      </c>
      <c r="O175">
        <f t="shared" si="47"/>
        <v>5</v>
      </c>
      <c r="P175">
        <f t="shared" si="48"/>
        <v>1050</v>
      </c>
      <c r="Q175">
        <f t="shared" si="49"/>
        <v>0.42262295081967205</v>
      </c>
      <c r="R175">
        <f t="shared" si="51"/>
        <v>3.2665573770491796</v>
      </c>
    </row>
    <row r="176" spans="1:18" x14ac:dyDescent="0.3">
      <c r="A176" t="s">
        <v>5</v>
      </c>
      <c r="B176" s="1">
        <v>45091</v>
      </c>
      <c r="C176" t="s">
        <v>8</v>
      </c>
      <c r="D176" t="s">
        <v>11</v>
      </c>
      <c r="E176">
        <v>5</v>
      </c>
      <c r="F176">
        <v>14.1</v>
      </c>
      <c r="G176">
        <v>0</v>
      </c>
      <c r="H176">
        <v>0</v>
      </c>
      <c r="I176">
        <f t="shared" ref="I176:I198" si="52">H176+G176</f>
        <v>0</v>
      </c>
      <c r="J176">
        <f t="shared" si="45"/>
        <v>14.1</v>
      </c>
      <c r="K176">
        <f t="shared" si="46"/>
        <v>0.19999999999999929</v>
      </c>
      <c r="L176">
        <f t="shared" si="50"/>
        <v>6.2999999999999989</v>
      </c>
      <c r="M176">
        <f t="shared" si="42"/>
        <v>0.50819672131147542</v>
      </c>
      <c r="N176">
        <v>19</v>
      </c>
      <c r="O176">
        <f t="shared" si="47"/>
        <v>5</v>
      </c>
      <c r="P176">
        <f t="shared" si="48"/>
        <v>1050</v>
      </c>
      <c r="Q176">
        <f t="shared" si="49"/>
        <v>0.47180327868852456</v>
      </c>
      <c r="R176">
        <f t="shared" si="51"/>
        <v>3.7383606557377043</v>
      </c>
    </row>
    <row r="177" spans="1:18" x14ac:dyDescent="0.3">
      <c r="A177" t="s">
        <v>6</v>
      </c>
      <c r="B177" s="1">
        <v>45092</v>
      </c>
      <c r="C177" t="s">
        <v>8</v>
      </c>
      <c r="D177" t="s">
        <v>11</v>
      </c>
      <c r="E177">
        <v>5</v>
      </c>
      <c r="F177">
        <v>13.9</v>
      </c>
      <c r="G177">
        <v>0.5</v>
      </c>
      <c r="H177">
        <v>0</v>
      </c>
      <c r="I177">
        <f t="shared" si="52"/>
        <v>0.5</v>
      </c>
      <c r="J177">
        <f t="shared" si="45"/>
        <v>14.4</v>
      </c>
      <c r="K177">
        <f t="shared" si="46"/>
        <v>0.40000000000000036</v>
      </c>
      <c r="L177">
        <f t="shared" si="50"/>
        <v>6.6999999999999993</v>
      </c>
      <c r="M177">
        <f t="shared" si="42"/>
        <v>0.55737704918032793</v>
      </c>
      <c r="N177">
        <v>20</v>
      </c>
      <c r="O177">
        <f t="shared" si="47"/>
        <v>5.5</v>
      </c>
      <c r="P177">
        <f t="shared" si="48"/>
        <v>1155</v>
      </c>
      <c r="Q177">
        <f t="shared" si="49"/>
        <v>0.42262295081967205</v>
      </c>
      <c r="R177">
        <f t="shared" si="51"/>
        <v>4.1609836065573766</v>
      </c>
    </row>
    <row r="178" spans="1:18" x14ac:dyDescent="0.3">
      <c r="A178" t="s">
        <v>0</v>
      </c>
      <c r="B178" s="1">
        <v>45093</v>
      </c>
      <c r="C178" t="s">
        <v>8</v>
      </c>
      <c r="D178" t="s">
        <v>11</v>
      </c>
      <c r="E178">
        <v>5</v>
      </c>
      <c r="F178">
        <v>14</v>
      </c>
      <c r="G178">
        <v>0</v>
      </c>
      <c r="H178">
        <f>14.5-F178-G178</f>
        <v>0.5</v>
      </c>
      <c r="I178">
        <f t="shared" si="52"/>
        <v>0.5</v>
      </c>
      <c r="J178">
        <f t="shared" si="45"/>
        <v>14.5</v>
      </c>
      <c r="K178">
        <f t="shared" si="46"/>
        <v>0.5</v>
      </c>
      <c r="L178">
        <f t="shared" si="50"/>
        <v>7.1999999999999993</v>
      </c>
      <c r="M178">
        <f t="shared" si="42"/>
        <v>0.57377049180327877</v>
      </c>
      <c r="N178">
        <v>21</v>
      </c>
      <c r="O178">
        <f t="shared" si="47"/>
        <v>5.5</v>
      </c>
      <c r="P178">
        <f t="shared" si="48"/>
        <v>1155</v>
      </c>
      <c r="Q178">
        <f t="shared" si="49"/>
        <v>0.40622950819672121</v>
      </c>
      <c r="R178">
        <f t="shared" si="51"/>
        <v>4.5672131147540975</v>
      </c>
    </row>
    <row r="179" spans="1:18" x14ac:dyDescent="0.3">
      <c r="A179" t="s">
        <v>1</v>
      </c>
      <c r="B179" s="1">
        <v>45094</v>
      </c>
      <c r="C179" t="s">
        <v>8</v>
      </c>
      <c r="D179" t="s">
        <v>11</v>
      </c>
      <c r="E179">
        <v>5</v>
      </c>
      <c r="F179">
        <v>14</v>
      </c>
      <c r="G179">
        <v>0</v>
      </c>
      <c r="H179">
        <f>14.5-F179-G179</f>
        <v>0.5</v>
      </c>
      <c r="I179">
        <f t="shared" si="52"/>
        <v>0.5</v>
      </c>
      <c r="J179">
        <f t="shared" si="45"/>
        <v>14.5</v>
      </c>
      <c r="K179">
        <f t="shared" si="46"/>
        <v>0.5</v>
      </c>
      <c r="L179">
        <f t="shared" si="50"/>
        <v>7.6999999999999993</v>
      </c>
      <c r="M179">
        <f t="shared" si="42"/>
        <v>0.57377049180327877</v>
      </c>
      <c r="N179">
        <v>22</v>
      </c>
      <c r="O179">
        <f t="shared" si="47"/>
        <v>5.5</v>
      </c>
      <c r="P179">
        <f t="shared" si="48"/>
        <v>1155</v>
      </c>
      <c r="Q179">
        <f t="shared" si="49"/>
        <v>0.40622950819672121</v>
      </c>
      <c r="R179">
        <f t="shared" si="51"/>
        <v>4.9734426229508184</v>
      </c>
    </row>
    <row r="180" spans="1:18" x14ac:dyDescent="0.3">
      <c r="A180" t="s">
        <v>2</v>
      </c>
      <c r="B180" s="1">
        <v>45095</v>
      </c>
      <c r="C180" t="s">
        <v>8</v>
      </c>
      <c r="D180" t="s">
        <v>11</v>
      </c>
      <c r="E180">
        <v>5</v>
      </c>
      <c r="F180">
        <v>14</v>
      </c>
      <c r="G180">
        <v>0</v>
      </c>
      <c r="H180">
        <f>14.4-F180-G180</f>
        <v>0.40000000000000036</v>
      </c>
      <c r="I180">
        <f t="shared" si="52"/>
        <v>0.40000000000000036</v>
      </c>
      <c r="J180">
        <f t="shared" si="45"/>
        <v>14.4</v>
      </c>
      <c r="K180">
        <f t="shared" si="46"/>
        <v>0.40000000000000036</v>
      </c>
      <c r="L180">
        <f t="shared" si="50"/>
        <v>8.1</v>
      </c>
      <c r="M180">
        <f t="shared" si="42"/>
        <v>0.55737704918032793</v>
      </c>
      <c r="N180">
        <v>23</v>
      </c>
      <c r="O180">
        <f t="shared" si="47"/>
        <v>5.5</v>
      </c>
      <c r="P180">
        <f t="shared" si="48"/>
        <v>1155</v>
      </c>
      <c r="Q180">
        <f t="shared" si="49"/>
        <v>0.42262295081967205</v>
      </c>
      <c r="R180">
        <f t="shared" si="51"/>
        <v>5.3960655737704908</v>
      </c>
    </row>
    <row r="181" spans="1:18" x14ac:dyDescent="0.3">
      <c r="A181" t="s">
        <v>3</v>
      </c>
      <c r="B181" s="1">
        <v>45096</v>
      </c>
      <c r="C181" t="s">
        <v>8</v>
      </c>
      <c r="D181" t="s">
        <v>11</v>
      </c>
      <c r="E181">
        <v>5</v>
      </c>
      <c r="F181">
        <v>14</v>
      </c>
      <c r="G181">
        <v>0.5</v>
      </c>
      <c r="H181">
        <f>14.5-F181-G181</f>
        <v>0</v>
      </c>
      <c r="I181">
        <f t="shared" si="52"/>
        <v>0.5</v>
      </c>
      <c r="J181">
        <f t="shared" si="45"/>
        <v>14.5</v>
      </c>
      <c r="K181">
        <f t="shared" si="46"/>
        <v>0.59999999999999964</v>
      </c>
      <c r="L181">
        <f t="shared" si="50"/>
        <v>8.6999999999999993</v>
      </c>
      <c r="M181">
        <f t="shared" si="42"/>
        <v>0.57377049180327877</v>
      </c>
      <c r="N181">
        <v>24</v>
      </c>
      <c r="O181">
        <f t="shared" si="47"/>
        <v>6</v>
      </c>
      <c r="P181">
        <f t="shared" si="48"/>
        <v>1260</v>
      </c>
      <c r="Q181">
        <f t="shared" si="49"/>
        <v>0.40622950819672121</v>
      </c>
      <c r="R181">
        <f t="shared" si="51"/>
        <v>5.8022950819672117</v>
      </c>
    </row>
    <row r="182" spans="1:18" x14ac:dyDescent="0.3">
      <c r="A182" t="s">
        <v>4</v>
      </c>
      <c r="B182" s="1">
        <v>45097</v>
      </c>
      <c r="C182" t="s">
        <v>8</v>
      </c>
      <c r="D182" t="s">
        <v>11</v>
      </c>
      <c r="E182">
        <v>5</v>
      </c>
      <c r="F182">
        <v>13.9</v>
      </c>
      <c r="G182">
        <v>0</v>
      </c>
      <c r="H182">
        <f>13.9-F182-G182</f>
        <v>0</v>
      </c>
      <c r="I182">
        <f t="shared" si="52"/>
        <v>0</v>
      </c>
      <c r="J182">
        <f t="shared" si="45"/>
        <v>13.9</v>
      </c>
      <c r="K182">
        <f t="shared" si="46"/>
        <v>0.5</v>
      </c>
      <c r="L182">
        <f t="shared" si="50"/>
        <v>9.1999999999999993</v>
      </c>
      <c r="M182">
        <f t="shared" si="42"/>
        <v>0.47540983606557385</v>
      </c>
      <c r="N182">
        <v>25</v>
      </c>
      <c r="O182">
        <f t="shared" si="47"/>
        <v>6</v>
      </c>
      <c r="P182">
        <f t="shared" si="48"/>
        <v>1260</v>
      </c>
      <c r="Q182">
        <f t="shared" si="49"/>
        <v>0.50459016393442613</v>
      </c>
      <c r="R182">
        <f t="shared" si="51"/>
        <v>6.306885245901638</v>
      </c>
    </row>
    <row r="183" spans="1:18" x14ac:dyDescent="0.3">
      <c r="A183" t="s">
        <v>5</v>
      </c>
      <c r="B183" s="1">
        <v>45098</v>
      </c>
      <c r="C183" t="s">
        <v>8</v>
      </c>
      <c r="D183" t="s">
        <v>11</v>
      </c>
      <c r="E183">
        <v>5</v>
      </c>
      <c r="F183">
        <v>13.4</v>
      </c>
      <c r="G183">
        <v>0</v>
      </c>
      <c r="H183">
        <f>14-F183-G183</f>
        <v>0.59999999999999964</v>
      </c>
      <c r="I183">
        <f t="shared" si="52"/>
        <v>0.59999999999999964</v>
      </c>
      <c r="J183">
        <f t="shared" si="45"/>
        <v>14</v>
      </c>
      <c r="K183">
        <f t="shared" si="46"/>
        <v>0.80000000000000071</v>
      </c>
      <c r="L183">
        <f t="shared" si="50"/>
        <v>10</v>
      </c>
      <c r="M183">
        <f t="shared" si="42"/>
        <v>0.49180327868852464</v>
      </c>
      <c r="N183">
        <v>26</v>
      </c>
      <c r="O183">
        <f t="shared" si="47"/>
        <v>6</v>
      </c>
      <c r="P183">
        <f t="shared" si="48"/>
        <v>1260</v>
      </c>
      <c r="Q183">
        <f t="shared" si="49"/>
        <v>0.48819672131147535</v>
      </c>
      <c r="R183">
        <f t="shared" si="51"/>
        <v>6.7950819672131137</v>
      </c>
    </row>
    <row r="184" spans="1:18" x14ac:dyDescent="0.3">
      <c r="A184" t="s">
        <v>6</v>
      </c>
      <c r="B184" s="1">
        <v>45099</v>
      </c>
      <c r="C184" t="s">
        <v>8</v>
      </c>
      <c r="D184" t="s">
        <v>11</v>
      </c>
      <c r="E184">
        <v>5</v>
      </c>
      <c r="F184">
        <v>13.2</v>
      </c>
      <c r="G184">
        <v>0.5</v>
      </c>
      <c r="H184">
        <f>14-F184-G184</f>
        <v>0.30000000000000071</v>
      </c>
      <c r="I184">
        <f t="shared" si="52"/>
        <v>0.80000000000000071</v>
      </c>
      <c r="J184">
        <f t="shared" si="45"/>
        <v>14</v>
      </c>
      <c r="K184">
        <f t="shared" si="46"/>
        <v>0.80000000000000071</v>
      </c>
      <c r="L184">
        <f t="shared" si="50"/>
        <v>10.8</v>
      </c>
      <c r="M184">
        <f t="shared" si="42"/>
        <v>0.49180327868852464</v>
      </c>
      <c r="N184">
        <v>27</v>
      </c>
      <c r="O184">
        <f t="shared" si="47"/>
        <v>6.5</v>
      </c>
      <c r="P184">
        <f t="shared" si="48"/>
        <v>1365</v>
      </c>
      <c r="Q184">
        <f t="shared" si="49"/>
        <v>0.48819672131147535</v>
      </c>
      <c r="R184">
        <f t="shared" si="51"/>
        <v>7.2832786885245895</v>
      </c>
    </row>
    <row r="185" spans="1:18" x14ac:dyDescent="0.3">
      <c r="A185" t="s">
        <v>0</v>
      </c>
      <c r="B185" s="1">
        <v>45100</v>
      </c>
      <c r="C185" t="s">
        <v>8</v>
      </c>
      <c r="D185" t="s">
        <v>11</v>
      </c>
      <c r="E185">
        <v>5</v>
      </c>
      <c r="F185">
        <v>13.2</v>
      </c>
      <c r="G185">
        <v>0</v>
      </c>
      <c r="H185">
        <f>14-F185-G185</f>
        <v>0.80000000000000071</v>
      </c>
      <c r="I185">
        <f t="shared" si="52"/>
        <v>0.80000000000000071</v>
      </c>
      <c r="J185">
        <f t="shared" si="45"/>
        <v>14</v>
      </c>
      <c r="K185">
        <f t="shared" si="46"/>
        <v>0.59999999999999964</v>
      </c>
      <c r="L185">
        <f t="shared" si="50"/>
        <v>11.4</v>
      </c>
      <c r="M185">
        <f t="shared" si="42"/>
        <v>0.49180327868852464</v>
      </c>
      <c r="N185">
        <v>28</v>
      </c>
      <c r="O185">
        <f t="shared" si="47"/>
        <v>6.5</v>
      </c>
      <c r="P185">
        <f t="shared" si="48"/>
        <v>1365</v>
      </c>
      <c r="Q185">
        <f t="shared" si="49"/>
        <v>0.48819672131147535</v>
      </c>
      <c r="R185">
        <f t="shared" si="51"/>
        <v>7.7714754098360652</v>
      </c>
    </row>
    <row r="186" spans="1:18" x14ac:dyDescent="0.3">
      <c r="A186" t="s">
        <v>1</v>
      </c>
      <c r="B186" s="1">
        <v>45101</v>
      </c>
      <c r="C186" t="s">
        <v>8</v>
      </c>
      <c r="D186" t="s">
        <v>11</v>
      </c>
      <c r="E186">
        <v>5</v>
      </c>
      <c r="F186">
        <v>13.4</v>
      </c>
      <c r="G186">
        <v>0</v>
      </c>
      <c r="H186">
        <f>13.7-F186-G186</f>
        <v>0.29999999999999893</v>
      </c>
      <c r="I186">
        <f t="shared" si="52"/>
        <v>0.29999999999999893</v>
      </c>
      <c r="J186">
        <f t="shared" si="45"/>
        <v>13.7</v>
      </c>
      <c r="K186">
        <f t="shared" si="46"/>
        <v>0.59999999999999964</v>
      </c>
      <c r="L186">
        <f t="shared" si="50"/>
        <v>12</v>
      </c>
      <c r="M186">
        <f t="shared" si="42"/>
        <v>0.44262295081967207</v>
      </c>
      <c r="N186">
        <v>29</v>
      </c>
      <c r="O186">
        <f t="shared" si="47"/>
        <v>6.5</v>
      </c>
      <c r="P186">
        <f t="shared" si="48"/>
        <v>1365</v>
      </c>
      <c r="Q186">
        <f t="shared" si="49"/>
        <v>0.53737704918032791</v>
      </c>
      <c r="R186">
        <f>R185+Q186</f>
        <v>8.3088524590163928</v>
      </c>
    </row>
    <row r="187" spans="1:18" x14ac:dyDescent="0.3">
      <c r="A187" t="s">
        <v>2</v>
      </c>
      <c r="B187" s="1">
        <v>45102</v>
      </c>
      <c r="C187" t="s">
        <v>8</v>
      </c>
      <c r="D187" t="s">
        <v>11</v>
      </c>
      <c r="E187">
        <v>5</v>
      </c>
      <c r="F187">
        <v>13.1</v>
      </c>
      <c r="G187">
        <v>0</v>
      </c>
      <c r="H187">
        <f>13.8-F187-G187</f>
        <v>0.70000000000000107</v>
      </c>
      <c r="I187">
        <f t="shared" si="52"/>
        <v>0.70000000000000107</v>
      </c>
      <c r="J187">
        <f t="shared" si="45"/>
        <v>13.8</v>
      </c>
      <c r="K187">
        <f t="shared" si="46"/>
        <v>0.90000000000000036</v>
      </c>
      <c r="L187">
        <f t="shared" si="50"/>
        <v>12.9</v>
      </c>
      <c r="M187">
        <f t="shared" si="42"/>
        <v>0.45901639344262307</v>
      </c>
      <c r="N187">
        <v>30</v>
      </c>
      <c r="O187">
        <f t="shared" si="47"/>
        <v>6.5</v>
      </c>
      <c r="P187">
        <f t="shared" si="48"/>
        <v>1365</v>
      </c>
      <c r="Q187">
        <f t="shared" si="49"/>
        <v>0.52098360655737697</v>
      </c>
      <c r="R187">
        <f t="shared" si="51"/>
        <v>8.8298360655737689</v>
      </c>
    </row>
    <row r="188" spans="1:18" x14ac:dyDescent="0.3">
      <c r="A188" t="s">
        <v>3</v>
      </c>
      <c r="B188" s="1">
        <v>45103</v>
      </c>
      <c r="C188" t="s">
        <v>8</v>
      </c>
      <c r="D188" t="s">
        <v>11</v>
      </c>
      <c r="E188">
        <v>5</v>
      </c>
      <c r="F188">
        <v>12.9</v>
      </c>
      <c r="G188">
        <v>0.5</v>
      </c>
      <c r="H188">
        <f>13.8-F188-G188</f>
        <v>0.40000000000000036</v>
      </c>
      <c r="I188">
        <f t="shared" si="52"/>
        <v>0.90000000000000036</v>
      </c>
      <c r="J188">
        <f t="shared" si="45"/>
        <v>13.8</v>
      </c>
      <c r="K188">
        <f t="shared" si="46"/>
        <v>0.80000000000000071</v>
      </c>
      <c r="L188">
        <f t="shared" si="50"/>
        <v>13.700000000000001</v>
      </c>
      <c r="M188">
        <f t="shared" si="42"/>
        <v>0.45901639344262307</v>
      </c>
      <c r="N188">
        <v>31</v>
      </c>
      <c r="O188">
        <f t="shared" si="47"/>
        <v>7</v>
      </c>
      <c r="P188">
        <f t="shared" si="48"/>
        <v>1470</v>
      </c>
      <c r="Q188">
        <f t="shared" si="49"/>
        <v>0.52098360655737697</v>
      </c>
      <c r="R188">
        <f t="shared" si="51"/>
        <v>9.350819672131145</v>
      </c>
    </row>
    <row r="189" spans="1:18" x14ac:dyDescent="0.3">
      <c r="A189" t="s">
        <v>4</v>
      </c>
      <c r="B189" s="1">
        <v>45104</v>
      </c>
      <c r="C189" t="s">
        <v>8</v>
      </c>
      <c r="D189" t="s">
        <v>11</v>
      </c>
      <c r="E189">
        <v>5</v>
      </c>
      <c r="F189">
        <v>13</v>
      </c>
      <c r="G189">
        <v>0</v>
      </c>
      <c r="H189">
        <f>13.8-F189-G189</f>
        <v>0.80000000000000071</v>
      </c>
      <c r="I189">
        <f t="shared" si="52"/>
        <v>0.80000000000000071</v>
      </c>
      <c r="J189">
        <f t="shared" si="45"/>
        <v>13.8</v>
      </c>
      <c r="K189">
        <f t="shared" si="46"/>
        <v>0.90000000000000036</v>
      </c>
      <c r="L189">
        <f t="shared" si="50"/>
        <v>14.600000000000001</v>
      </c>
      <c r="M189">
        <f t="shared" si="42"/>
        <v>0.45901639344262307</v>
      </c>
      <c r="N189">
        <v>32</v>
      </c>
      <c r="O189">
        <f t="shared" si="47"/>
        <v>7</v>
      </c>
      <c r="P189">
        <f t="shared" si="48"/>
        <v>1470</v>
      </c>
      <c r="Q189">
        <f t="shared" si="49"/>
        <v>0.52098360655737697</v>
      </c>
      <c r="R189">
        <f t="shared" si="51"/>
        <v>9.871803278688521</v>
      </c>
    </row>
    <row r="190" spans="1:18" x14ac:dyDescent="0.3">
      <c r="A190" t="s">
        <v>5</v>
      </c>
      <c r="B190" s="1">
        <v>45105</v>
      </c>
      <c r="C190" t="s">
        <v>8</v>
      </c>
      <c r="D190" t="s">
        <v>11</v>
      </c>
      <c r="E190">
        <v>5</v>
      </c>
      <c r="F190">
        <v>12.9</v>
      </c>
      <c r="G190">
        <v>0</v>
      </c>
      <c r="H190">
        <f>13.8-F190-G190</f>
        <v>0.90000000000000036</v>
      </c>
      <c r="I190">
        <f t="shared" si="52"/>
        <v>0.90000000000000036</v>
      </c>
      <c r="J190">
        <f t="shared" si="45"/>
        <v>13.8</v>
      </c>
      <c r="K190">
        <f t="shared" si="46"/>
        <v>0.90000000000000036</v>
      </c>
      <c r="L190">
        <f t="shared" si="50"/>
        <v>15.500000000000002</v>
      </c>
      <c r="M190">
        <f t="shared" si="42"/>
        <v>0.45901639344262307</v>
      </c>
      <c r="N190">
        <v>33</v>
      </c>
      <c r="O190">
        <f t="shared" si="47"/>
        <v>7</v>
      </c>
      <c r="P190">
        <f t="shared" si="48"/>
        <v>1470</v>
      </c>
      <c r="Q190">
        <f t="shared" si="49"/>
        <v>0.52098360655737697</v>
      </c>
      <c r="R190">
        <f t="shared" si="51"/>
        <v>10.392786885245897</v>
      </c>
    </row>
    <row r="191" spans="1:18" x14ac:dyDescent="0.3">
      <c r="A191" t="s">
        <v>6</v>
      </c>
      <c r="B191" s="1">
        <v>45106</v>
      </c>
      <c r="C191" t="s">
        <v>8</v>
      </c>
      <c r="D191" t="s">
        <v>11</v>
      </c>
      <c r="E191">
        <v>5</v>
      </c>
      <c r="F191">
        <v>12.9</v>
      </c>
      <c r="G191">
        <v>0.5</v>
      </c>
      <c r="H191">
        <f>13.5-F191-G191</f>
        <v>9.9999999999999645E-2</v>
      </c>
      <c r="I191">
        <f t="shared" si="52"/>
        <v>0.59999999999999964</v>
      </c>
      <c r="J191">
        <f t="shared" si="45"/>
        <v>13.5</v>
      </c>
      <c r="K191">
        <f t="shared" si="46"/>
        <v>0.59999999999999964</v>
      </c>
      <c r="L191">
        <f t="shared" si="50"/>
        <v>16.100000000000001</v>
      </c>
      <c r="M191">
        <f t="shared" si="42"/>
        <v>0.4098360655737705</v>
      </c>
      <c r="N191">
        <v>34</v>
      </c>
      <c r="O191">
        <f t="shared" si="47"/>
        <v>7.5</v>
      </c>
      <c r="P191">
        <f t="shared" si="48"/>
        <v>1575</v>
      </c>
      <c r="Q191">
        <f t="shared" si="49"/>
        <v>0.57016393442622948</v>
      </c>
      <c r="R191">
        <f t="shared" si="51"/>
        <v>10.962950819672127</v>
      </c>
    </row>
    <row r="192" spans="1:18" x14ac:dyDescent="0.3">
      <c r="A192" t="s">
        <v>0</v>
      </c>
      <c r="B192" s="1">
        <v>45107</v>
      </c>
      <c r="C192" t="s">
        <v>8</v>
      </c>
      <c r="D192" t="s">
        <v>11</v>
      </c>
      <c r="E192">
        <v>5</v>
      </c>
      <c r="F192">
        <v>12.9</v>
      </c>
      <c r="G192">
        <v>0</v>
      </c>
      <c r="H192">
        <f>13.5-F192-G192</f>
        <v>0.59999999999999964</v>
      </c>
      <c r="I192">
        <f t="shared" si="52"/>
        <v>0.59999999999999964</v>
      </c>
      <c r="J192">
        <f t="shared" si="45"/>
        <v>13.5</v>
      </c>
      <c r="K192">
        <f t="shared" si="46"/>
        <v>0.40000000000000036</v>
      </c>
      <c r="L192">
        <f t="shared" si="50"/>
        <v>16.5</v>
      </c>
      <c r="M192">
        <f t="shared" si="42"/>
        <v>0.4098360655737705</v>
      </c>
      <c r="N192">
        <v>35</v>
      </c>
      <c r="O192">
        <f t="shared" si="47"/>
        <v>7.5</v>
      </c>
      <c r="P192">
        <f t="shared" si="48"/>
        <v>1575</v>
      </c>
      <c r="Q192">
        <f t="shared" si="49"/>
        <v>0.57016393442622948</v>
      </c>
      <c r="R192">
        <f t="shared" si="51"/>
        <v>11.533114754098357</v>
      </c>
    </row>
    <row r="193" spans="1:18" x14ac:dyDescent="0.3">
      <c r="A193" t="s">
        <v>1</v>
      </c>
      <c r="B193" s="1">
        <v>45108</v>
      </c>
      <c r="C193" t="s">
        <v>8</v>
      </c>
      <c r="D193" t="s">
        <v>11</v>
      </c>
      <c r="E193">
        <v>5</v>
      </c>
      <c r="F193">
        <v>13.1</v>
      </c>
      <c r="G193">
        <v>0</v>
      </c>
      <c r="H193">
        <f>13.5-F193-G193</f>
        <v>0.40000000000000036</v>
      </c>
      <c r="I193">
        <f t="shared" si="52"/>
        <v>0.40000000000000036</v>
      </c>
      <c r="J193">
        <f t="shared" si="45"/>
        <v>13.5</v>
      </c>
      <c r="K193">
        <f t="shared" si="46"/>
        <v>1.0999999999999996</v>
      </c>
      <c r="L193">
        <f t="shared" si="50"/>
        <v>17.600000000000001</v>
      </c>
      <c r="M193">
        <f t="shared" si="42"/>
        <v>0.4098360655737705</v>
      </c>
      <c r="N193">
        <v>36</v>
      </c>
      <c r="O193">
        <f t="shared" si="47"/>
        <v>7.5</v>
      </c>
      <c r="P193">
        <f t="shared" si="48"/>
        <v>1575</v>
      </c>
      <c r="Q193">
        <f t="shared" si="49"/>
        <v>0.57016393442622948</v>
      </c>
      <c r="R193">
        <f t="shared" si="51"/>
        <v>12.103278688524586</v>
      </c>
    </row>
    <row r="194" spans="1:18" x14ac:dyDescent="0.3">
      <c r="A194" t="s">
        <v>2</v>
      </c>
      <c r="B194" s="1">
        <v>45109</v>
      </c>
      <c r="C194" t="s">
        <v>8</v>
      </c>
      <c r="D194" t="s">
        <v>11</v>
      </c>
      <c r="E194">
        <v>5</v>
      </c>
      <c r="F194">
        <v>12.4</v>
      </c>
      <c r="G194">
        <v>0</v>
      </c>
      <c r="H194">
        <f>13.1-F194-G194</f>
        <v>0.69999999999999929</v>
      </c>
      <c r="I194">
        <f t="shared" si="52"/>
        <v>0.69999999999999929</v>
      </c>
      <c r="J194">
        <f t="shared" si="45"/>
        <v>13.1</v>
      </c>
      <c r="K194">
        <f t="shared" si="46"/>
        <v>0.69999999999999929</v>
      </c>
      <c r="L194">
        <f t="shared" si="50"/>
        <v>18.3</v>
      </c>
      <c r="M194">
        <f t="shared" si="42"/>
        <v>0.34426229508196715</v>
      </c>
      <c r="N194">
        <v>37</v>
      </c>
      <c r="O194">
        <f t="shared" si="47"/>
        <v>7.5</v>
      </c>
      <c r="P194">
        <f t="shared" si="48"/>
        <v>1575</v>
      </c>
      <c r="Q194">
        <f t="shared" si="49"/>
        <v>0.63573770491803283</v>
      </c>
      <c r="R194">
        <f t="shared" si="51"/>
        <v>12.739016393442618</v>
      </c>
    </row>
    <row r="195" spans="1:18" x14ac:dyDescent="0.3">
      <c r="A195" t="s">
        <v>3</v>
      </c>
      <c r="B195" s="1">
        <v>45110</v>
      </c>
      <c r="C195" t="s">
        <v>8</v>
      </c>
      <c r="D195" t="s">
        <v>11</v>
      </c>
      <c r="E195">
        <v>5</v>
      </c>
      <c r="F195">
        <v>12.4</v>
      </c>
      <c r="G195">
        <v>0.5</v>
      </c>
      <c r="H195">
        <f>13.5-F195-G195</f>
        <v>0.59999999999999964</v>
      </c>
      <c r="I195">
        <f t="shared" si="52"/>
        <v>1.0999999999999996</v>
      </c>
      <c r="J195">
        <f t="shared" si="45"/>
        <v>13.5</v>
      </c>
      <c r="K195">
        <f t="shared" si="46"/>
        <v>1.0999999999999996</v>
      </c>
      <c r="L195">
        <f t="shared" si="50"/>
        <v>19.399999999999999</v>
      </c>
      <c r="M195">
        <f t="shared" ref="M195:M258" si="53">(J195-11)/6.1</f>
        <v>0.4098360655737705</v>
      </c>
      <c r="N195">
        <v>38</v>
      </c>
      <c r="O195">
        <f t="shared" si="47"/>
        <v>8</v>
      </c>
      <c r="P195">
        <f t="shared" si="48"/>
        <v>1680</v>
      </c>
      <c r="Q195">
        <f t="shared" si="49"/>
        <v>0.57016393442622948</v>
      </c>
      <c r="R195">
        <f t="shared" si="51"/>
        <v>13.309180327868848</v>
      </c>
    </row>
    <row r="196" spans="1:18" x14ac:dyDescent="0.3">
      <c r="A196" t="s">
        <v>4</v>
      </c>
      <c r="B196" s="1">
        <v>45111</v>
      </c>
      <c r="C196" t="s">
        <v>8</v>
      </c>
      <c r="D196" t="s">
        <v>11</v>
      </c>
      <c r="E196">
        <v>5</v>
      </c>
      <c r="F196">
        <v>12.4</v>
      </c>
      <c r="G196">
        <v>0</v>
      </c>
      <c r="H196">
        <f>13.1-F196-G196</f>
        <v>0.69999999999999929</v>
      </c>
      <c r="I196">
        <f t="shared" si="52"/>
        <v>0.69999999999999929</v>
      </c>
      <c r="J196">
        <f t="shared" si="45"/>
        <v>13.1</v>
      </c>
      <c r="K196">
        <f t="shared" si="46"/>
        <v>1.1999999999999993</v>
      </c>
      <c r="L196">
        <f t="shared" si="50"/>
        <v>20.599999999999998</v>
      </c>
      <c r="M196">
        <f t="shared" si="53"/>
        <v>0.34426229508196715</v>
      </c>
      <c r="N196">
        <v>39</v>
      </c>
      <c r="O196">
        <f t="shared" si="47"/>
        <v>8</v>
      </c>
      <c r="P196">
        <f t="shared" si="48"/>
        <v>1680</v>
      </c>
      <c r="Q196">
        <f t="shared" si="49"/>
        <v>0.63573770491803283</v>
      </c>
      <c r="R196">
        <f t="shared" si="51"/>
        <v>13.94491803278688</v>
      </c>
    </row>
    <row r="197" spans="1:18" x14ac:dyDescent="0.3">
      <c r="A197" t="s">
        <v>5</v>
      </c>
      <c r="B197" s="1">
        <v>45112</v>
      </c>
      <c r="C197" t="s">
        <v>8</v>
      </c>
      <c r="D197" t="s">
        <v>11</v>
      </c>
      <c r="E197">
        <v>5</v>
      </c>
      <c r="F197">
        <v>11.9</v>
      </c>
      <c r="G197">
        <v>0</v>
      </c>
      <c r="H197">
        <f>13.1-F197-G197</f>
        <v>1.1999999999999993</v>
      </c>
      <c r="I197">
        <f t="shared" si="52"/>
        <v>1.1999999999999993</v>
      </c>
      <c r="J197">
        <f t="shared" si="45"/>
        <v>13.1</v>
      </c>
      <c r="K197">
        <f t="shared" si="46"/>
        <v>1.5999999999999996</v>
      </c>
      <c r="L197">
        <f t="shared" si="50"/>
        <v>22.199999999999996</v>
      </c>
      <c r="M197">
        <f t="shared" si="53"/>
        <v>0.34426229508196715</v>
      </c>
      <c r="N197">
        <v>40</v>
      </c>
      <c r="O197">
        <f t="shared" si="47"/>
        <v>8</v>
      </c>
      <c r="P197">
        <f t="shared" si="48"/>
        <v>1680</v>
      </c>
      <c r="Q197">
        <f t="shared" si="49"/>
        <v>0.63573770491803283</v>
      </c>
      <c r="R197">
        <f t="shared" si="51"/>
        <v>14.580655737704912</v>
      </c>
    </row>
    <row r="198" spans="1:18" x14ac:dyDescent="0.3">
      <c r="A198" t="s">
        <v>6</v>
      </c>
      <c r="B198" s="1">
        <v>45113</v>
      </c>
      <c r="C198" t="s">
        <v>8</v>
      </c>
      <c r="D198" t="s">
        <v>11</v>
      </c>
      <c r="E198">
        <v>5</v>
      </c>
      <c r="F198">
        <v>11.5</v>
      </c>
      <c r="G198">
        <v>0</v>
      </c>
      <c r="H198">
        <f>13.1-F198-G198</f>
        <v>1.5999999999999996</v>
      </c>
      <c r="I198">
        <f t="shared" si="52"/>
        <v>1.5999999999999996</v>
      </c>
      <c r="J198">
        <f t="shared" si="45"/>
        <v>13.1</v>
      </c>
      <c r="K198">
        <f t="shared" si="46"/>
        <v>1.5</v>
      </c>
      <c r="L198">
        <f>L197+K198</f>
        <v>23.699999999999996</v>
      </c>
      <c r="M198">
        <f t="shared" si="53"/>
        <v>0.34426229508196715</v>
      </c>
      <c r="N198">
        <v>41</v>
      </c>
      <c r="O198">
        <f t="shared" si="47"/>
        <v>8</v>
      </c>
      <c r="P198">
        <f t="shared" si="48"/>
        <v>1680</v>
      </c>
      <c r="Q198">
        <f t="shared" si="49"/>
        <v>0.63573770491803283</v>
      </c>
      <c r="R198">
        <f t="shared" si="51"/>
        <v>15.216393442622945</v>
      </c>
    </row>
    <row r="199" spans="1:18" x14ac:dyDescent="0.3">
      <c r="A199" t="s">
        <v>0</v>
      </c>
      <c r="B199" s="1">
        <v>45114</v>
      </c>
      <c r="C199" t="s">
        <v>8</v>
      </c>
      <c r="D199" t="s">
        <v>11</v>
      </c>
      <c r="E199">
        <v>5</v>
      </c>
      <c r="F199">
        <v>11.6</v>
      </c>
    </row>
    <row r="200" spans="1:18" x14ac:dyDescent="0.3">
      <c r="A200" t="s">
        <v>1</v>
      </c>
      <c r="B200" s="1">
        <v>45073</v>
      </c>
      <c r="C200" t="s">
        <v>8</v>
      </c>
      <c r="D200" t="s">
        <v>11</v>
      </c>
      <c r="E200">
        <v>6</v>
      </c>
      <c r="F200">
        <v>17</v>
      </c>
      <c r="G200">
        <v>0</v>
      </c>
      <c r="H200">
        <v>0</v>
      </c>
      <c r="I200">
        <f t="shared" ref="I200:I216" si="54">H200+G200</f>
        <v>0</v>
      </c>
      <c r="J200">
        <f t="shared" ref="J200:J237" si="55">I200+F200</f>
        <v>17</v>
      </c>
      <c r="K200">
        <f t="shared" ref="K200:K237" si="56">J200-F201</f>
        <v>0.80000000000000071</v>
      </c>
      <c r="M200">
        <f t="shared" si="53"/>
        <v>0.98360655737704927</v>
      </c>
      <c r="N200">
        <v>1</v>
      </c>
      <c r="O200">
        <v>2.5</v>
      </c>
      <c r="P200">
        <f>O200*210</f>
        <v>525</v>
      </c>
    </row>
    <row r="201" spans="1:18" x14ac:dyDescent="0.3">
      <c r="A201" t="s">
        <v>2</v>
      </c>
      <c r="B201" s="1">
        <v>45074</v>
      </c>
      <c r="C201" t="s">
        <v>8</v>
      </c>
      <c r="D201" t="s">
        <v>11</v>
      </c>
      <c r="E201">
        <v>6</v>
      </c>
      <c r="F201">
        <v>16.2</v>
      </c>
      <c r="G201">
        <v>0</v>
      </c>
      <c r="H201">
        <v>0</v>
      </c>
      <c r="I201">
        <f t="shared" si="54"/>
        <v>0</v>
      </c>
      <c r="J201">
        <f t="shared" si="55"/>
        <v>16.2</v>
      </c>
      <c r="K201">
        <f t="shared" si="56"/>
        <v>0.69999999999999929</v>
      </c>
      <c r="L201">
        <f>K200+K201</f>
        <v>1.5</v>
      </c>
      <c r="M201">
        <f t="shared" si="53"/>
        <v>0.85245901639344257</v>
      </c>
      <c r="N201">
        <v>2</v>
      </c>
      <c r="O201">
        <f t="shared" ref="O201:O237" si="57">O200+G201</f>
        <v>2.5</v>
      </c>
      <c r="P201">
        <f t="shared" ref="P201:P237" si="58">O201*210</f>
        <v>525</v>
      </c>
      <c r="Q201">
        <f t="shared" ref="Q201:Q237" si="59">0.98-M201</f>
        <v>0.12754098360655741</v>
      </c>
    </row>
    <row r="202" spans="1:18" x14ac:dyDescent="0.3">
      <c r="A202" t="s">
        <v>3</v>
      </c>
      <c r="B202" s="1">
        <v>45075</v>
      </c>
      <c r="C202" t="s">
        <v>8</v>
      </c>
      <c r="D202" t="s">
        <v>11</v>
      </c>
      <c r="E202">
        <v>6</v>
      </c>
      <c r="F202">
        <v>15.5</v>
      </c>
      <c r="G202">
        <v>0.25</v>
      </c>
      <c r="H202">
        <v>0</v>
      </c>
      <c r="I202">
        <f t="shared" si="54"/>
        <v>0.25</v>
      </c>
      <c r="J202">
        <f t="shared" si="55"/>
        <v>15.75</v>
      </c>
      <c r="K202">
        <f t="shared" si="56"/>
        <v>0.94999999999999929</v>
      </c>
      <c r="L202">
        <f>L201+K202</f>
        <v>2.4499999999999993</v>
      </c>
      <c r="M202">
        <f t="shared" si="53"/>
        <v>0.77868852459016402</v>
      </c>
      <c r="N202">
        <v>3</v>
      </c>
      <c r="O202">
        <f t="shared" si="57"/>
        <v>2.75</v>
      </c>
      <c r="P202">
        <f t="shared" si="58"/>
        <v>577.5</v>
      </c>
      <c r="Q202">
        <f t="shared" si="59"/>
        <v>0.20131147540983596</v>
      </c>
      <c r="R202">
        <f>Q201+Q202</f>
        <v>0.32885245901639337</v>
      </c>
    </row>
    <row r="203" spans="1:18" x14ac:dyDescent="0.3">
      <c r="A203" t="s">
        <v>4</v>
      </c>
      <c r="B203" s="1">
        <v>45076</v>
      </c>
      <c r="C203" t="s">
        <v>8</v>
      </c>
      <c r="D203" t="s">
        <v>11</v>
      </c>
      <c r="E203">
        <v>6</v>
      </c>
      <c r="F203">
        <v>14.8</v>
      </c>
      <c r="G203">
        <v>0.25</v>
      </c>
      <c r="H203">
        <v>0</v>
      </c>
      <c r="I203">
        <f t="shared" si="54"/>
        <v>0.25</v>
      </c>
      <c r="J203">
        <f t="shared" si="55"/>
        <v>15.05</v>
      </c>
      <c r="K203">
        <f t="shared" si="56"/>
        <v>1.1500000000000004</v>
      </c>
      <c r="L203">
        <f t="shared" ref="L203:L237" si="60">L202+K203</f>
        <v>3.5999999999999996</v>
      </c>
      <c r="M203">
        <f t="shared" si="53"/>
        <v>0.66393442622950838</v>
      </c>
      <c r="N203">
        <v>4</v>
      </c>
      <c r="O203">
        <f t="shared" si="57"/>
        <v>3</v>
      </c>
      <c r="P203">
        <f t="shared" si="58"/>
        <v>630</v>
      </c>
      <c r="Q203">
        <f t="shared" si="59"/>
        <v>0.3160655737704916</v>
      </c>
      <c r="R203">
        <f>R202+Q203</f>
        <v>0.64491803278688498</v>
      </c>
    </row>
    <row r="204" spans="1:18" x14ac:dyDescent="0.3">
      <c r="A204" t="s">
        <v>5</v>
      </c>
      <c r="B204" s="1">
        <v>45077</v>
      </c>
      <c r="C204" t="s">
        <v>8</v>
      </c>
      <c r="D204" t="s">
        <v>11</v>
      </c>
      <c r="E204">
        <v>6</v>
      </c>
      <c r="F204">
        <v>13.9</v>
      </c>
      <c r="G204">
        <v>0</v>
      </c>
      <c r="H204">
        <f t="shared" ref="H204:H209" si="61">14.7-F204-G204</f>
        <v>0.79999999999999893</v>
      </c>
      <c r="I204">
        <f t="shared" si="54"/>
        <v>0.79999999999999893</v>
      </c>
      <c r="J204">
        <f t="shared" si="55"/>
        <v>14.7</v>
      </c>
      <c r="K204">
        <f t="shared" si="56"/>
        <v>0.89999999999999858</v>
      </c>
      <c r="L204">
        <f t="shared" si="60"/>
        <v>4.4999999999999982</v>
      </c>
      <c r="M204">
        <f t="shared" si="53"/>
        <v>0.60655737704918022</v>
      </c>
      <c r="N204">
        <v>5</v>
      </c>
      <c r="O204">
        <f t="shared" si="57"/>
        <v>3</v>
      </c>
      <c r="P204">
        <f t="shared" si="58"/>
        <v>630</v>
      </c>
      <c r="Q204">
        <f t="shared" si="59"/>
        <v>0.37344262295081976</v>
      </c>
      <c r="R204">
        <f t="shared" ref="R204:R237" si="62">R203+Q204</f>
        <v>1.0183606557377047</v>
      </c>
    </row>
    <row r="205" spans="1:18" x14ac:dyDescent="0.3">
      <c r="A205" t="s">
        <v>6</v>
      </c>
      <c r="B205" s="1">
        <v>45078</v>
      </c>
      <c r="C205" t="s">
        <v>8</v>
      </c>
      <c r="D205" t="s">
        <v>11</v>
      </c>
      <c r="E205">
        <v>6</v>
      </c>
      <c r="F205">
        <v>13.8</v>
      </c>
      <c r="G205">
        <v>0.25</v>
      </c>
      <c r="H205">
        <f t="shared" si="61"/>
        <v>0.64999999999999858</v>
      </c>
      <c r="I205">
        <f t="shared" si="54"/>
        <v>0.89999999999999858</v>
      </c>
      <c r="J205">
        <f t="shared" si="55"/>
        <v>14.7</v>
      </c>
      <c r="K205">
        <f t="shared" si="56"/>
        <v>0.59999999999999964</v>
      </c>
      <c r="L205">
        <f t="shared" si="60"/>
        <v>5.0999999999999979</v>
      </c>
      <c r="M205">
        <f t="shared" si="53"/>
        <v>0.60655737704918022</v>
      </c>
      <c r="N205">
        <v>6</v>
      </c>
      <c r="O205">
        <f t="shared" si="57"/>
        <v>3.25</v>
      </c>
      <c r="P205">
        <f t="shared" si="58"/>
        <v>682.5</v>
      </c>
      <c r="Q205">
        <f t="shared" si="59"/>
        <v>0.37344262295081976</v>
      </c>
      <c r="R205">
        <f t="shared" si="62"/>
        <v>1.3918032786885246</v>
      </c>
    </row>
    <row r="206" spans="1:18" x14ac:dyDescent="0.3">
      <c r="A206" t="s">
        <v>0</v>
      </c>
      <c r="B206" s="1">
        <v>45079</v>
      </c>
      <c r="C206" t="s">
        <v>8</v>
      </c>
      <c r="D206" t="s">
        <v>11</v>
      </c>
      <c r="E206">
        <v>6</v>
      </c>
      <c r="F206">
        <v>14.1</v>
      </c>
      <c r="G206">
        <v>0.25</v>
      </c>
      <c r="H206">
        <f t="shared" si="61"/>
        <v>0.34999999999999964</v>
      </c>
      <c r="I206">
        <f t="shared" si="54"/>
        <v>0.59999999999999964</v>
      </c>
      <c r="J206">
        <f t="shared" si="55"/>
        <v>14.7</v>
      </c>
      <c r="K206">
        <f t="shared" si="56"/>
        <v>0.39999999999999858</v>
      </c>
      <c r="L206">
        <f t="shared" si="60"/>
        <v>5.4999999999999964</v>
      </c>
      <c r="M206">
        <f t="shared" si="53"/>
        <v>0.60655737704918022</v>
      </c>
      <c r="N206">
        <v>7</v>
      </c>
      <c r="O206">
        <f t="shared" si="57"/>
        <v>3.5</v>
      </c>
      <c r="P206">
        <f t="shared" si="58"/>
        <v>735</v>
      </c>
      <c r="Q206">
        <f t="shared" si="59"/>
        <v>0.37344262295081976</v>
      </c>
      <c r="R206">
        <f t="shared" si="62"/>
        <v>1.7652459016393443</v>
      </c>
    </row>
    <row r="207" spans="1:18" x14ac:dyDescent="0.3">
      <c r="A207" t="s">
        <v>1</v>
      </c>
      <c r="B207" s="1">
        <v>45080</v>
      </c>
      <c r="C207" t="s">
        <v>8</v>
      </c>
      <c r="D207" t="s">
        <v>11</v>
      </c>
      <c r="E207">
        <v>6</v>
      </c>
      <c r="F207">
        <v>14.3</v>
      </c>
      <c r="G207">
        <v>0</v>
      </c>
      <c r="H207">
        <f t="shared" si="61"/>
        <v>0.39999999999999858</v>
      </c>
      <c r="I207">
        <f t="shared" si="54"/>
        <v>0.39999999999999858</v>
      </c>
      <c r="J207">
        <f t="shared" si="55"/>
        <v>14.7</v>
      </c>
      <c r="K207">
        <f t="shared" si="56"/>
        <v>0.79999999999999893</v>
      </c>
      <c r="L207">
        <f t="shared" si="60"/>
        <v>6.2999999999999954</v>
      </c>
      <c r="M207">
        <f t="shared" si="53"/>
        <v>0.60655737704918022</v>
      </c>
      <c r="N207">
        <v>8</v>
      </c>
      <c r="O207">
        <f t="shared" si="57"/>
        <v>3.5</v>
      </c>
      <c r="P207">
        <f t="shared" si="58"/>
        <v>735</v>
      </c>
      <c r="Q207">
        <f t="shared" si="59"/>
        <v>0.37344262295081976</v>
      </c>
      <c r="R207">
        <f t="shared" si="62"/>
        <v>2.1386885245901639</v>
      </c>
    </row>
    <row r="208" spans="1:18" x14ac:dyDescent="0.3">
      <c r="A208" t="s">
        <v>2</v>
      </c>
      <c r="B208" s="1">
        <v>45081</v>
      </c>
      <c r="C208" t="s">
        <v>8</v>
      </c>
      <c r="D208" t="s">
        <v>11</v>
      </c>
      <c r="E208">
        <v>6</v>
      </c>
      <c r="F208">
        <v>13.9</v>
      </c>
      <c r="G208">
        <v>0</v>
      </c>
      <c r="H208">
        <f t="shared" si="61"/>
        <v>0.79999999999999893</v>
      </c>
      <c r="I208">
        <f t="shared" si="54"/>
        <v>0.79999999999999893</v>
      </c>
      <c r="J208">
        <f t="shared" si="55"/>
        <v>14.7</v>
      </c>
      <c r="K208">
        <f t="shared" si="56"/>
        <v>0.79999999999999893</v>
      </c>
      <c r="L208">
        <f t="shared" si="60"/>
        <v>7.0999999999999943</v>
      </c>
      <c r="M208">
        <f t="shared" si="53"/>
        <v>0.60655737704918022</v>
      </c>
      <c r="N208">
        <v>9</v>
      </c>
      <c r="O208">
        <f t="shared" si="57"/>
        <v>3.5</v>
      </c>
      <c r="P208">
        <f t="shared" si="58"/>
        <v>735</v>
      </c>
      <c r="Q208">
        <f t="shared" si="59"/>
        <v>0.37344262295081976</v>
      </c>
      <c r="R208">
        <f t="shared" si="62"/>
        <v>2.5121311475409835</v>
      </c>
    </row>
    <row r="209" spans="1:18" x14ac:dyDescent="0.3">
      <c r="A209" t="s">
        <v>3</v>
      </c>
      <c r="B209" s="1">
        <v>45082</v>
      </c>
      <c r="C209" t="s">
        <v>8</v>
      </c>
      <c r="D209" t="s">
        <v>11</v>
      </c>
      <c r="E209">
        <v>6</v>
      </c>
      <c r="F209">
        <v>13.9</v>
      </c>
      <c r="G209">
        <v>0.25</v>
      </c>
      <c r="H209">
        <f t="shared" si="61"/>
        <v>0.54999999999999893</v>
      </c>
      <c r="I209">
        <f t="shared" si="54"/>
        <v>0.79999999999999893</v>
      </c>
      <c r="J209">
        <f t="shared" si="55"/>
        <v>14.7</v>
      </c>
      <c r="K209">
        <f t="shared" si="56"/>
        <v>0.69999999999999929</v>
      </c>
      <c r="L209">
        <f t="shared" si="60"/>
        <v>7.7999999999999936</v>
      </c>
      <c r="M209">
        <f t="shared" si="53"/>
        <v>0.60655737704918022</v>
      </c>
      <c r="N209">
        <v>10</v>
      </c>
      <c r="O209">
        <f t="shared" si="57"/>
        <v>3.75</v>
      </c>
      <c r="P209">
        <f t="shared" si="58"/>
        <v>787.5</v>
      </c>
      <c r="Q209">
        <f t="shared" si="59"/>
        <v>0.37344262295081976</v>
      </c>
      <c r="R209">
        <f t="shared" si="62"/>
        <v>2.8855737704918032</v>
      </c>
    </row>
    <row r="210" spans="1:18" x14ac:dyDescent="0.3">
      <c r="A210" t="s">
        <v>4</v>
      </c>
      <c r="B210" s="1">
        <v>45083</v>
      </c>
      <c r="C210" t="s">
        <v>8</v>
      </c>
      <c r="D210" t="s">
        <v>11</v>
      </c>
      <c r="E210">
        <v>6</v>
      </c>
      <c r="F210">
        <v>14</v>
      </c>
      <c r="G210">
        <v>0.25</v>
      </c>
      <c r="H210">
        <f>14.5-F210-G210</f>
        <v>0.25</v>
      </c>
      <c r="I210">
        <f t="shared" si="54"/>
        <v>0.5</v>
      </c>
      <c r="J210">
        <f t="shared" si="55"/>
        <v>14.5</v>
      </c>
      <c r="K210">
        <f t="shared" si="56"/>
        <v>1</v>
      </c>
      <c r="L210">
        <f t="shared" si="60"/>
        <v>8.7999999999999936</v>
      </c>
      <c r="M210">
        <f t="shared" si="53"/>
        <v>0.57377049180327877</v>
      </c>
      <c r="N210">
        <v>11</v>
      </c>
      <c r="O210">
        <f t="shared" si="57"/>
        <v>4</v>
      </c>
      <c r="P210">
        <f t="shared" si="58"/>
        <v>840</v>
      </c>
      <c r="Q210">
        <f t="shared" si="59"/>
        <v>0.40622950819672121</v>
      </c>
      <c r="R210">
        <f t="shared" si="62"/>
        <v>3.2918032786885245</v>
      </c>
    </row>
    <row r="211" spans="1:18" x14ac:dyDescent="0.3">
      <c r="A211" t="s">
        <v>5</v>
      </c>
      <c r="B211" s="1">
        <v>45084</v>
      </c>
      <c r="C211" t="s">
        <v>8</v>
      </c>
      <c r="D211" t="s">
        <v>11</v>
      </c>
      <c r="E211">
        <v>6</v>
      </c>
      <c r="F211">
        <v>13.5</v>
      </c>
      <c r="G211">
        <v>0</v>
      </c>
      <c r="H211">
        <f>14.7-F211-G211</f>
        <v>1.1999999999999993</v>
      </c>
      <c r="I211">
        <f t="shared" si="54"/>
        <v>1.1999999999999993</v>
      </c>
      <c r="J211">
        <f t="shared" si="55"/>
        <v>14.7</v>
      </c>
      <c r="K211">
        <f t="shared" si="56"/>
        <v>1</v>
      </c>
      <c r="L211">
        <f t="shared" si="60"/>
        <v>9.7999999999999936</v>
      </c>
      <c r="M211">
        <f t="shared" si="53"/>
        <v>0.60655737704918022</v>
      </c>
      <c r="N211">
        <v>12</v>
      </c>
      <c r="O211">
        <f t="shared" si="57"/>
        <v>4</v>
      </c>
      <c r="P211">
        <f t="shared" si="58"/>
        <v>840</v>
      </c>
      <c r="Q211">
        <f t="shared" si="59"/>
        <v>0.37344262295081976</v>
      </c>
      <c r="R211">
        <f t="shared" si="62"/>
        <v>3.6652459016393442</v>
      </c>
    </row>
    <row r="212" spans="1:18" x14ac:dyDescent="0.3">
      <c r="A212" t="s">
        <v>6</v>
      </c>
      <c r="B212" s="1">
        <v>45085</v>
      </c>
      <c r="C212" t="s">
        <v>8</v>
      </c>
      <c r="D212" t="s">
        <v>11</v>
      </c>
      <c r="E212">
        <v>6</v>
      </c>
      <c r="F212">
        <v>13.7</v>
      </c>
      <c r="G212">
        <v>0.25</v>
      </c>
      <c r="H212">
        <f>14.7-F212-G212</f>
        <v>0.75</v>
      </c>
      <c r="I212">
        <f t="shared" si="54"/>
        <v>1</v>
      </c>
      <c r="J212">
        <f t="shared" si="55"/>
        <v>14.7</v>
      </c>
      <c r="K212">
        <f t="shared" si="56"/>
        <v>1.0999999999999996</v>
      </c>
      <c r="L212">
        <f t="shared" si="60"/>
        <v>10.899999999999993</v>
      </c>
      <c r="M212">
        <f t="shared" si="53"/>
        <v>0.60655737704918022</v>
      </c>
      <c r="N212">
        <v>13</v>
      </c>
      <c r="O212">
        <f t="shared" si="57"/>
        <v>4.25</v>
      </c>
      <c r="P212">
        <f t="shared" si="58"/>
        <v>892.5</v>
      </c>
      <c r="Q212">
        <f t="shared" si="59"/>
        <v>0.37344262295081976</v>
      </c>
      <c r="R212">
        <f t="shared" si="62"/>
        <v>4.0386885245901638</v>
      </c>
    </row>
    <row r="213" spans="1:18" x14ac:dyDescent="0.3">
      <c r="A213" t="s">
        <v>0</v>
      </c>
      <c r="B213" s="1">
        <v>45086</v>
      </c>
      <c r="C213" t="s">
        <v>8</v>
      </c>
      <c r="D213" t="s">
        <v>11</v>
      </c>
      <c r="E213">
        <v>6</v>
      </c>
      <c r="F213">
        <v>13.6</v>
      </c>
      <c r="G213">
        <v>0.25</v>
      </c>
      <c r="H213">
        <f>14.7-F213-G213</f>
        <v>0.84999999999999964</v>
      </c>
      <c r="I213">
        <f t="shared" si="54"/>
        <v>1.0999999999999996</v>
      </c>
      <c r="J213">
        <f t="shared" si="55"/>
        <v>14.7</v>
      </c>
      <c r="K213">
        <f t="shared" si="56"/>
        <v>1.2999999999999989</v>
      </c>
      <c r="L213">
        <f t="shared" si="60"/>
        <v>12.199999999999992</v>
      </c>
      <c r="M213">
        <f t="shared" si="53"/>
        <v>0.60655737704918022</v>
      </c>
      <c r="N213">
        <v>14</v>
      </c>
      <c r="O213">
        <f t="shared" si="57"/>
        <v>4.5</v>
      </c>
      <c r="P213">
        <f t="shared" si="58"/>
        <v>945</v>
      </c>
      <c r="Q213">
        <f t="shared" si="59"/>
        <v>0.37344262295081976</v>
      </c>
      <c r="R213">
        <f t="shared" si="62"/>
        <v>4.4121311475409835</v>
      </c>
    </row>
    <row r="214" spans="1:18" x14ac:dyDescent="0.3">
      <c r="A214" t="s">
        <v>1</v>
      </c>
      <c r="B214" s="1">
        <v>45087</v>
      </c>
      <c r="C214" t="s">
        <v>8</v>
      </c>
      <c r="D214" t="s">
        <v>11</v>
      </c>
      <c r="E214">
        <v>6</v>
      </c>
      <c r="F214">
        <v>13.4</v>
      </c>
      <c r="G214">
        <v>0</v>
      </c>
      <c r="H214">
        <f>14.7-F214-G214</f>
        <v>1.2999999999999989</v>
      </c>
      <c r="I214">
        <f t="shared" si="54"/>
        <v>1.2999999999999989</v>
      </c>
      <c r="J214">
        <f t="shared" si="55"/>
        <v>14.7</v>
      </c>
      <c r="K214">
        <f t="shared" si="56"/>
        <v>1.3999999999999986</v>
      </c>
      <c r="L214">
        <f t="shared" si="60"/>
        <v>13.599999999999991</v>
      </c>
      <c r="M214">
        <f t="shared" si="53"/>
        <v>0.60655737704918022</v>
      </c>
      <c r="N214">
        <v>15</v>
      </c>
      <c r="O214">
        <f t="shared" si="57"/>
        <v>4.5</v>
      </c>
      <c r="P214">
        <f t="shared" si="58"/>
        <v>945</v>
      </c>
      <c r="Q214">
        <f t="shared" si="59"/>
        <v>0.37344262295081976</v>
      </c>
      <c r="R214">
        <f t="shared" si="62"/>
        <v>4.7855737704918031</v>
      </c>
    </row>
    <row r="215" spans="1:18" x14ac:dyDescent="0.3">
      <c r="A215" t="s">
        <v>2</v>
      </c>
      <c r="B215" s="1">
        <v>45088</v>
      </c>
      <c r="C215" t="s">
        <v>8</v>
      </c>
      <c r="D215" t="s">
        <v>11</v>
      </c>
      <c r="E215">
        <v>6</v>
      </c>
      <c r="F215">
        <v>13.3</v>
      </c>
      <c r="G215">
        <v>0</v>
      </c>
      <c r="H215">
        <f>14.5-F215-G215</f>
        <v>1.1999999999999993</v>
      </c>
      <c r="I215">
        <f t="shared" si="54"/>
        <v>1.1999999999999993</v>
      </c>
      <c r="J215">
        <f t="shared" si="55"/>
        <v>14.5</v>
      </c>
      <c r="K215">
        <f t="shared" si="56"/>
        <v>1.4000000000000004</v>
      </c>
      <c r="L215">
        <f t="shared" si="60"/>
        <v>14.999999999999991</v>
      </c>
      <c r="M215">
        <f t="shared" si="53"/>
        <v>0.57377049180327877</v>
      </c>
      <c r="N215">
        <v>16</v>
      </c>
      <c r="O215">
        <f t="shared" si="57"/>
        <v>4.5</v>
      </c>
      <c r="P215">
        <f t="shared" si="58"/>
        <v>945</v>
      </c>
      <c r="Q215">
        <f t="shared" si="59"/>
        <v>0.40622950819672121</v>
      </c>
      <c r="R215">
        <f t="shared" si="62"/>
        <v>5.191803278688524</v>
      </c>
    </row>
    <row r="216" spans="1:18" x14ac:dyDescent="0.3">
      <c r="A216" t="s">
        <v>3</v>
      </c>
      <c r="B216" s="1">
        <v>45089</v>
      </c>
      <c r="C216" t="s">
        <v>8</v>
      </c>
      <c r="D216" t="s">
        <v>11</v>
      </c>
      <c r="E216">
        <v>6</v>
      </c>
      <c r="F216">
        <v>13.1</v>
      </c>
      <c r="G216">
        <v>0.5</v>
      </c>
      <c r="H216">
        <f>14.5-F216-G216</f>
        <v>0.90000000000000036</v>
      </c>
      <c r="I216">
        <f t="shared" si="54"/>
        <v>1.4000000000000004</v>
      </c>
      <c r="J216">
        <f t="shared" si="55"/>
        <v>14.5</v>
      </c>
      <c r="K216">
        <f t="shared" si="56"/>
        <v>0.40000000000000036</v>
      </c>
      <c r="L216">
        <f t="shared" si="60"/>
        <v>15.399999999999991</v>
      </c>
      <c r="M216">
        <f t="shared" si="53"/>
        <v>0.57377049180327877</v>
      </c>
      <c r="N216">
        <v>17</v>
      </c>
      <c r="O216">
        <f t="shared" si="57"/>
        <v>5</v>
      </c>
      <c r="P216">
        <f t="shared" si="58"/>
        <v>1050</v>
      </c>
      <c r="Q216">
        <f t="shared" si="59"/>
        <v>0.40622950819672121</v>
      </c>
      <c r="R216">
        <f t="shared" si="62"/>
        <v>5.5980327868852449</v>
      </c>
    </row>
    <row r="217" spans="1:18" x14ac:dyDescent="0.3">
      <c r="A217" t="s">
        <v>4</v>
      </c>
      <c r="B217" s="1">
        <v>45090</v>
      </c>
      <c r="C217" t="s">
        <v>8</v>
      </c>
      <c r="D217" t="s">
        <v>11</v>
      </c>
      <c r="E217">
        <v>6</v>
      </c>
      <c r="F217">
        <v>14.1</v>
      </c>
      <c r="G217">
        <v>0</v>
      </c>
      <c r="H217">
        <f>14.5-F217-G217</f>
        <v>0.40000000000000036</v>
      </c>
      <c r="I217">
        <v>0</v>
      </c>
      <c r="J217">
        <f t="shared" si="55"/>
        <v>14.1</v>
      </c>
      <c r="K217">
        <f t="shared" si="56"/>
        <v>0.90000000000000036</v>
      </c>
      <c r="L217">
        <f t="shared" si="60"/>
        <v>16.29999999999999</v>
      </c>
      <c r="M217">
        <f t="shared" si="53"/>
        <v>0.50819672131147542</v>
      </c>
      <c r="N217">
        <v>18</v>
      </c>
      <c r="O217">
        <f t="shared" si="57"/>
        <v>5</v>
      </c>
      <c r="P217">
        <f t="shared" si="58"/>
        <v>1050</v>
      </c>
      <c r="Q217">
        <f t="shared" si="59"/>
        <v>0.47180327868852456</v>
      </c>
      <c r="R217">
        <f t="shared" si="62"/>
        <v>6.0698360655737691</v>
      </c>
    </row>
    <row r="218" spans="1:18" x14ac:dyDescent="0.3">
      <c r="A218" t="s">
        <v>5</v>
      </c>
      <c r="B218" s="1">
        <v>45091</v>
      </c>
      <c r="C218" t="s">
        <v>8</v>
      </c>
      <c r="D218" t="s">
        <v>11</v>
      </c>
      <c r="E218">
        <v>6</v>
      </c>
      <c r="F218">
        <v>13.2</v>
      </c>
      <c r="G218">
        <v>0</v>
      </c>
      <c r="H218">
        <v>0</v>
      </c>
      <c r="I218">
        <f t="shared" ref="I218:I237" si="63">H218+G218</f>
        <v>0</v>
      </c>
      <c r="J218">
        <f t="shared" si="55"/>
        <v>13.2</v>
      </c>
      <c r="K218">
        <f t="shared" si="56"/>
        <v>1.3999999999999986</v>
      </c>
      <c r="L218">
        <f t="shared" si="60"/>
        <v>17.699999999999989</v>
      </c>
      <c r="M218">
        <f t="shared" si="53"/>
        <v>0.36065573770491793</v>
      </c>
      <c r="N218">
        <v>19</v>
      </c>
      <c r="O218">
        <f t="shared" si="57"/>
        <v>5</v>
      </c>
      <c r="P218">
        <f t="shared" si="58"/>
        <v>1050</v>
      </c>
      <c r="Q218">
        <f t="shared" si="59"/>
        <v>0.61934426229508199</v>
      </c>
      <c r="R218">
        <f t="shared" si="62"/>
        <v>6.6891803278688506</v>
      </c>
    </row>
    <row r="219" spans="1:18" x14ac:dyDescent="0.3">
      <c r="A219" t="s">
        <v>6</v>
      </c>
      <c r="B219" s="1">
        <v>45092</v>
      </c>
      <c r="C219" t="s">
        <v>8</v>
      </c>
      <c r="D219" t="s">
        <v>11</v>
      </c>
      <c r="E219">
        <v>6</v>
      </c>
      <c r="F219">
        <v>11.8</v>
      </c>
      <c r="G219">
        <v>0.5</v>
      </c>
      <c r="H219">
        <f>14-F219-G219</f>
        <v>1.6999999999999993</v>
      </c>
      <c r="I219">
        <f t="shared" si="63"/>
        <v>2.1999999999999993</v>
      </c>
      <c r="J219">
        <f t="shared" si="55"/>
        <v>14</v>
      </c>
      <c r="K219">
        <f t="shared" si="56"/>
        <v>1.5</v>
      </c>
      <c r="L219">
        <f t="shared" si="60"/>
        <v>19.199999999999989</v>
      </c>
      <c r="M219">
        <f t="shared" si="53"/>
        <v>0.49180327868852464</v>
      </c>
      <c r="N219">
        <v>20</v>
      </c>
      <c r="O219">
        <f t="shared" si="57"/>
        <v>5.5</v>
      </c>
      <c r="P219">
        <f t="shared" si="58"/>
        <v>1155</v>
      </c>
      <c r="Q219">
        <f t="shared" si="59"/>
        <v>0.48819672131147535</v>
      </c>
      <c r="R219">
        <f t="shared" si="62"/>
        <v>7.1773770491803264</v>
      </c>
    </row>
    <row r="220" spans="1:18" x14ac:dyDescent="0.3">
      <c r="A220" t="s">
        <v>0</v>
      </c>
      <c r="B220" s="1">
        <v>45093</v>
      </c>
      <c r="C220" t="s">
        <v>8</v>
      </c>
      <c r="D220" t="s">
        <v>11</v>
      </c>
      <c r="E220">
        <v>6</v>
      </c>
      <c r="F220">
        <v>12.5</v>
      </c>
      <c r="G220">
        <v>0</v>
      </c>
      <c r="H220">
        <f>14-F220-G220</f>
        <v>1.5</v>
      </c>
      <c r="I220">
        <f t="shared" si="63"/>
        <v>1.5</v>
      </c>
      <c r="J220">
        <f t="shared" si="55"/>
        <v>14</v>
      </c>
      <c r="K220">
        <f t="shared" si="56"/>
        <v>1.3000000000000007</v>
      </c>
      <c r="L220">
        <f t="shared" si="60"/>
        <v>20.499999999999989</v>
      </c>
      <c r="M220">
        <f t="shared" si="53"/>
        <v>0.49180327868852464</v>
      </c>
      <c r="N220">
        <v>21</v>
      </c>
      <c r="O220">
        <f t="shared" si="57"/>
        <v>5.5</v>
      </c>
      <c r="P220">
        <f t="shared" si="58"/>
        <v>1155</v>
      </c>
      <c r="Q220">
        <f t="shared" si="59"/>
        <v>0.48819672131147535</v>
      </c>
      <c r="R220">
        <f t="shared" si="62"/>
        <v>7.6655737704918021</v>
      </c>
    </row>
    <row r="221" spans="1:18" x14ac:dyDescent="0.3">
      <c r="A221" t="s">
        <v>1</v>
      </c>
      <c r="B221" s="1">
        <v>45094</v>
      </c>
      <c r="C221" t="s">
        <v>8</v>
      </c>
      <c r="D221" t="s">
        <v>11</v>
      </c>
      <c r="E221">
        <v>6</v>
      </c>
      <c r="F221">
        <v>12.7</v>
      </c>
      <c r="G221">
        <v>0</v>
      </c>
      <c r="H221">
        <f>14-F221-G221</f>
        <v>1.3000000000000007</v>
      </c>
      <c r="I221">
        <f t="shared" si="63"/>
        <v>1.3000000000000007</v>
      </c>
      <c r="J221">
        <f t="shared" si="55"/>
        <v>14</v>
      </c>
      <c r="K221">
        <f t="shared" si="56"/>
        <v>1</v>
      </c>
      <c r="L221">
        <f t="shared" si="60"/>
        <v>21.499999999999989</v>
      </c>
      <c r="M221">
        <f t="shared" si="53"/>
        <v>0.49180327868852464</v>
      </c>
      <c r="N221">
        <v>22</v>
      </c>
      <c r="O221">
        <f t="shared" si="57"/>
        <v>5.5</v>
      </c>
      <c r="P221">
        <f t="shared" si="58"/>
        <v>1155</v>
      </c>
      <c r="Q221">
        <f t="shared" si="59"/>
        <v>0.48819672131147535</v>
      </c>
      <c r="R221">
        <f t="shared" si="62"/>
        <v>8.153770491803277</v>
      </c>
    </row>
    <row r="222" spans="1:18" x14ac:dyDescent="0.3">
      <c r="A222" t="s">
        <v>2</v>
      </c>
      <c r="B222" s="1">
        <v>45095</v>
      </c>
      <c r="C222" t="s">
        <v>8</v>
      </c>
      <c r="D222" t="s">
        <v>11</v>
      </c>
      <c r="E222">
        <v>6</v>
      </c>
      <c r="F222">
        <v>13</v>
      </c>
      <c r="G222">
        <v>0</v>
      </c>
      <c r="H222">
        <f>14-F222-G222</f>
        <v>1</v>
      </c>
      <c r="I222">
        <f t="shared" si="63"/>
        <v>1</v>
      </c>
      <c r="J222">
        <f t="shared" si="55"/>
        <v>14</v>
      </c>
      <c r="K222">
        <f t="shared" si="56"/>
        <v>1.3000000000000007</v>
      </c>
      <c r="L222">
        <f t="shared" si="60"/>
        <v>22.79999999999999</v>
      </c>
      <c r="M222">
        <f t="shared" si="53"/>
        <v>0.49180327868852464</v>
      </c>
      <c r="N222">
        <v>23</v>
      </c>
      <c r="O222">
        <f t="shared" si="57"/>
        <v>5.5</v>
      </c>
      <c r="P222">
        <f t="shared" si="58"/>
        <v>1155</v>
      </c>
      <c r="Q222">
        <f t="shared" si="59"/>
        <v>0.48819672131147535</v>
      </c>
      <c r="R222">
        <f t="shared" si="62"/>
        <v>8.6419672131147518</v>
      </c>
    </row>
    <row r="223" spans="1:18" x14ac:dyDescent="0.3">
      <c r="A223" t="s">
        <v>3</v>
      </c>
      <c r="B223" s="1">
        <v>45096</v>
      </c>
      <c r="C223" t="s">
        <v>8</v>
      </c>
      <c r="D223" t="s">
        <v>11</v>
      </c>
      <c r="E223">
        <v>6</v>
      </c>
      <c r="F223">
        <v>12.7</v>
      </c>
      <c r="G223">
        <v>0.5</v>
      </c>
      <c r="H223">
        <f>13.9-F223-G223</f>
        <v>0.70000000000000107</v>
      </c>
      <c r="I223">
        <f t="shared" si="63"/>
        <v>1.2000000000000011</v>
      </c>
      <c r="J223">
        <f t="shared" si="55"/>
        <v>13.9</v>
      </c>
      <c r="K223">
        <f t="shared" si="56"/>
        <v>1.5999999999999996</v>
      </c>
      <c r="L223">
        <f t="shared" si="60"/>
        <v>24.399999999999991</v>
      </c>
      <c r="M223">
        <f t="shared" si="53"/>
        <v>0.47540983606557385</v>
      </c>
      <c r="N223">
        <v>24</v>
      </c>
      <c r="O223">
        <f t="shared" si="57"/>
        <v>6</v>
      </c>
      <c r="P223">
        <f t="shared" si="58"/>
        <v>1260</v>
      </c>
      <c r="Q223">
        <f t="shared" si="59"/>
        <v>0.50459016393442613</v>
      </c>
      <c r="R223">
        <f t="shared" si="62"/>
        <v>9.1465573770491773</v>
      </c>
    </row>
    <row r="224" spans="1:18" x14ac:dyDescent="0.3">
      <c r="A224" t="s">
        <v>4</v>
      </c>
      <c r="B224" s="1">
        <v>45097</v>
      </c>
      <c r="C224" t="s">
        <v>8</v>
      </c>
      <c r="D224" t="s">
        <v>11</v>
      </c>
      <c r="E224">
        <v>6</v>
      </c>
      <c r="F224">
        <v>12.3</v>
      </c>
      <c r="G224">
        <v>0</v>
      </c>
      <c r="H224">
        <f>13.8-F224-G224</f>
        <v>1.5</v>
      </c>
      <c r="I224">
        <f t="shared" si="63"/>
        <v>1.5</v>
      </c>
      <c r="J224">
        <f t="shared" si="55"/>
        <v>13.8</v>
      </c>
      <c r="K224">
        <f t="shared" si="56"/>
        <v>1.1000000000000014</v>
      </c>
      <c r="L224">
        <f t="shared" si="60"/>
        <v>25.499999999999993</v>
      </c>
      <c r="M224">
        <f t="shared" si="53"/>
        <v>0.45901639344262307</v>
      </c>
      <c r="N224">
        <v>25</v>
      </c>
      <c r="O224">
        <f t="shared" si="57"/>
        <v>6</v>
      </c>
      <c r="P224">
        <f t="shared" si="58"/>
        <v>1260</v>
      </c>
      <c r="Q224">
        <f t="shared" si="59"/>
        <v>0.52098360655737697</v>
      </c>
      <c r="R224">
        <f t="shared" si="62"/>
        <v>9.6675409836065533</v>
      </c>
    </row>
    <row r="225" spans="1:18" x14ac:dyDescent="0.3">
      <c r="A225" t="s">
        <v>5</v>
      </c>
      <c r="B225" s="1">
        <v>45098</v>
      </c>
      <c r="C225" t="s">
        <v>8</v>
      </c>
      <c r="D225" t="s">
        <v>11</v>
      </c>
      <c r="E225">
        <v>6</v>
      </c>
      <c r="F225">
        <v>12.7</v>
      </c>
      <c r="G225">
        <v>0</v>
      </c>
      <c r="H225">
        <f>13.8-F225-G225</f>
        <v>1.1000000000000014</v>
      </c>
      <c r="I225">
        <f t="shared" si="63"/>
        <v>1.1000000000000014</v>
      </c>
      <c r="J225">
        <f t="shared" si="55"/>
        <v>13.8</v>
      </c>
      <c r="K225">
        <f t="shared" si="56"/>
        <v>1.4000000000000004</v>
      </c>
      <c r="L225">
        <f t="shared" si="60"/>
        <v>26.899999999999991</v>
      </c>
      <c r="M225">
        <f t="shared" si="53"/>
        <v>0.45901639344262307</v>
      </c>
      <c r="N225">
        <v>26</v>
      </c>
      <c r="O225">
        <f t="shared" si="57"/>
        <v>6</v>
      </c>
      <c r="P225">
        <f t="shared" si="58"/>
        <v>1260</v>
      </c>
      <c r="Q225">
        <f t="shared" si="59"/>
        <v>0.52098360655737697</v>
      </c>
      <c r="R225">
        <f t="shared" si="62"/>
        <v>10.188524590163929</v>
      </c>
    </row>
    <row r="226" spans="1:18" x14ac:dyDescent="0.3">
      <c r="A226" t="s">
        <v>6</v>
      </c>
      <c r="B226" s="1">
        <v>45099</v>
      </c>
      <c r="C226" t="s">
        <v>8</v>
      </c>
      <c r="D226" t="s">
        <v>11</v>
      </c>
      <c r="E226">
        <v>6</v>
      </c>
      <c r="F226">
        <v>12.4</v>
      </c>
      <c r="G226">
        <v>0.5</v>
      </c>
      <c r="H226">
        <f>13.8-F226-G226</f>
        <v>0.90000000000000036</v>
      </c>
      <c r="I226">
        <f t="shared" si="63"/>
        <v>1.4000000000000004</v>
      </c>
      <c r="J226">
        <f t="shared" si="55"/>
        <v>13.8</v>
      </c>
      <c r="K226">
        <f t="shared" si="56"/>
        <v>1.2000000000000011</v>
      </c>
      <c r="L226">
        <f t="shared" si="60"/>
        <v>28.099999999999994</v>
      </c>
      <c r="M226">
        <f t="shared" si="53"/>
        <v>0.45901639344262307</v>
      </c>
      <c r="N226">
        <v>27</v>
      </c>
      <c r="O226">
        <f t="shared" si="57"/>
        <v>6.5</v>
      </c>
      <c r="P226">
        <f t="shared" si="58"/>
        <v>1365</v>
      </c>
      <c r="Q226">
        <f t="shared" si="59"/>
        <v>0.52098360655737697</v>
      </c>
      <c r="R226">
        <f t="shared" si="62"/>
        <v>10.709508196721305</v>
      </c>
    </row>
    <row r="227" spans="1:18" x14ac:dyDescent="0.3">
      <c r="A227" t="s">
        <v>0</v>
      </c>
      <c r="B227" s="1">
        <v>45100</v>
      </c>
      <c r="C227" t="s">
        <v>8</v>
      </c>
      <c r="D227" t="s">
        <v>11</v>
      </c>
      <c r="E227">
        <v>6</v>
      </c>
      <c r="F227">
        <v>12.6</v>
      </c>
      <c r="G227">
        <v>0</v>
      </c>
      <c r="H227">
        <f>13.8-F227-G227</f>
        <v>1.2000000000000011</v>
      </c>
      <c r="I227">
        <f t="shared" si="63"/>
        <v>1.2000000000000011</v>
      </c>
      <c r="J227">
        <f t="shared" si="55"/>
        <v>13.8</v>
      </c>
      <c r="K227">
        <f t="shared" si="56"/>
        <v>0.80000000000000071</v>
      </c>
      <c r="L227">
        <f t="shared" si="60"/>
        <v>28.899999999999995</v>
      </c>
      <c r="M227">
        <f t="shared" si="53"/>
        <v>0.45901639344262307</v>
      </c>
      <c r="N227">
        <v>28</v>
      </c>
      <c r="O227">
        <f t="shared" si="57"/>
        <v>6.5</v>
      </c>
      <c r="P227">
        <f t="shared" si="58"/>
        <v>1365</v>
      </c>
      <c r="Q227">
        <f t="shared" si="59"/>
        <v>0.52098360655737697</v>
      </c>
      <c r="R227">
        <f t="shared" si="62"/>
        <v>11.230491803278682</v>
      </c>
    </row>
    <row r="228" spans="1:18" x14ac:dyDescent="0.3">
      <c r="A228" t="s">
        <v>1</v>
      </c>
      <c r="B228" s="1">
        <v>45101</v>
      </c>
      <c r="C228" t="s">
        <v>8</v>
      </c>
      <c r="D228" t="s">
        <v>11</v>
      </c>
      <c r="E228">
        <v>6</v>
      </c>
      <c r="F228">
        <v>13</v>
      </c>
      <c r="G228">
        <v>0</v>
      </c>
      <c r="H228">
        <f t="shared" ref="H228:H235" si="64">13.5-F228-G228</f>
        <v>0.5</v>
      </c>
      <c r="I228">
        <f t="shared" si="63"/>
        <v>0.5</v>
      </c>
      <c r="J228">
        <f t="shared" si="55"/>
        <v>13.5</v>
      </c>
      <c r="K228">
        <f t="shared" si="56"/>
        <v>1.4000000000000004</v>
      </c>
      <c r="L228">
        <f t="shared" si="60"/>
        <v>30.299999999999997</v>
      </c>
      <c r="M228">
        <f t="shared" si="53"/>
        <v>0.4098360655737705</v>
      </c>
      <c r="N228">
        <v>29</v>
      </c>
      <c r="O228">
        <f t="shared" si="57"/>
        <v>6.5</v>
      </c>
      <c r="P228">
        <f t="shared" si="58"/>
        <v>1365</v>
      </c>
      <c r="Q228">
        <f t="shared" si="59"/>
        <v>0.57016393442622948</v>
      </c>
      <c r="R228">
        <f>R227+Q228</f>
        <v>11.800655737704911</v>
      </c>
    </row>
    <row r="229" spans="1:18" x14ac:dyDescent="0.3">
      <c r="A229" t="s">
        <v>2</v>
      </c>
      <c r="B229" s="1">
        <v>45102</v>
      </c>
      <c r="C229" t="s">
        <v>8</v>
      </c>
      <c r="D229" t="s">
        <v>11</v>
      </c>
      <c r="E229">
        <v>6</v>
      </c>
      <c r="F229">
        <v>12.1</v>
      </c>
      <c r="G229">
        <v>0</v>
      </c>
      <c r="H229">
        <f t="shared" si="64"/>
        <v>1.4000000000000004</v>
      </c>
      <c r="I229">
        <f t="shared" si="63"/>
        <v>1.4000000000000004</v>
      </c>
      <c r="J229">
        <f t="shared" si="55"/>
        <v>13.5</v>
      </c>
      <c r="K229">
        <f t="shared" si="56"/>
        <v>1.3000000000000007</v>
      </c>
      <c r="L229">
        <f t="shared" si="60"/>
        <v>31.599999999999998</v>
      </c>
      <c r="M229">
        <f t="shared" si="53"/>
        <v>0.4098360655737705</v>
      </c>
      <c r="N229">
        <v>30</v>
      </c>
      <c r="O229">
        <f t="shared" si="57"/>
        <v>6.5</v>
      </c>
      <c r="P229">
        <f t="shared" si="58"/>
        <v>1365</v>
      </c>
      <c r="Q229">
        <f t="shared" si="59"/>
        <v>0.57016393442622948</v>
      </c>
      <c r="R229">
        <f t="shared" si="62"/>
        <v>12.370819672131141</v>
      </c>
    </row>
    <row r="230" spans="1:18" x14ac:dyDescent="0.3">
      <c r="A230" t="s">
        <v>3</v>
      </c>
      <c r="B230" s="1">
        <v>45103</v>
      </c>
      <c r="C230" t="s">
        <v>8</v>
      </c>
      <c r="D230" t="s">
        <v>11</v>
      </c>
      <c r="E230">
        <v>6</v>
      </c>
      <c r="F230">
        <v>12.2</v>
      </c>
      <c r="G230">
        <v>0.5</v>
      </c>
      <c r="H230">
        <f t="shared" si="64"/>
        <v>0.80000000000000071</v>
      </c>
      <c r="I230">
        <f t="shared" si="63"/>
        <v>1.3000000000000007</v>
      </c>
      <c r="J230">
        <f t="shared" si="55"/>
        <v>13.5</v>
      </c>
      <c r="K230">
        <f t="shared" si="56"/>
        <v>0.80000000000000071</v>
      </c>
      <c r="L230">
        <f t="shared" si="60"/>
        <v>32.4</v>
      </c>
      <c r="M230">
        <f t="shared" si="53"/>
        <v>0.4098360655737705</v>
      </c>
      <c r="N230">
        <v>31</v>
      </c>
      <c r="O230">
        <f t="shared" si="57"/>
        <v>7</v>
      </c>
      <c r="P230">
        <f t="shared" si="58"/>
        <v>1470</v>
      </c>
      <c r="Q230">
        <f t="shared" si="59"/>
        <v>0.57016393442622948</v>
      </c>
      <c r="R230">
        <f t="shared" si="62"/>
        <v>12.940983606557371</v>
      </c>
    </row>
    <row r="231" spans="1:18" x14ac:dyDescent="0.3">
      <c r="A231" t="s">
        <v>4</v>
      </c>
      <c r="B231" s="1">
        <v>45104</v>
      </c>
      <c r="C231" t="s">
        <v>8</v>
      </c>
      <c r="D231" t="s">
        <v>11</v>
      </c>
      <c r="E231">
        <v>6</v>
      </c>
      <c r="F231">
        <v>12.7</v>
      </c>
      <c r="G231">
        <v>0</v>
      </c>
      <c r="H231">
        <f t="shared" si="64"/>
        <v>0.80000000000000071</v>
      </c>
      <c r="I231">
        <f t="shared" si="63"/>
        <v>0.80000000000000071</v>
      </c>
      <c r="J231">
        <f t="shared" si="55"/>
        <v>13.5</v>
      </c>
      <c r="K231">
        <f t="shared" si="56"/>
        <v>1.3000000000000007</v>
      </c>
      <c r="L231">
        <f t="shared" si="60"/>
        <v>33.700000000000003</v>
      </c>
      <c r="M231">
        <f t="shared" si="53"/>
        <v>0.4098360655737705</v>
      </c>
      <c r="N231">
        <v>32</v>
      </c>
      <c r="O231">
        <f t="shared" si="57"/>
        <v>7</v>
      </c>
      <c r="P231">
        <f t="shared" si="58"/>
        <v>1470</v>
      </c>
      <c r="Q231">
        <f t="shared" si="59"/>
        <v>0.57016393442622948</v>
      </c>
      <c r="R231">
        <f t="shared" si="62"/>
        <v>13.5111475409836</v>
      </c>
    </row>
    <row r="232" spans="1:18" x14ac:dyDescent="0.3">
      <c r="A232" t="s">
        <v>5</v>
      </c>
      <c r="B232" s="1">
        <v>45105</v>
      </c>
      <c r="C232" t="s">
        <v>8</v>
      </c>
      <c r="D232" t="s">
        <v>11</v>
      </c>
      <c r="E232">
        <v>6</v>
      </c>
      <c r="F232">
        <v>12.2</v>
      </c>
      <c r="G232">
        <v>0</v>
      </c>
      <c r="H232">
        <f t="shared" si="64"/>
        <v>1.3000000000000007</v>
      </c>
      <c r="I232">
        <f t="shared" si="63"/>
        <v>1.3000000000000007</v>
      </c>
      <c r="J232">
        <f t="shared" si="55"/>
        <v>13.5</v>
      </c>
      <c r="K232">
        <f t="shared" si="56"/>
        <v>1.1999999999999993</v>
      </c>
      <c r="L232">
        <f t="shared" si="60"/>
        <v>34.900000000000006</v>
      </c>
      <c r="M232">
        <f t="shared" si="53"/>
        <v>0.4098360655737705</v>
      </c>
      <c r="N232">
        <v>33</v>
      </c>
      <c r="O232">
        <f t="shared" si="57"/>
        <v>7</v>
      </c>
      <c r="P232">
        <f t="shared" si="58"/>
        <v>1470</v>
      </c>
      <c r="Q232">
        <f t="shared" si="59"/>
        <v>0.57016393442622948</v>
      </c>
      <c r="R232">
        <f t="shared" si="62"/>
        <v>14.08131147540983</v>
      </c>
    </row>
    <row r="233" spans="1:18" x14ac:dyDescent="0.3">
      <c r="A233" t="s">
        <v>6</v>
      </c>
      <c r="B233" s="1">
        <v>45106</v>
      </c>
      <c r="C233" t="s">
        <v>8</v>
      </c>
      <c r="D233" t="s">
        <v>11</v>
      </c>
      <c r="E233">
        <v>6</v>
      </c>
      <c r="F233">
        <v>12.3</v>
      </c>
      <c r="G233">
        <v>0.5</v>
      </c>
      <c r="H233">
        <f t="shared" si="64"/>
        <v>0.69999999999999929</v>
      </c>
      <c r="I233">
        <f t="shared" si="63"/>
        <v>1.1999999999999993</v>
      </c>
      <c r="J233">
        <f t="shared" si="55"/>
        <v>13.5</v>
      </c>
      <c r="K233">
        <f t="shared" si="56"/>
        <v>1.3000000000000007</v>
      </c>
      <c r="L233">
        <f t="shared" si="60"/>
        <v>36.200000000000003</v>
      </c>
      <c r="M233">
        <f t="shared" si="53"/>
        <v>0.4098360655737705</v>
      </c>
      <c r="N233">
        <v>34</v>
      </c>
      <c r="O233">
        <f t="shared" si="57"/>
        <v>7.5</v>
      </c>
      <c r="P233">
        <f t="shared" si="58"/>
        <v>1575</v>
      </c>
      <c r="Q233">
        <f t="shared" si="59"/>
        <v>0.57016393442622948</v>
      </c>
      <c r="R233">
        <f t="shared" si="62"/>
        <v>14.65147540983606</v>
      </c>
    </row>
    <row r="234" spans="1:18" x14ac:dyDescent="0.3">
      <c r="A234" t="s">
        <v>0</v>
      </c>
      <c r="B234" s="1">
        <v>45107</v>
      </c>
      <c r="C234" t="s">
        <v>8</v>
      </c>
      <c r="D234" t="s">
        <v>11</v>
      </c>
      <c r="E234">
        <v>6</v>
      </c>
      <c r="F234">
        <v>12.2</v>
      </c>
      <c r="G234">
        <v>0</v>
      </c>
      <c r="H234">
        <f t="shared" si="64"/>
        <v>1.3000000000000007</v>
      </c>
      <c r="I234">
        <f t="shared" si="63"/>
        <v>1.3000000000000007</v>
      </c>
      <c r="J234">
        <f t="shared" si="55"/>
        <v>13.5</v>
      </c>
      <c r="K234">
        <f t="shared" si="56"/>
        <v>0.69999999999999929</v>
      </c>
      <c r="L234">
        <f t="shared" si="60"/>
        <v>36.900000000000006</v>
      </c>
      <c r="M234">
        <f t="shared" si="53"/>
        <v>0.4098360655737705</v>
      </c>
      <c r="N234">
        <v>35</v>
      </c>
      <c r="O234">
        <f t="shared" si="57"/>
        <v>7.5</v>
      </c>
      <c r="P234">
        <f t="shared" si="58"/>
        <v>1575</v>
      </c>
      <c r="Q234">
        <f t="shared" si="59"/>
        <v>0.57016393442622948</v>
      </c>
      <c r="R234">
        <f t="shared" si="62"/>
        <v>15.221639344262289</v>
      </c>
    </row>
    <row r="235" spans="1:18" x14ac:dyDescent="0.3">
      <c r="A235" t="s">
        <v>1</v>
      </c>
      <c r="B235" s="1">
        <v>45108</v>
      </c>
      <c r="C235" t="s">
        <v>8</v>
      </c>
      <c r="D235" t="s">
        <v>11</v>
      </c>
      <c r="E235">
        <v>6</v>
      </c>
      <c r="F235">
        <v>12.8</v>
      </c>
      <c r="G235">
        <v>0</v>
      </c>
      <c r="H235">
        <f t="shared" si="64"/>
        <v>0.69999999999999929</v>
      </c>
      <c r="I235">
        <f t="shared" si="63"/>
        <v>0.69999999999999929</v>
      </c>
      <c r="J235">
        <f t="shared" si="55"/>
        <v>13.5</v>
      </c>
      <c r="K235">
        <f t="shared" si="56"/>
        <v>1</v>
      </c>
      <c r="L235">
        <f t="shared" si="60"/>
        <v>37.900000000000006</v>
      </c>
      <c r="M235">
        <f t="shared" si="53"/>
        <v>0.4098360655737705</v>
      </c>
      <c r="N235">
        <v>36</v>
      </c>
      <c r="O235">
        <f t="shared" si="57"/>
        <v>7.5</v>
      </c>
      <c r="P235">
        <f t="shared" si="58"/>
        <v>1575</v>
      </c>
      <c r="Q235">
        <f t="shared" si="59"/>
        <v>0.57016393442622948</v>
      </c>
      <c r="R235">
        <f t="shared" si="62"/>
        <v>15.791803278688519</v>
      </c>
    </row>
    <row r="236" spans="1:18" x14ac:dyDescent="0.3">
      <c r="A236" t="s">
        <v>2</v>
      </c>
      <c r="B236" s="1">
        <v>45109</v>
      </c>
      <c r="C236" t="s">
        <v>8</v>
      </c>
      <c r="D236" t="s">
        <v>11</v>
      </c>
      <c r="E236">
        <v>6</v>
      </c>
      <c r="F236">
        <v>12.5</v>
      </c>
      <c r="G236">
        <v>0</v>
      </c>
      <c r="H236">
        <f>13.1-F236-G236</f>
        <v>0.59999999999999964</v>
      </c>
      <c r="I236">
        <f t="shared" si="63"/>
        <v>0.59999999999999964</v>
      </c>
      <c r="J236">
        <f t="shared" si="55"/>
        <v>13.1</v>
      </c>
      <c r="K236">
        <f t="shared" si="56"/>
        <v>1.5</v>
      </c>
      <c r="L236">
        <f t="shared" si="60"/>
        <v>39.400000000000006</v>
      </c>
      <c r="M236">
        <f t="shared" si="53"/>
        <v>0.34426229508196715</v>
      </c>
      <c r="N236">
        <v>37</v>
      </c>
      <c r="O236">
        <f t="shared" si="57"/>
        <v>7.5</v>
      </c>
      <c r="P236">
        <f t="shared" si="58"/>
        <v>1575</v>
      </c>
      <c r="Q236">
        <f t="shared" si="59"/>
        <v>0.63573770491803283</v>
      </c>
      <c r="R236">
        <f t="shared" si="62"/>
        <v>16.427540983606551</v>
      </c>
    </row>
    <row r="237" spans="1:18" x14ac:dyDescent="0.3">
      <c r="A237" t="s">
        <v>3</v>
      </c>
      <c r="B237" s="1">
        <v>45110</v>
      </c>
      <c r="C237" t="s">
        <v>8</v>
      </c>
      <c r="D237" t="s">
        <v>11</v>
      </c>
      <c r="E237">
        <v>6</v>
      </c>
      <c r="F237">
        <v>11.6</v>
      </c>
      <c r="G237">
        <v>0</v>
      </c>
      <c r="H237">
        <f>13.1-F237-G237</f>
        <v>1.5</v>
      </c>
      <c r="I237">
        <f t="shared" si="63"/>
        <v>1.5</v>
      </c>
      <c r="J237">
        <f t="shared" si="55"/>
        <v>13.1</v>
      </c>
      <c r="K237">
        <f t="shared" si="56"/>
        <v>1.7999999999999989</v>
      </c>
      <c r="L237">
        <f t="shared" si="60"/>
        <v>41.2</v>
      </c>
      <c r="M237">
        <f t="shared" si="53"/>
        <v>0.34426229508196715</v>
      </c>
      <c r="N237">
        <v>38</v>
      </c>
      <c r="O237">
        <f t="shared" si="57"/>
        <v>7.5</v>
      </c>
      <c r="P237">
        <f t="shared" si="58"/>
        <v>1575</v>
      </c>
      <c r="Q237">
        <f t="shared" si="59"/>
        <v>0.63573770491803283</v>
      </c>
      <c r="R237">
        <f t="shared" si="62"/>
        <v>17.063278688524584</v>
      </c>
    </row>
    <row r="238" spans="1:18" x14ac:dyDescent="0.3">
      <c r="A238" t="s">
        <v>4</v>
      </c>
      <c r="B238" s="1">
        <v>45111</v>
      </c>
      <c r="C238" t="s">
        <v>8</v>
      </c>
      <c r="D238" t="s">
        <v>11</v>
      </c>
      <c r="E238">
        <v>6</v>
      </c>
      <c r="F238">
        <v>11.3</v>
      </c>
    </row>
    <row r="239" spans="1:18" x14ac:dyDescent="0.3">
      <c r="A239" t="s">
        <v>1</v>
      </c>
      <c r="B239" s="1">
        <v>45073</v>
      </c>
      <c r="C239" t="s">
        <v>8</v>
      </c>
      <c r="D239" t="s">
        <v>11</v>
      </c>
      <c r="E239">
        <v>7</v>
      </c>
      <c r="F239">
        <v>17</v>
      </c>
      <c r="G239">
        <v>0</v>
      </c>
      <c r="H239">
        <v>0</v>
      </c>
      <c r="I239">
        <f t="shared" ref="I239:I276" si="65">H239+G239</f>
        <v>0</v>
      </c>
      <c r="J239">
        <f t="shared" ref="J239:J276" si="66">I239+F239</f>
        <v>17</v>
      </c>
      <c r="K239">
        <f t="shared" ref="K239:K276" si="67">J239-F240</f>
        <v>1</v>
      </c>
      <c r="M239">
        <f t="shared" si="53"/>
        <v>0.98360655737704927</v>
      </c>
      <c r="N239">
        <v>1</v>
      </c>
      <c r="O239">
        <v>2.5</v>
      </c>
      <c r="P239">
        <f>O239*210</f>
        <v>525</v>
      </c>
    </row>
    <row r="240" spans="1:18" x14ac:dyDescent="0.3">
      <c r="A240" t="s">
        <v>2</v>
      </c>
      <c r="B240" s="1">
        <v>45074</v>
      </c>
      <c r="C240" t="s">
        <v>8</v>
      </c>
      <c r="D240" t="s">
        <v>11</v>
      </c>
      <c r="E240">
        <v>7</v>
      </c>
      <c r="F240">
        <v>16</v>
      </c>
      <c r="G240">
        <v>0</v>
      </c>
      <c r="H240">
        <v>0</v>
      </c>
      <c r="I240">
        <f t="shared" si="65"/>
        <v>0</v>
      </c>
      <c r="J240">
        <f t="shared" si="66"/>
        <v>16</v>
      </c>
      <c r="K240">
        <f t="shared" si="67"/>
        <v>0.59999999999999964</v>
      </c>
      <c r="L240">
        <f>K239+K240</f>
        <v>1.5999999999999996</v>
      </c>
      <c r="M240">
        <f t="shared" si="53"/>
        <v>0.81967213114754101</v>
      </c>
      <c r="N240">
        <v>2</v>
      </c>
      <c r="O240">
        <f t="shared" ref="O240:O276" si="68">O239+G240</f>
        <v>2.5</v>
      </c>
      <c r="P240">
        <f t="shared" ref="P240:P276" si="69">O240*210</f>
        <v>525</v>
      </c>
      <c r="Q240">
        <f t="shared" ref="Q240:Q276" si="70">0.98-M240</f>
        <v>0.16032786885245898</v>
      </c>
    </row>
    <row r="241" spans="1:18" x14ac:dyDescent="0.3">
      <c r="A241" t="s">
        <v>3</v>
      </c>
      <c r="B241" s="1">
        <v>45075</v>
      </c>
      <c r="C241" t="s">
        <v>8</v>
      </c>
      <c r="D241" t="s">
        <v>11</v>
      </c>
      <c r="E241">
        <v>7</v>
      </c>
      <c r="F241">
        <v>15.4</v>
      </c>
      <c r="G241">
        <v>0.25</v>
      </c>
      <c r="H241">
        <v>0</v>
      </c>
      <c r="I241">
        <f t="shared" si="65"/>
        <v>0.25</v>
      </c>
      <c r="J241">
        <f t="shared" si="66"/>
        <v>15.65</v>
      </c>
      <c r="K241">
        <f t="shared" si="67"/>
        <v>1.0500000000000007</v>
      </c>
      <c r="L241">
        <f>L240+K241</f>
        <v>2.6500000000000004</v>
      </c>
      <c r="M241">
        <f t="shared" si="53"/>
        <v>0.76229508196721318</v>
      </c>
      <c r="N241">
        <v>3</v>
      </c>
      <c r="O241">
        <f t="shared" si="68"/>
        <v>2.75</v>
      </c>
      <c r="P241">
        <f t="shared" si="69"/>
        <v>577.5</v>
      </c>
      <c r="Q241">
        <f t="shared" si="70"/>
        <v>0.2177049180327868</v>
      </c>
      <c r="R241">
        <f>Q240+Q241</f>
        <v>0.37803278688524578</v>
      </c>
    </row>
    <row r="242" spans="1:18" x14ac:dyDescent="0.3">
      <c r="A242" t="s">
        <v>4</v>
      </c>
      <c r="B242" s="1">
        <v>45076</v>
      </c>
      <c r="C242" t="s">
        <v>8</v>
      </c>
      <c r="D242" t="s">
        <v>11</v>
      </c>
      <c r="E242">
        <v>7</v>
      </c>
      <c r="F242">
        <v>14.6</v>
      </c>
      <c r="G242">
        <v>0.25</v>
      </c>
      <c r="H242">
        <v>0</v>
      </c>
      <c r="I242">
        <f t="shared" si="65"/>
        <v>0.25</v>
      </c>
      <c r="J242">
        <f t="shared" si="66"/>
        <v>14.85</v>
      </c>
      <c r="K242">
        <f t="shared" si="67"/>
        <v>1.3499999999999996</v>
      </c>
      <c r="L242">
        <f t="shared" ref="L242:L276" si="71">L241+K242</f>
        <v>4</v>
      </c>
      <c r="M242">
        <f t="shared" si="53"/>
        <v>0.63114754098360648</v>
      </c>
      <c r="N242">
        <v>4</v>
      </c>
      <c r="O242">
        <f t="shared" si="68"/>
        <v>3</v>
      </c>
      <c r="P242">
        <f t="shared" si="69"/>
        <v>630</v>
      </c>
      <c r="Q242">
        <f t="shared" si="70"/>
        <v>0.3488524590163935</v>
      </c>
      <c r="R242">
        <f>R241+Q242</f>
        <v>0.72688524590163928</v>
      </c>
    </row>
    <row r="243" spans="1:18" x14ac:dyDescent="0.3">
      <c r="A243" t="s">
        <v>5</v>
      </c>
      <c r="B243" s="1">
        <v>45077</v>
      </c>
      <c r="C243" t="s">
        <v>8</v>
      </c>
      <c r="D243" t="s">
        <v>11</v>
      </c>
      <c r="E243">
        <v>7</v>
      </c>
      <c r="F243">
        <v>13.5</v>
      </c>
      <c r="G243">
        <v>0</v>
      </c>
      <c r="H243">
        <f t="shared" ref="H243:H253" si="72">14.7-F243-G243</f>
        <v>1.1999999999999993</v>
      </c>
      <c r="I243">
        <f t="shared" si="65"/>
        <v>1.1999999999999993</v>
      </c>
      <c r="J243">
        <f t="shared" si="66"/>
        <v>14.7</v>
      </c>
      <c r="K243">
        <f t="shared" si="67"/>
        <v>0.79999999999999893</v>
      </c>
      <c r="L243">
        <f t="shared" si="71"/>
        <v>4.7999999999999989</v>
      </c>
      <c r="M243">
        <f t="shared" si="53"/>
        <v>0.60655737704918022</v>
      </c>
      <c r="N243">
        <v>5</v>
      </c>
      <c r="O243">
        <f t="shared" si="68"/>
        <v>3</v>
      </c>
      <c r="P243">
        <f t="shared" si="69"/>
        <v>630</v>
      </c>
      <c r="Q243">
        <f t="shared" si="70"/>
        <v>0.37344262295081976</v>
      </c>
      <c r="R243">
        <f t="shared" ref="R243:R276" si="73">R242+Q243</f>
        <v>1.1003278688524589</v>
      </c>
    </row>
    <row r="244" spans="1:18" x14ac:dyDescent="0.3">
      <c r="A244" t="s">
        <v>6</v>
      </c>
      <c r="B244" s="1">
        <v>45078</v>
      </c>
      <c r="C244" t="s">
        <v>8</v>
      </c>
      <c r="D244" t="s">
        <v>11</v>
      </c>
      <c r="E244">
        <v>7</v>
      </c>
      <c r="F244">
        <v>13.9</v>
      </c>
      <c r="G244">
        <v>0.25</v>
      </c>
      <c r="H244">
        <f t="shared" si="72"/>
        <v>0.54999999999999893</v>
      </c>
      <c r="I244">
        <f t="shared" si="65"/>
        <v>0.79999999999999893</v>
      </c>
      <c r="J244">
        <f t="shared" si="66"/>
        <v>14.7</v>
      </c>
      <c r="K244">
        <f t="shared" si="67"/>
        <v>0.69999999999999929</v>
      </c>
      <c r="L244">
        <f t="shared" si="71"/>
        <v>5.4999999999999982</v>
      </c>
      <c r="M244">
        <f t="shared" si="53"/>
        <v>0.60655737704918022</v>
      </c>
      <c r="N244">
        <v>6</v>
      </c>
      <c r="O244">
        <f t="shared" si="68"/>
        <v>3.25</v>
      </c>
      <c r="P244">
        <f t="shared" si="69"/>
        <v>682.5</v>
      </c>
      <c r="Q244">
        <f t="shared" si="70"/>
        <v>0.37344262295081976</v>
      </c>
      <c r="R244">
        <f t="shared" si="73"/>
        <v>1.4737704918032786</v>
      </c>
    </row>
    <row r="245" spans="1:18" x14ac:dyDescent="0.3">
      <c r="A245" t="s">
        <v>0</v>
      </c>
      <c r="B245" s="1">
        <v>45079</v>
      </c>
      <c r="C245" t="s">
        <v>8</v>
      </c>
      <c r="D245" t="s">
        <v>11</v>
      </c>
      <c r="E245">
        <v>7</v>
      </c>
      <c r="F245">
        <v>14</v>
      </c>
      <c r="G245">
        <v>0.25</v>
      </c>
      <c r="H245">
        <f t="shared" si="72"/>
        <v>0.44999999999999929</v>
      </c>
      <c r="I245">
        <f t="shared" si="65"/>
        <v>0.69999999999999929</v>
      </c>
      <c r="J245">
        <f t="shared" si="66"/>
        <v>14.7</v>
      </c>
      <c r="K245">
        <f t="shared" si="67"/>
        <v>0.39999999999999858</v>
      </c>
      <c r="L245">
        <f t="shared" si="71"/>
        <v>5.8999999999999968</v>
      </c>
      <c r="M245">
        <f t="shared" si="53"/>
        <v>0.60655737704918022</v>
      </c>
      <c r="N245">
        <v>7</v>
      </c>
      <c r="O245">
        <f t="shared" si="68"/>
        <v>3.5</v>
      </c>
      <c r="P245">
        <f t="shared" si="69"/>
        <v>735</v>
      </c>
      <c r="Q245">
        <f t="shared" si="70"/>
        <v>0.37344262295081976</v>
      </c>
      <c r="R245">
        <f t="shared" si="73"/>
        <v>1.8472131147540982</v>
      </c>
    </row>
    <row r="246" spans="1:18" x14ac:dyDescent="0.3">
      <c r="A246" t="s">
        <v>1</v>
      </c>
      <c r="B246" s="1">
        <v>45080</v>
      </c>
      <c r="C246" t="s">
        <v>8</v>
      </c>
      <c r="D246" t="s">
        <v>11</v>
      </c>
      <c r="E246">
        <v>7</v>
      </c>
      <c r="F246">
        <v>14.3</v>
      </c>
      <c r="G246">
        <v>0</v>
      </c>
      <c r="H246">
        <f t="shared" si="72"/>
        <v>0.39999999999999858</v>
      </c>
      <c r="I246">
        <f t="shared" si="65"/>
        <v>0.39999999999999858</v>
      </c>
      <c r="J246">
        <f t="shared" si="66"/>
        <v>14.7</v>
      </c>
      <c r="K246">
        <f t="shared" si="67"/>
        <v>0.89999999999999858</v>
      </c>
      <c r="L246">
        <f t="shared" si="71"/>
        <v>6.7999999999999954</v>
      </c>
      <c r="M246">
        <f t="shared" si="53"/>
        <v>0.60655737704918022</v>
      </c>
      <c r="N246">
        <v>8</v>
      </c>
      <c r="O246">
        <f t="shared" si="68"/>
        <v>3.5</v>
      </c>
      <c r="P246">
        <f t="shared" si="69"/>
        <v>735</v>
      </c>
      <c r="Q246">
        <f t="shared" si="70"/>
        <v>0.37344262295081976</v>
      </c>
      <c r="R246">
        <f t="shared" si="73"/>
        <v>2.2206557377049179</v>
      </c>
    </row>
    <row r="247" spans="1:18" x14ac:dyDescent="0.3">
      <c r="A247" t="s">
        <v>2</v>
      </c>
      <c r="B247" s="1">
        <v>45081</v>
      </c>
      <c r="C247" t="s">
        <v>8</v>
      </c>
      <c r="D247" t="s">
        <v>11</v>
      </c>
      <c r="E247">
        <v>7</v>
      </c>
      <c r="F247">
        <v>13.8</v>
      </c>
      <c r="G247">
        <v>0</v>
      </c>
      <c r="H247">
        <f t="shared" si="72"/>
        <v>0.89999999999999858</v>
      </c>
      <c r="I247">
        <f t="shared" si="65"/>
        <v>0.89999999999999858</v>
      </c>
      <c r="J247">
        <f t="shared" si="66"/>
        <v>14.7</v>
      </c>
      <c r="K247">
        <f t="shared" si="67"/>
        <v>0.89999999999999858</v>
      </c>
      <c r="L247">
        <f t="shared" si="71"/>
        <v>7.699999999999994</v>
      </c>
      <c r="M247">
        <f t="shared" si="53"/>
        <v>0.60655737704918022</v>
      </c>
      <c r="N247">
        <v>9</v>
      </c>
      <c r="O247">
        <f t="shared" si="68"/>
        <v>3.5</v>
      </c>
      <c r="P247">
        <f t="shared" si="69"/>
        <v>735</v>
      </c>
      <c r="Q247">
        <f t="shared" si="70"/>
        <v>0.37344262295081976</v>
      </c>
      <c r="R247">
        <f t="shared" si="73"/>
        <v>2.5940983606557375</v>
      </c>
    </row>
    <row r="248" spans="1:18" x14ac:dyDescent="0.3">
      <c r="A248" t="s">
        <v>3</v>
      </c>
      <c r="B248" s="1">
        <v>45082</v>
      </c>
      <c r="C248" t="s">
        <v>8</v>
      </c>
      <c r="D248" t="s">
        <v>11</v>
      </c>
      <c r="E248">
        <v>7</v>
      </c>
      <c r="F248">
        <v>13.8</v>
      </c>
      <c r="G248">
        <v>0.25</v>
      </c>
      <c r="H248">
        <f t="shared" si="72"/>
        <v>0.64999999999999858</v>
      </c>
      <c r="I248">
        <f t="shared" si="65"/>
        <v>0.89999999999999858</v>
      </c>
      <c r="J248">
        <f t="shared" si="66"/>
        <v>14.7</v>
      </c>
      <c r="K248">
        <f t="shared" si="67"/>
        <v>0.5</v>
      </c>
      <c r="L248">
        <f t="shared" si="71"/>
        <v>8.199999999999994</v>
      </c>
      <c r="M248">
        <f t="shared" si="53"/>
        <v>0.60655737704918022</v>
      </c>
      <c r="N248">
        <v>10</v>
      </c>
      <c r="O248">
        <f t="shared" si="68"/>
        <v>3.75</v>
      </c>
      <c r="P248">
        <f t="shared" si="69"/>
        <v>787.5</v>
      </c>
      <c r="Q248">
        <f t="shared" si="70"/>
        <v>0.37344262295081976</v>
      </c>
      <c r="R248">
        <f t="shared" si="73"/>
        <v>2.9675409836065572</v>
      </c>
    </row>
    <row r="249" spans="1:18" x14ac:dyDescent="0.3">
      <c r="A249" t="s">
        <v>4</v>
      </c>
      <c r="B249" s="1">
        <v>45083</v>
      </c>
      <c r="C249" t="s">
        <v>8</v>
      </c>
      <c r="D249" t="s">
        <v>11</v>
      </c>
      <c r="E249">
        <v>7</v>
      </c>
      <c r="F249">
        <v>14.2</v>
      </c>
      <c r="G249">
        <v>0.25</v>
      </c>
      <c r="H249">
        <f t="shared" si="72"/>
        <v>0.25</v>
      </c>
      <c r="I249">
        <f t="shared" si="65"/>
        <v>0.5</v>
      </c>
      <c r="J249">
        <f t="shared" si="66"/>
        <v>14.7</v>
      </c>
      <c r="K249">
        <f t="shared" si="67"/>
        <v>1.3999999999999986</v>
      </c>
      <c r="L249">
        <f t="shared" si="71"/>
        <v>9.5999999999999925</v>
      </c>
      <c r="M249">
        <f t="shared" si="53"/>
        <v>0.60655737704918022</v>
      </c>
      <c r="N249">
        <v>11</v>
      </c>
      <c r="O249">
        <f t="shared" si="68"/>
        <v>4</v>
      </c>
      <c r="P249">
        <f t="shared" si="69"/>
        <v>840</v>
      </c>
      <c r="Q249">
        <f t="shared" si="70"/>
        <v>0.37344262295081976</v>
      </c>
      <c r="R249">
        <f t="shared" si="73"/>
        <v>3.3409836065573768</v>
      </c>
    </row>
    <row r="250" spans="1:18" x14ac:dyDescent="0.3">
      <c r="A250" t="s">
        <v>5</v>
      </c>
      <c r="B250" s="1">
        <v>45084</v>
      </c>
      <c r="C250" t="s">
        <v>8</v>
      </c>
      <c r="D250" t="s">
        <v>11</v>
      </c>
      <c r="E250">
        <v>7</v>
      </c>
      <c r="F250">
        <v>13.3</v>
      </c>
      <c r="G250">
        <v>0</v>
      </c>
      <c r="H250">
        <f t="shared" si="72"/>
        <v>1.3999999999999986</v>
      </c>
      <c r="I250">
        <f t="shared" si="65"/>
        <v>1.3999999999999986</v>
      </c>
      <c r="J250">
        <f t="shared" si="66"/>
        <v>14.7</v>
      </c>
      <c r="K250">
        <f t="shared" si="67"/>
        <v>1</v>
      </c>
      <c r="L250">
        <f t="shared" si="71"/>
        <v>10.599999999999993</v>
      </c>
      <c r="M250">
        <f t="shared" si="53"/>
        <v>0.60655737704918022</v>
      </c>
      <c r="N250">
        <v>12</v>
      </c>
      <c r="O250">
        <f t="shared" si="68"/>
        <v>4</v>
      </c>
      <c r="P250">
        <f t="shared" si="69"/>
        <v>840</v>
      </c>
      <c r="Q250">
        <f t="shared" si="70"/>
        <v>0.37344262295081976</v>
      </c>
      <c r="R250">
        <f t="shared" si="73"/>
        <v>3.7144262295081965</v>
      </c>
    </row>
    <row r="251" spans="1:18" x14ac:dyDescent="0.3">
      <c r="A251" t="s">
        <v>6</v>
      </c>
      <c r="B251" s="1">
        <v>45085</v>
      </c>
      <c r="C251" t="s">
        <v>8</v>
      </c>
      <c r="D251" t="s">
        <v>11</v>
      </c>
      <c r="E251">
        <v>7</v>
      </c>
      <c r="F251">
        <v>13.7</v>
      </c>
      <c r="G251">
        <v>0.25</v>
      </c>
      <c r="H251">
        <f t="shared" si="72"/>
        <v>0.75</v>
      </c>
      <c r="I251">
        <f t="shared" si="65"/>
        <v>1</v>
      </c>
      <c r="J251">
        <f t="shared" si="66"/>
        <v>14.7</v>
      </c>
      <c r="K251">
        <f t="shared" si="67"/>
        <v>1.0999999999999996</v>
      </c>
      <c r="L251">
        <f t="shared" si="71"/>
        <v>11.699999999999992</v>
      </c>
      <c r="M251">
        <f t="shared" si="53"/>
        <v>0.60655737704918022</v>
      </c>
      <c r="N251">
        <v>13</v>
      </c>
      <c r="O251">
        <f t="shared" si="68"/>
        <v>4.25</v>
      </c>
      <c r="P251">
        <f t="shared" si="69"/>
        <v>892.5</v>
      </c>
      <c r="Q251">
        <f t="shared" si="70"/>
        <v>0.37344262295081976</v>
      </c>
      <c r="R251">
        <f t="shared" si="73"/>
        <v>4.0878688524590165</v>
      </c>
    </row>
    <row r="252" spans="1:18" x14ac:dyDescent="0.3">
      <c r="A252" t="s">
        <v>0</v>
      </c>
      <c r="B252" s="1">
        <v>45086</v>
      </c>
      <c r="C252" t="s">
        <v>8</v>
      </c>
      <c r="D252" t="s">
        <v>11</v>
      </c>
      <c r="E252">
        <v>7</v>
      </c>
      <c r="F252">
        <v>13.6</v>
      </c>
      <c r="G252">
        <v>0.25</v>
      </c>
      <c r="H252">
        <f t="shared" si="72"/>
        <v>0.84999999999999964</v>
      </c>
      <c r="I252">
        <f t="shared" si="65"/>
        <v>1.0999999999999996</v>
      </c>
      <c r="J252">
        <f t="shared" si="66"/>
        <v>14.7</v>
      </c>
      <c r="K252">
        <f t="shared" si="67"/>
        <v>1.5999999999999996</v>
      </c>
      <c r="L252">
        <f t="shared" si="71"/>
        <v>13.299999999999992</v>
      </c>
      <c r="M252">
        <f t="shared" si="53"/>
        <v>0.60655737704918022</v>
      </c>
      <c r="N252">
        <v>14</v>
      </c>
      <c r="O252">
        <f t="shared" si="68"/>
        <v>4.5</v>
      </c>
      <c r="P252">
        <f t="shared" si="69"/>
        <v>945</v>
      </c>
      <c r="Q252">
        <f t="shared" si="70"/>
        <v>0.37344262295081976</v>
      </c>
      <c r="R252">
        <f t="shared" si="73"/>
        <v>4.4613114754098362</v>
      </c>
    </row>
    <row r="253" spans="1:18" x14ac:dyDescent="0.3">
      <c r="A253" t="s">
        <v>1</v>
      </c>
      <c r="B253" s="1">
        <v>45087</v>
      </c>
      <c r="C253" t="s">
        <v>8</v>
      </c>
      <c r="D253" t="s">
        <v>11</v>
      </c>
      <c r="E253">
        <v>7</v>
      </c>
      <c r="F253">
        <v>13.1</v>
      </c>
      <c r="G253">
        <v>0</v>
      </c>
      <c r="H253">
        <f t="shared" si="72"/>
        <v>1.5999999999999996</v>
      </c>
      <c r="I253">
        <f t="shared" si="65"/>
        <v>1.5999999999999996</v>
      </c>
      <c r="J253">
        <f t="shared" si="66"/>
        <v>14.7</v>
      </c>
      <c r="K253">
        <f t="shared" si="67"/>
        <v>1.3999999999999986</v>
      </c>
      <c r="L253">
        <f t="shared" si="71"/>
        <v>14.69999999999999</v>
      </c>
      <c r="M253">
        <f t="shared" si="53"/>
        <v>0.60655737704918022</v>
      </c>
      <c r="N253">
        <v>15</v>
      </c>
      <c r="O253">
        <f t="shared" si="68"/>
        <v>4.5</v>
      </c>
      <c r="P253">
        <f t="shared" si="69"/>
        <v>945</v>
      </c>
      <c r="Q253">
        <f t="shared" si="70"/>
        <v>0.37344262295081976</v>
      </c>
      <c r="R253">
        <f t="shared" si="73"/>
        <v>4.8347540983606558</v>
      </c>
    </row>
    <row r="254" spans="1:18" x14ac:dyDescent="0.3">
      <c r="A254" t="s">
        <v>2</v>
      </c>
      <c r="B254" s="1">
        <v>45088</v>
      </c>
      <c r="C254" t="s">
        <v>8</v>
      </c>
      <c r="D254" t="s">
        <v>11</v>
      </c>
      <c r="E254">
        <v>7</v>
      </c>
      <c r="F254">
        <v>13.3</v>
      </c>
      <c r="G254">
        <v>0</v>
      </c>
      <c r="H254">
        <f>14.5-F254-G254</f>
        <v>1.1999999999999993</v>
      </c>
      <c r="I254">
        <f t="shared" si="65"/>
        <v>1.1999999999999993</v>
      </c>
      <c r="J254">
        <f t="shared" si="66"/>
        <v>14.5</v>
      </c>
      <c r="K254">
        <f t="shared" si="67"/>
        <v>1.0999999999999996</v>
      </c>
      <c r="L254">
        <f t="shared" si="71"/>
        <v>15.79999999999999</v>
      </c>
      <c r="M254">
        <f t="shared" si="53"/>
        <v>0.57377049180327877</v>
      </c>
      <c r="N254">
        <v>16</v>
      </c>
      <c r="O254">
        <f t="shared" si="68"/>
        <v>4.5</v>
      </c>
      <c r="P254">
        <f t="shared" si="69"/>
        <v>945</v>
      </c>
      <c r="Q254">
        <f t="shared" si="70"/>
        <v>0.40622950819672121</v>
      </c>
      <c r="R254">
        <f t="shared" si="73"/>
        <v>5.2409836065573767</v>
      </c>
    </row>
    <row r="255" spans="1:18" x14ac:dyDescent="0.3">
      <c r="A255" t="s">
        <v>3</v>
      </c>
      <c r="B255" s="1">
        <v>45089</v>
      </c>
      <c r="C255" t="s">
        <v>8</v>
      </c>
      <c r="D255" t="s">
        <v>11</v>
      </c>
      <c r="E255">
        <v>7</v>
      </c>
      <c r="F255">
        <v>13.4</v>
      </c>
      <c r="G255">
        <v>0.5</v>
      </c>
      <c r="H255">
        <f>14.5-F255-G255</f>
        <v>0.59999999999999964</v>
      </c>
      <c r="I255">
        <f t="shared" si="65"/>
        <v>1.0999999999999996</v>
      </c>
      <c r="J255">
        <f t="shared" si="66"/>
        <v>14.5</v>
      </c>
      <c r="K255">
        <f t="shared" si="67"/>
        <v>0.40000000000000036</v>
      </c>
      <c r="L255">
        <f t="shared" si="71"/>
        <v>16.199999999999989</v>
      </c>
      <c r="M255">
        <f t="shared" si="53"/>
        <v>0.57377049180327877</v>
      </c>
      <c r="N255">
        <v>17</v>
      </c>
      <c r="O255">
        <f t="shared" si="68"/>
        <v>5</v>
      </c>
      <c r="P255">
        <f t="shared" si="69"/>
        <v>1050</v>
      </c>
      <c r="Q255">
        <f t="shared" si="70"/>
        <v>0.40622950819672121</v>
      </c>
      <c r="R255">
        <f t="shared" si="73"/>
        <v>5.6472131147540976</v>
      </c>
    </row>
    <row r="256" spans="1:18" x14ac:dyDescent="0.3">
      <c r="A256" t="s">
        <v>4</v>
      </c>
      <c r="B256" s="1">
        <v>45090</v>
      </c>
      <c r="C256" t="s">
        <v>8</v>
      </c>
      <c r="D256" t="s">
        <v>11</v>
      </c>
      <c r="E256">
        <v>7</v>
      </c>
      <c r="F256">
        <v>14.1</v>
      </c>
      <c r="G256">
        <v>0</v>
      </c>
      <c r="H256">
        <v>0</v>
      </c>
      <c r="I256">
        <f t="shared" si="65"/>
        <v>0</v>
      </c>
      <c r="J256">
        <f t="shared" si="66"/>
        <v>14.1</v>
      </c>
      <c r="K256">
        <f t="shared" si="67"/>
        <v>1</v>
      </c>
      <c r="L256">
        <f t="shared" si="71"/>
        <v>17.199999999999989</v>
      </c>
      <c r="M256">
        <f t="shared" si="53"/>
        <v>0.50819672131147542</v>
      </c>
      <c r="N256">
        <v>18</v>
      </c>
      <c r="O256">
        <f t="shared" si="68"/>
        <v>5</v>
      </c>
      <c r="P256">
        <f t="shared" si="69"/>
        <v>1050</v>
      </c>
      <c r="Q256">
        <f t="shared" si="70"/>
        <v>0.47180327868852456</v>
      </c>
      <c r="R256">
        <f t="shared" si="73"/>
        <v>6.1190163934426218</v>
      </c>
    </row>
    <row r="257" spans="1:18" x14ac:dyDescent="0.3">
      <c r="A257" t="s">
        <v>5</v>
      </c>
      <c r="B257" s="1">
        <v>45091</v>
      </c>
      <c r="C257" t="s">
        <v>8</v>
      </c>
      <c r="D257" t="s">
        <v>11</v>
      </c>
      <c r="E257">
        <v>7</v>
      </c>
      <c r="F257">
        <v>13.1</v>
      </c>
      <c r="G257">
        <v>0</v>
      </c>
      <c r="H257">
        <v>0</v>
      </c>
      <c r="I257">
        <f t="shared" si="65"/>
        <v>0</v>
      </c>
      <c r="J257">
        <f t="shared" si="66"/>
        <v>13.1</v>
      </c>
      <c r="K257">
        <f t="shared" si="67"/>
        <v>1.1999999999999993</v>
      </c>
      <c r="L257">
        <f t="shared" si="71"/>
        <v>18.399999999999988</v>
      </c>
      <c r="M257">
        <f t="shared" si="53"/>
        <v>0.34426229508196715</v>
      </c>
      <c r="N257">
        <v>19</v>
      </c>
      <c r="O257">
        <f t="shared" si="68"/>
        <v>5</v>
      </c>
      <c r="P257">
        <f t="shared" si="69"/>
        <v>1050</v>
      </c>
      <c r="Q257">
        <f t="shared" si="70"/>
        <v>0.63573770491803283</v>
      </c>
      <c r="R257">
        <f t="shared" si="73"/>
        <v>6.7547540983606549</v>
      </c>
    </row>
    <row r="258" spans="1:18" x14ac:dyDescent="0.3">
      <c r="A258" t="s">
        <v>6</v>
      </c>
      <c r="B258" s="1">
        <v>45092</v>
      </c>
      <c r="C258" t="s">
        <v>8</v>
      </c>
      <c r="D258" t="s">
        <v>11</v>
      </c>
      <c r="E258">
        <v>7</v>
      </c>
      <c r="F258">
        <v>11.9</v>
      </c>
      <c r="G258">
        <v>0.5</v>
      </c>
      <c r="H258">
        <f>14-F258-G258</f>
        <v>1.5999999999999996</v>
      </c>
      <c r="I258">
        <f t="shared" si="65"/>
        <v>2.0999999999999996</v>
      </c>
      <c r="J258">
        <f t="shared" si="66"/>
        <v>14</v>
      </c>
      <c r="K258">
        <f t="shared" si="67"/>
        <v>1.5999999999999996</v>
      </c>
      <c r="L258">
        <f t="shared" si="71"/>
        <v>19.999999999999986</v>
      </c>
      <c r="M258">
        <f t="shared" si="53"/>
        <v>0.49180327868852464</v>
      </c>
      <c r="N258">
        <v>20</v>
      </c>
      <c r="O258">
        <f t="shared" si="68"/>
        <v>5.5</v>
      </c>
      <c r="P258">
        <f t="shared" si="69"/>
        <v>1155</v>
      </c>
      <c r="Q258">
        <f t="shared" si="70"/>
        <v>0.48819672131147535</v>
      </c>
      <c r="R258">
        <f t="shared" si="73"/>
        <v>7.2429508196721306</v>
      </c>
    </row>
    <row r="259" spans="1:18" x14ac:dyDescent="0.3">
      <c r="A259" t="s">
        <v>0</v>
      </c>
      <c r="B259" s="1">
        <v>45093</v>
      </c>
      <c r="C259" t="s">
        <v>8</v>
      </c>
      <c r="D259" t="s">
        <v>11</v>
      </c>
      <c r="E259">
        <v>7</v>
      </c>
      <c r="F259">
        <v>12.4</v>
      </c>
      <c r="G259">
        <v>0</v>
      </c>
      <c r="H259">
        <f>14-F259-G259</f>
        <v>1.5999999999999996</v>
      </c>
      <c r="I259">
        <f t="shared" si="65"/>
        <v>1.5999999999999996</v>
      </c>
      <c r="J259">
        <f t="shared" si="66"/>
        <v>14</v>
      </c>
      <c r="K259">
        <f t="shared" si="67"/>
        <v>1.3000000000000007</v>
      </c>
      <c r="L259">
        <f t="shared" si="71"/>
        <v>21.299999999999986</v>
      </c>
      <c r="M259">
        <f t="shared" ref="M259:M315" si="74">(J259-11)/6.1</f>
        <v>0.49180327868852464</v>
      </c>
      <c r="N259">
        <v>21</v>
      </c>
      <c r="O259">
        <f t="shared" si="68"/>
        <v>5.5</v>
      </c>
      <c r="P259">
        <f t="shared" si="69"/>
        <v>1155</v>
      </c>
      <c r="Q259">
        <f t="shared" si="70"/>
        <v>0.48819672131147535</v>
      </c>
      <c r="R259">
        <f t="shared" si="73"/>
        <v>7.7311475409836063</v>
      </c>
    </row>
    <row r="260" spans="1:18" x14ac:dyDescent="0.3">
      <c r="A260" t="s">
        <v>1</v>
      </c>
      <c r="B260" s="1">
        <v>45094</v>
      </c>
      <c r="C260" t="s">
        <v>8</v>
      </c>
      <c r="D260" t="s">
        <v>11</v>
      </c>
      <c r="E260">
        <v>7</v>
      </c>
      <c r="F260">
        <v>12.7</v>
      </c>
      <c r="G260">
        <v>0</v>
      </c>
      <c r="H260">
        <f>14-F260-G260</f>
        <v>1.3000000000000007</v>
      </c>
      <c r="I260">
        <f t="shared" si="65"/>
        <v>1.3000000000000007</v>
      </c>
      <c r="J260">
        <f t="shared" si="66"/>
        <v>14</v>
      </c>
      <c r="K260">
        <f t="shared" si="67"/>
        <v>1</v>
      </c>
      <c r="L260">
        <f t="shared" si="71"/>
        <v>22.299999999999986</v>
      </c>
      <c r="M260">
        <f t="shared" si="74"/>
        <v>0.49180327868852464</v>
      </c>
      <c r="N260">
        <v>22</v>
      </c>
      <c r="O260">
        <f t="shared" si="68"/>
        <v>5.5</v>
      </c>
      <c r="P260">
        <f t="shared" si="69"/>
        <v>1155</v>
      </c>
      <c r="Q260">
        <f t="shared" si="70"/>
        <v>0.48819672131147535</v>
      </c>
      <c r="R260">
        <f t="shared" si="73"/>
        <v>8.2193442622950812</v>
      </c>
    </row>
    <row r="261" spans="1:18" x14ac:dyDescent="0.3">
      <c r="A261" t="s">
        <v>2</v>
      </c>
      <c r="B261" s="1">
        <v>45095</v>
      </c>
      <c r="C261" t="s">
        <v>8</v>
      </c>
      <c r="D261" t="s">
        <v>11</v>
      </c>
      <c r="E261">
        <v>7</v>
      </c>
      <c r="F261">
        <v>13</v>
      </c>
      <c r="G261">
        <v>0</v>
      </c>
      <c r="H261">
        <f>14-F261-G261</f>
        <v>1</v>
      </c>
      <c r="I261">
        <f t="shared" si="65"/>
        <v>1</v>
      </c>
      <c r="J261">
        <f t="shared" si="66"/>
        <v>14</v>
      </c>
      <c r="K261">
        <f t="shared" si="67"/>
        <v>1.3000000000000007</v>
      </c>
      <c r="L261">
        <f t="shared" si="71"/>
        <v>23.599999999999987</v>
      </c>
      <c r="M261">
        <f t="shared" si="74"/>
        <v>0.49180327868852464</v>
      </c>
      <c r="N261">
        <v>23</v>
      </c>
      <c r="O261">
        <f t="shared" si="68"/>
        <v>5.5</v>
      </c>
      <c r="P261">
        <f t="shared" si="69"/>
        <v>1155</v>
      </c>
      <c r="Q261">
        <f t="shared" si="70"/>
        <v>0.48819672131147535</v>
      </c>
      <c r="R261">
        <f t="shared" si="73"/>
        <v>8.707540983606556</v>
      </c>
    </row>
    <row r="262" spans="1:18" x14ac:dyDescent="0.3">
      <c r="A262" t="s">
        <v>3</v>
      </c>
      <c r="B262" s="1">
        <v>45096</v>
      </c>
      <c r="C262" t="s">
        <v>8</v>
      </c>
      <c r="D262" t="s">
        <v>11</v>
      </c>
      <c r="E262">
        <v>7</v>
      </c>
      <c r="F262">
        <v>12.7</v>
      </c>
      <c r="G262">
        <v>0.5</v>
      </c>
      <c r="H262">
        <f>13.9-F262-G262</f>
        <v>0.70000000000000107</v>
      </c>
      <c r="I262">
        <f t="shared" si="65"/>
        <v>1.2000000000000011</v>
      </c>
      <c r="J262">
        <f t="shared" si="66"/>
        <v>13.9</v>
      </c>
      <c r="K262">
        <f t="shared" si="67"/>
        <v>1.5999999999999996</v>
      </c>
      <c r="L262">
        <f t="shared" si="71"/>
        <v>25.199999999999989</v>
      </c>
      <c r="M262">
        <f t="shared" si="74"/>
        <v>0.47540983606557385</v>
      </c>
      <c r="N262">
        <v>24</v>
      </c>
      <c r="O262">
        <f t="shared" si="68"/>
        <v>6</v>
      </c>
      <c r="P262">
        <f t="shared" si="69"/>
        <v>1260</v>
      </c>
      <c r="Q262">
        <f t="shared" si="70"/>
        <v>0.50459016393442613</v>
      </c>
      <c r="R262">
        <f t="shared" si="73"/>
        <v>9.2121311475409815</v>
      </c>
    </row>
    <row r="263" spans="1:18" x14ac:dyDescent="0.3">
      <c r="A263" t="s">
        <v>4</v>
      </c>
      <c r="B263" s="1">
        <v>45097</v>
      </c>
      <c r="C263" t="s">
        <v>8</v>
      </c>
      <c r="D263" t="s">
        <v>11</v>
      </c>
      <c r="E263">
        <v>7</v>
      </c>
      <c r="F263">
        <v>12.3</v>
      </c>
      <c r="G263">
        <v>0</v>
      </c>
      <c r="H263">
        <f>13.8-F263-G263</f>
        <v>1.5</v>
      </c>
      <c r="I263">
        <f t="shared" si="65"/>
        <v>1.5</v>
      </c>
      <c r="J263">
        <f t="shared" si="66"/>
        <v>13.8</v>
      </c>
      <c r="K263">
        <f t="shared" si="67"/>
        <v>1.3000000000000007</v>
      </c>
      <c r="L263">
        <f t="shared" si="71"/>
        <v>26.499999999999989</v>
      </c>
      <c r="M263">
        <f t="shared" si="74"/>
        <v>0.45901639344262307</v>
      </c>
      <c r="N263">
        <v>25</v>
      </c>
      <c r="O263">
        <f t="shared" si="68"/>
        <v>6</v>
      </c>
      <c r="P263">
        <f t="shared" si="69"/>
        <v>1260</v>
      </c>
      <c r="Q263">
        <f t="shared" si="70"/>
        <v>0.52098360655737697</v>
      </c>
      <c r="R263">
        <f t="shared" si="73"/>
        <v>9.7331147540983594</v>
      </c>
    </row>
    <row r="264" spans="1:18" x14ac:dyDescent="0.3">
      <c r="A264" t="s">
        <v>5</v>
      </c>
      <c r="B264" s="1">
        <v>45098</v>
      </c>
      <c r="C264" t="s">
        <v>8</v>
      </c>
      <c r="D264" t="s">
        <v>11</v>
      </c>
      <c r="E264">
        <v>7</v>
      </c>
      <c r="F264">
        <v>12.5</v>
      </c>
      <c r="G264">
        <v>0</v>
      </c>
      <c r="H264">
        <f>13.8-F264-G264</f>
        <v>1.3000000000000007</v>
      </c>
      <c r="I264">
        <f t="shared" si="65"/>
        <v>1.3000000000000007</v>
      </c>
      <c r="J264">
        <f t="shared" si="66"/>
        <v>13.8</v>
      </c>
      <c r="K264">
        <f t="shared" si="67"/>
        <v>1.6000000000000014</v>
      </c>
      <c r="L264">
        <f t="shared" si="71"/>
        <v>28.099999999999991</v>
      </c>
      <c r="M264">
        <f t="shared" si="74"/>
        <v>0.45901639344262307</v>
      </c>
      <c r="N264">
        <v>26</v>
      </c>
      <c r="O264">
        <f t="shared" si="68"/>
        <v>6</v>
      </c>
      <c r="P264">
        <f t="shared" si="69"/>
        <v>1260</v>
      </c>
      <c r="Q264">
        <f t="shared" si="70"/>
        <v>0.52098360655737697</v>
      </c>
      <c r="R264">
        <f t="shared" si="73"/>
        <v>10.254098360655735</v>
      </c>
    </row>
    <row r="265" spans="1:18" x14ac:dyDescent="0.3">
      <c r="A265" t="s">
        <v>6</v>
      </c>
      <c r="B265" s="1">
        <v>45099</v>
      </c>
      <c r="C265" t="s">
        <v>8</v>
      </c>
      <c r="D265" t="s">
        <v>11</v>
      </c>
      <c r="E265">
        <v>7</v>
      </c>
      <c r="F265">
        <v>12.2</v>
      </c>
      <c r="G265">
        <v>0.5</v>
      </c>
      <c r="H265">
        <f>13.8-F265-G265</f>
        <v>1.1000000000000014</v>
      </c>
      <c r="I265">
        <f t="shared" si="65"/>
        <v>1.6000000000000014</v>
      </c>
      <c r="J265">
        <f t="shared" si="66"/>
        <v>13.8</v>
      </c>
      <c r="K265">
        <f t="shared" si="67"/>
        <v>1.3000000000000007</v>
      </c>
      <c r="L265">
        <f t="shared" si="71"/>
        <v>29.399999999999991</v>
      </c>
      <c r="M265">
        <f t="shared" si="74"/>
        <v>0.45901639344262307</v>
      </c>
      <c r="N265">
        <v>27</v>
      </c>
      <c r="O265">
        <f t="shared" si="68"/>
        <v>6.5</v>
      </c>
      <c r="P265">
        <f t="shared" si="69"/>
        <v>1365</v>
      </c>
      <c r="Q265">
        <f t="shared" si="70"/>
        <v>0.52098360655737697</v>
      </c>
      <c r="R265">
        <f t="shared" si="73"/>
        <v>10.775081967213112</v>
      </c>
    </row>
    <row r="266" spans="1:18" x14ac:dyDescent="0.3">
      <c r="A266" t="s">
        <v>0</v>
      </c>
      <c r="B266" s="1">
        <v>45100</v>
      </c>
      <c r="C266" t="s">
        <v>8</v>
      </c>
      <c r="D266" t="s">
        <v>11</v>
      </c>
      <c r="E266">
        <v>7</v>
      </c>
      <c r="F266">
        <v>12.5</v>
      </c>
      <c r="G266">
        <v>0</v>
      </c>
      <c r="H266">
        <f>13.8-F266-G266</f>
        <v>1.3000000000000007</v>
      </c>
      <c r="I266">
        <f t="shared" si="65"/>
        <v>1.3000000000000007</v>
      </c>
      <c r="J266">
        <f t="shared" si="66"/>
        <v>13.8</v>
      </c>
      <c r="K266">
        <f t="shared" si="67"/>
        <v>0.80000000000000071</v>
      </c>
      <c r="L266">
        <f t="shared" si="71"/>
        <v>30.199999999999992</v>
      </c>
      <c r="M266">
        <f t="shared" si="74"/>
        <v>0.45901639344262307</v>
      </c>
      <c r="N266">
        <v>28</v>
      </c>
      <c r="O266">
        <f t="shared" si="68"/>
        <v>6.5</v>
      </c>
      <c r="P266">
        <f t="shared" si="69"/>
        <v>1365</v>
      </c>
      <c r="Q266">
        <f t="shared" si="70"/>
        <v>0.52098360655737697</v>
      </c>
      <c r="R266">
        <f t="shared" si="73"/>
        <v>11.296065573770488</v>
      </c>
    </row>
    <row r="267" spans="1:18" x14ac:dyDescent="0.3">
      <c r="A267" t="s">
        <v>1</v>
      </c>
      <c r="B267" s="1">
        <v>45101</v>
      </c>
      <c r="C267" t="s">
        <v>8</v>
      </c>
      <c r="D267" t="s">
        <v>11</v>
      </c>
      <c r="E267">
        <v>7</v>
      </c>
      <c r="F267">
        <v>13</v>
      </c>
      <c r="G267">
        <v>0</v>
      </c>
      <c r="H267">
        <f t="shared" ref="H267:H274" si="75">13.5-F267-G267</f>
        <v>0.5</v>
      </c>
      <c r="I267">
        <f t="shared" si="65"/>
        <v>0.5</v>
      </c>
      <c r="J267">
        <f t="shared" si="66"/>
        <v>13.5</v>
      </c>
      <c r="K267">
        <f t="shared" si="67"/>
        <v>1.5</v>
      </c>
      <c r="L267">
        <f t="shared" si="71"/>
        <v>31.699999999999992</v>
      </c>
      <c r="M267">
        <f t="shared" si="74"/>
        <v>0.4098360655737705</v>
      </c>
      <c r="N267">
        <v>29</v>
      </c>
      <c r="O267">
        <f t="shared" si="68"/>
        <v>6.5</v>
      </c>
      <c r="P267">
        <f t="shared" si="69"/>
        <v>1365</v>
      </c>
      <c r="Q267">
        <f t="shared" si="70"/>
        <v>0.57016393442622948</v>
      </c>
      <c r="R267">
        <f>R266+Q267</f>
        <v>11.866229508196717</v>
      </c>
    </row>
    <row r="268" spans="1:18" x14ac:dyDescent="0.3">
      <c r="A268" t="s">
        <v>2</v>
      </c>
      <c r="B268" s="1">
        <v>45102</v>
      </c>
      <c r="C268" t="s">
        <v>8</v>
      </c>
      <c r="D268" t="s">
        <v>11</v>
      </c>
      <c r="E268">
        <v>7</v>
      </c>
      <c r="F268">
        <v>12</v>
      </c>
      <c r="G268">
        <v>0</v>
      </c>
      <c r="H268">
        <f t="shared" si="75"/>
        <v>1.5</v>
      </c>
      <c r="I268">
        <f t="shared" si="65"/>
        <v>1.5</v>
      </c>
      <c r="J268">
        <f t="shared" si="66"/>
        <v>13.5</v>
      </c>
      <c r="K268">
        <f t="shared" si="67"/>
        <v>1.5</v>
      </c>
      <c r="L268">
        <f t="shared" si="71"/>
        <v>33.199999999999989</v>
      </c>
      <c r="M268">
        <f t="shared" si="74"/>
        <v>0.4098360655737705</v>
      </c>
      <c r="N268">
        <v>30</v>
      </c>
      <c r="O268">
        <f t="shared" si="68"/>
        <v>6.5</v>
      </c>
      <c r="P268">
        <f t="shared" si="69"/>
        <v>1365</v>
      </c>
      <c r="Q268">
        <f t="shared" si="70"/>
        <v>0.57016393442622948</v>
      </c>
      <c r="R268">
        <f t="shared" si="73"/>
        <v>12.436393442622947</v>
      </c>
    </row>
    <row r="269" spans="1:18" x14ac:dyDescent="0.3">
      <c r="A269" t="s">
        <v>3</v>
      </c>
      <c r="B269" s="1">
        <v>45103</v>
      </c>
      <c r="C269" t="s">
        <v>8</v>
      </c>
      <c r="D269" t="s">
        <v>11</v>
      </c>
      <c r="E269">
        <v>7</v>
      </c>
      <c r="F269">
        <v>12</v>
      </c>
      <c r="G269">
        <v>0.5</v>
      </c>
      <c r="H269">
        <f t="shared" si="75"/>
        <v>1</v>
      </c>
      <c r="I269">
        <f t="shared" si="65"/>
        <v>1.5</v>
      </c>
      <c r="J269">
        <f t="shared" si="66"/>
        <v>13.5</v>
      </c>
      <c r="K269">
        <f t="shared" si="67"/>
        <v>1</v>
      </c>
      <c r="L269">
        <f>L268+K269</f>
        <v>34.199999999999989</v>
      </c>
      <c r="M269">
        <f t="shared" si="74"/>
        <v>0.4098360655737705</v>
      </c>
      <c r="N269">
        <v>31</v>
      </c>
      <c r="O269">
        <f t="shared" si="68"/>
        <v>7</v>
      </c>
      <c r="P269">
        <f t="shared" si="69"/>
        <v>1470</v>
      </c>
      <c r="Q269">
        <f t="shared" si="70"/>
        <v>0.57016393442622948</v>
      </c>
      <c r="R269">
        <f t="shared" si="73"/>
        <v>13.006557377049177</v>
      </c>
    </row>
    <row r="270" spans="1:18" x14ac:dyDescent="0.3">
      <c r="A270" t="s">
        <v>4</v>
      </c>
      <c r="B270" s="1">
        <v>45104</v>
      </c>
      <c r="C270" t="s">
        <v>8</v>
      </c>
      <c r="D270" t="s">
        <v>11</v>
      </c>
      <c r="E270">
        <v>7</v>
      </c>
      <c r="F270">
        <v>12.5</v>
      </c>
      <c r="G270">
        <v>0</v>
      </c>
      <c r="H270">
        <f t="shared" si="75"/>
        <v>1</v>
      </c>
      <c r="I270">
        <f t="shared" si="65"/>
        <v>1</v>
      </c>
      <c r="J270">
        <f t="shared" si="66"/>
        <v>13.5</v>
      </c>
      <c r="K270">
        <f t="shared" si="67"/>
        <v>1.4000000000000004</v>
      </c>
      <c r="L270">
        <f t="shared" si="71"/>
        <v>35.599999999999987</v>
      </c>
      <c r="M270">
        <f t="shared" si="74"/>
        <v>0.4098360655737705</v>
      </c>
      <c r="N270">
        <v>32</v>
      </c>
      <c r="O270">
        <f t="shared" si="68"/>
        <v>7</v>
      </c>
      <c r="P270">
        <f t="shared" si="69"/>
        <v>1470</v>
      </c>
      <c r="Q270">
        <f t="shared" si="70"/>
        <v>0.57016393442622948</v>
      </c>
      <c r="R270">
        <f t="shared" si="73"/>
        <v>13.576721311475406</v>
      </c>
    </row>
    <row r="271" spans="1:18" x14ac:dyDescent="0.3">
      <c r="A271" t="s">
        <v>5</v>
      </c>
      <c r="B271" s="1">
        <v>45105</v>
      </c>
      <c r="C271" t="s">
        <v>8</v>
      </c>
      <c r="D271" t="s">
        <v>11</v>
      </c>
      <c r="E271">
        <v>7</v>
      </c>
      <c r="F271">
        <v>12.1</v>
      </c>
      <c r="G271">
        <v>0</v>
      </c>
      <c r="H271">
        <f t="shared" si="75"/>
        <v>1.4000000000000004</v>
      </c>
      <c r="I271">
        <f t="shared" si="65"/>
        <v>1.4000000000000004</v>
      </c>
      <c r="J271">
        <f t="shared" si="66"/>
        <v>13.5</v>
      </c>
      <c r="K271">
        <f t="shared" si="67"/>
        <v>1.4000000000000004</v>
      </c>
      <c r="L271">
        <f t="shared" si="71"/>
        <v>36.999999999999986</v>
      </c>
      <c r="M271">
        <f t="shared" si="74"/>
        <v>0.4098360655737705</v>
      </c>
      <c r="N271">
        <v>33</v>
      </c>
      <c r="O271">
        <f t="shared" si="68"/>
        <v>7</v>
      </c>
      <c r="P271">
        <f t="shared" si="69"/>
        <v>1470</v>
      </c>
      <c r="Q271">
        <f t="shared" si="70"/>
        <v>0.57016393442622948</v>
      </c>
      <c r="R271">
        <f t="shared" si="73"/>
        <v>14.146885245901636</v>
      </c>
    </row>
    <row r="272" spans="1:18" x14ac:dyDescent="0.3">
      <c r="A272" t="s">
        <v>6</v>
      </c>
      <c r="B272" s="1">
        <v>45106</v>
      </c>
      <c r="C272" t="s">
        <v>8</v>
      </c>
      <c r="D272" t="s">
        <v>11</v>
      </c>
      <c r="E272">
        <v>7</v>
      </c>
      <c r="F272">
        <v>12.1</v>
      </c>
      <c r="G272">
        <v>0.5</v>
      </c>
      <c r="H272">
        <f t="shared" si="75"/>
        <v>0.90000000000000036</v>
      </c>
      <c r="I272">
        <f t="shared" si="65"/>
        <v>1.4000000000000004</v>
      </c>
      <c r="J272">
        <f t="shared" si="66"/>
        <v>13.5</v>
      </c>
      <c r="K272">
        <f t="shared" si="67"/>
        <v>1.3000000000000007</v>
      </c>
      <c r="L272">
        <f t="shared" si="71"/>
        <v>38.299999999999983</v>
      </c>
      <c r="M272">
        <f t="shared" si="74"/>
        <v>0.4098360655737705</v>
      </c>
      <c r="N272">
        <v>34</v>
      </c>
      <c r="O272">
        <f t="shared" si="68"/>
        <v>7.5</v>
      </c>
      <c r="P272">
        <f t="shared" si="69"/>
        <v>1575</v>
      </c>
      <c r="Q272">
        <f t="shared" si="70"/>
        <v>0.57016393442622948</v>
      </c>
      <c r="R272">
        <f t="shared" si="73"/>
        <v>14.717049180327866</v>
      </c>
    </row>
    <row r="273" spans="1:18" x14ac:dyDescent="0.3">
      <c r="A273" t="s">
        <v>0</v>
      </c>
      <c r="B273" s="1">
        <v>45107</v>
      </c>
      <c r="C273" t="s">
        <v>8</v>
      </c>
      <c r="D273" t="s">
        <v>11</v>
      </c>
      <c r="E273">
        <v>7</v>
      </c>
      <c r="F273">
        <v>12.2</v>
      </c>
      <c r="G273">
        <v>0</v>
      </c>
      <c r="H273">
        <f t="shared" si="75"/>
        <v>1.3000000000000007</v>
      </c>
      <c r="I273">
        <f t="shared" si="65"/>
        <v>1.3000000000000007</v>
      </c>
      <c r="J273">
        <f t="shared" si="66"/>
        <v>13.5</v>
      </c>
      <c r="K273">
        <f t="shared" si="67"/>
        <v>0.80000000000000071</v>
      </c>
      <c r="L273">
        <f t="shared" si="71"/>
        <v>39.09999999999998</v>
      </c>
      <c r="M273">
        <f t="shared" si="74"/>
        <v>0.4098360655737705</v>
      </c>
      <c r="N273">
        <v>35</v>
      </c>
      <c r="O273">
        <f t="shared" si="68"/>
        <v>7.5</v>
      </c>
      <c r="P273">
        <f t="shared" si="69"/>
        <v>1575</v>
      </c>
      <c r="Q273">
        <f t="shared" si="70"/>
        <v>0.57016393442622948</v>
      </c>
      <c r="R273">
        <f t="shared" si="73"/>
        <v>15.287213114754095</v>
      </c>
    </row>
    <row r="274" spans="1:18" x14ac:dyDescent="0.3">
      <c r="A274" t="s">
        <v>1</v>
      </c>
      <c r="B274" s="1">
        <v>45108</v>
      </c>
      <c r="C274" t="s">
        <v>8</v>
      </c>
      <c r="D274" t="s">
        <v>11</v>
      </c>
      <c r="E274">
        <v>7</v>
      </c>
      <c r="F274">
        <v>12.7</v>
      </c>
      <c r="G274">
        <v>0</v>
      </c>
      <c r="H274">
        <f t="shared" si="75"/>
        <v>0.80000000000000071</v>
      </c>
      <c r="I274">
        <f t="shared" si="65"/>
        <v>0.80000000000000071</v>
      </c>
      <c r="J274">
        <f t="shared" si="66"/>
        <v>13.5</v>
      </c>
      <c r="K274">
        <f t="shared" si="67"/>
        <v>1.0999999999999996</v>
      </c>
      <c r="L274">
        <f t="shared" si="71"/>
        <v>40.199999999999982</v>
      </c>
      <c r="M274">
        <f t="shared" si="74"/>
        <v>0.4098360655737705</v>
      </c>
      <c r="N274">
        <v>36</v>
      </c>
      <c r="O274">
        <f t="shared" si="68"/>
        <v>7.5</v>
      </c>
      <c r="P274">
        <f t="shared" si="69"/>
        <v>1575</v>
      </c>
      <c r="Q274">
        <f t="shared" si="70"/>
        <v>0.57016393442622948</v>
      </c>
      <c r="R274">
        <f t="shared" si="73"/>
        <v>15.857377049180325</v>
      </c>
    </row>
    <row r="275" spans="1:18" x14ac:dyDescent="0.3">
      <c r="A275" t="s">
        <v>2</v>
      </c>
      <c r="B275" s="1">
        <v>45109</v>
      </c>
      <c r="C275" t="s">
        <v>8</v>
      </c>
      <c r="D275" t="s">
        <v>11</v>
      </c>
      <c r="E275">
        <v>7</v>
      </c>
      <c r="F275">
        <v>12.4</v>
      </c>
      <c r="G275">
        <v>0</v>
      </c>
      <c r="H275">
        <f>13.1-F275-G275</f>
        <v>0.69999999999999929</v>
      </c>
      <c r="I275">
        <f t="shared" si="65"/>
        <v>0.69999999999999929</v>
      </c>
      <c r="J275">
        <f t="shared" si="66"/>
        <v>13.1</v>
      </c>
      <c r="K275">
        <f t="shared" si="67"/>
        <v>1.5999999999999996</v>
      </c>
      <c r="L275">
        <f t="shared" si="71"/>
        <v>41.799999999999983</v>
      </c>
      <c r="M275">
        <f t="shared" si="74"/>
        <v>0.34426229508196715</v>
      </c>
      <c r="N275">
        <v>37</v>
      </c>
      <c r="O275">
        <f t="shared" si="68"/>
        <v>7.5</v>
      </c>
      <c r="P275">
        <f t="shared" si="69"/>
        <v>1575</v>
      </c>
      <c r="Q275">
        <f t="shared" si="70"/>
        <v>0.63573770491803283</v>
      </c>
      <c r="R275">
        <f t="shared" si="73"/>
        <v>16.493114754098357</v>
      </c>
    </row>
    <row r="276" spans="1:18" x14ac:dyDescent="0.3">
      <c r="A276" t="s">
        <v>3</v>
      </c>
      <c r="B276" s="1">
        <v>45110</v>
      </c>
      <c r="C276" t="s">
        <v>8</v>
      </c>
      <c r="D276" t="s">
        <v>11</v>
      </c>
      <c r="E276">
        <v>7</v>
      </c>
      <c r="F276">
        <v>11.5</v>
      </c>
      <c r="G276">
        <v>0</v>
      </c>
      <c r="H276">
        <f>13.1-F276-G276</f>
        <v>1.5999999999999996</v>
      </c>
      <c r="I276">
        <f t="shared" si="65"/>
        <v>1.5999999999999996</v>
      </c>
      <c r="J276">
        <f t="shared" si="66"/>
        <v>13.1</v>
      </c>
      <c r="K276">
        <f t="shared" si="67"/>
        <v>1.9000000000000004</v>
      </c>
      <c r="L276">
        <f t="shared" si="71"/>
        <v>43.699999999999982</v>
      </c>
      <c r="M276">
        <f t="shared" si="74"/>
        <v>0.34426229508196715</v>
      </c>
      <c r="N276">
        <v>38</v>
      </c>
      <c r="O276">
        <f t="shared" si="68"/>
        <v>7.5</v>
      </c>
      <c r="P276">
        <f t="shared" si="69"/>
        <v>1575</v>
      </c>
      <c r="Q276">
        <f t="shared" si="70"/>
        <v>0.63573770491803283</v>
      </c>
      <c r="R276">
        <f t="shared" si="73"/>
        <v>17.12885245901639</v>
      </c>
    </row>
    <row r="277" spans="1:18" x14ac:dyDescent="0.3">
      <c r="A277" t="s">
        <v>4</v>
      </c>
      <c r="B277" s="1">
        <v>45111</v>
      </c>
      <c r="C277" t="s">
        <v>8</v>
      </c>
      <c r="D277" t="s">
        <v>11</v>
      </c>
      <c r="E277">
        <v>7</v>
      </c>
      <c r="F277">
        <v>11.2</v>
      </c>
    </row>
    <row r="278" spans="1:18" x14ac:dyDescent="0.3">
      <c r="A278" t="s">
        <v>1</v>
      </c>
      <c r="B278" s="1">
        <v>45073</v>
      </c>
      <c r="C278" t="s">
        <v>8</v>
      </c>
      <c r="D278" t="s">
        <v>11</v>
      </c>
      <c r="E278">
        <v>8</v>
      </c>
      <c r="F278">
        <v>17</v>
      </c>
      <c r="G278">
        <v>0</v>
      </c>
      <c r="H278">
        <v>0</v>
      </c>
      <c r="I278">
        <f t="shared" ref="I278:I315" si="76">H278+G278</f>
        <v>0</v>
      </c>
      <c r="J278">
        <f t="shared" ref="J278:J315" si="77">I278+F278</f>
        <v>17</v>
      </c>
      <c r="K278">
        <f t="shared" ref="K278:K315" si="78">J278-F279</f>
        <v>0.69999999999999929</v>
      </c>
      <c r="M278">
        <f t="shared" si="74"/>
        <v>0.98360655737704927</v>
      </c>
      <c r="N278">
        <v>1</v>
      </c>
      <c r="O278">
        <v>2.5</v>
      </c>
      <c r="P278">
        <f>O278*210</f>
        <v>525</v>
      </c>
    </row>
    <row r="279" spans="1:18" x14ac:dyDescent="0.3">
      <c r="A279" t="s">
        <v>2</v>
      </c>
      <c r="B279" s="1">
        <v>45074</v>
      </c>
      <c r="C279" t="s">
        <v>8</v>
      </c>
      <c r="D279" t="s">
        <v>11</v>
      </c>
      <c r="E279">
        <v>8</v>
      </c>
      <c r="F279">
        <v>16.3</v>
      </c>
      <c r="G279">
        <v>0</v>
      </c>
      <c r="H279">
        <v>0</v>
      </c>
      <c r="I279">
        <f t="shared" si="76"/>
        <v>0</v>
      </c>
      <c r="J279">
        <f t="shared" si="77"/>
        <v>16.3</v>
      </c>
      <c r="K279">
        <f t="shared" si="78"/>
        <v>0.60000000000000142</v>
      </c>
      <c r="L279">
        <f>K278+K279</f>
        <v>1.3000000000000007</v>
      </c>
      <c r="M279">
        <f t="shared" si="74"/>
        <v>0.86885245901639363</v>
      </c>
      <c r="N279">
        <v>2</v>
      </c>
      <c r="O279">
        <f t="shared" ref="O279:O315" si="79">O278+G279</f>
        <v>2.5</v>
      </c>
      <c r="P279">
        <f t="shared" ref="P279:P315" si="80">O279*210</f>
        <v>525</v>
      </c>
      <c r="Q279">
        <f t="shared" ref="Q279:Q315" si="81">0.98-M279</f>
        <v>0.11114754098360635</v>
      </c>
    </row>
    <row r="280" spans="1:18" x14ac:dyDescent="0.3">
      <c r="A280" t="s">
        <v>3</v>
      </c>
      <c r="B280" s="1">
        <v>45075</v>
      </c>
      <c r="C280" t="s">
        <v>8</v>
      </c>
      <c r="D280" t="s">
        <v>11</v>
      </c>
      <c r="E280">
        <v>8</v>
      </c>
      <c r="F280">
        <v>15.7</v>
      </c>
      <c r="G280">
        <v>0.25</v>
      </c>
      <c r="H280">
        <v>0</v>
      </c>
      <c r="I280">
        <f t="shared" si="76"/>
        <v>0.25</v>
      </c>
      <c r="J280">
        <f t="shared" si="77"/>
        <v>15.95</v>
      </c>
      <c r="K280">
        <f t="shared" si="78"/>
        <v>0.75</v>
      </c>
      <c r="L280">
        <f>L279+K280</f>
        <v>2.0500000000000007</v>
      </c>
      <c r="M280">
        <f t="shared" si="74"/>
        <v>0.81147540983606548</v>
      </c>
      <c r="N280">
        <v>3</v>
      </c>
      <c r="O280">
        <f t="shared" si="79"/>
        <v>2.75</v>
      </c>
      <c r="P280">
        <f t="shared" si="80"/>
        <v>577.5</v>
      </c>
      <c r="Q280">
        <f t="shared" si="81"/>
        <v>0.16852459016393451</v>
      </c>
      <c r="R280">
        <f>Q279+Q280</f>
        <v>0.27967213114754086</v>
      </c>
    </row>
    <row r="281" spans="1:18" x14ac:dyDescent="0.3">
      <c r="A281" t="s">
        <v>4</v>
      </c>
      <c r="B281" s="1">
        <v>45076</v>
      </c>
      <c r="C281" t="s">
        <v>8</v>
      </c>
      <c r="D281" t="s">
        <v>11</v>
      </c>
      <c r="E281">
        <v>8</v>
      </c>
      <c r="F281">
        <v>15.2</v>
      </c>
      <c r="G281">
        <v>0.25</v>
      </c>
      <c r="H281">
        <v>0</v>
      </c>
      <c r="I281">
        <f t="shared" si="76"/>
        <v>0.25</v>
      </c>
      <c r="J281">
        <f t="shared" si="77"/>
        <v>15.45</v>
      </c>
      <c r="K281">
        <f t="shared" si="78"/>
        <v>0.94999999999999929</v>
      </c>
      <c r="L281">
        <f t="shared" ref="L281:L315" si="82">L280+K281</f>
        <v>3</v>
      </c>
      <c r="M281">
        <f t="shared" si="74"/>
        <v>0.7295081967213114</v>
      </c>
      <c r="N281">
        <v>4</v>
      </c>
      <c r="O281">
        <f t="shared" si="79"/>
        <v>3</v>
      </c>
      <c r="P281">
        <f t="shared" si="80"/>
        <v>630</v>
      </c>
      <c r="Q281">
        <f t="shared" si="81"/>
        <v>0.25049180327868859</v>
      </c>
      <c r="R281">
        <f>R280+Q281</f>
        <v>0.53016393442622944</v>
      </c>
    </row>
    <row r="282" spans="1:18" x14ac:dyDescent="0.3">
      <c r="A282" t="s">
        <v>5</v>
      </c>
      <c r="B282" s="1">
        <v>45077</v>
      </c>
      <c r="C282" t="s">
        <v>8</v>
      </c>
      <c r="D282" t="s">
        <v>11</v>
      </c>
      <c r="E282">
        <v>8</v>
      </c>
      <c r="F282">
        <v>14.5</v>
      </c>
      <c r="G282">
        <v>0</v>
      </c>
      <c r="H282">
        <f t="shared" ref="H282:H292" si="83">14.7-F282-G282</f>
        <v>0.19999999999999929</v>
      </c>
      <c r="I282">
        <f t="shared" si="76"/>
        <v>0.19999999999999929</v>
      </c>
      <c r="J282">
        <f t="shared" si="77"/>
        <v>14.7</v>
      </c>
      <c r="K282">
        <f t="shared" si="78"/>
        <v>0.69999999999999929</v>
      </c>
      <c r="L282">
        <f t="shared" si="82"/>
        <v>3.6999999999999993</v>
      </c>
      <c r="M282">
        <f t="shared" si="74"/>
        <v>0.60655737704918022</v>
      </c>
      <c r="N282">
        <v>5</v>
      </c>
      <c r="O282">
        <f t="shared" si="79"/>
        <v>3</v>
      </c>
      <c r="P282">
        <f t="shared" si="80"/>
        <v>630</v>
      </c>
      <c r="Q282">
        <f t="shared" si="81"/>
        <v>0.37344262295081976</v>
      </c>
      <c r="R282">
        <f t="shared" ref="R282:R315" si="84">R281+Q282</f>
        <v>0.9036065573770492</v>
      </c>
    </row>
    <row r="283" spans="1:18" x14ac:dyDescent="0.3">
      <c r="A283" t="s">
        <v>6</v>
      </c>
      <c r="B283" s="1">
        <v>45078</v>
      </c>
      <c r="C283" t="s">
        <v>8</v>
      </c>
      <c r="D283" t="s">
        <v>11</v>
      </c>
      <c r="E283">
        <v>8</v>
      </c>
      <c r="F283">
        <v>14</v>
      </c>
      <c r="G283">
        <v>0.25</v>
      </c>
      <c r="H283">
        <f t="shared" si="83"/>
        <v>0.44999999999999929</v>
      </c>
      <c r="I283">
        <f t="shared" si="76"/>
        <v>0.69999999999999929</v>
      </c>
      <c r="J283">
        <f t="shared" si="77"/>
        <v>14.7</v>
      </c>
      <c r="K283">
        <f t="shared" si="78"/>
        <v>0.5</v>
      </c>
      <c r="L283">
        <f t="shared" si="82"/>
        <v>4.1999999999999993</v>
      </c>
      <c r="M283">
        <f t="shared" si="74"/>
        <v>0.60655737704918022</v>
      </c>
      <c r="N283">
        <v>6</v>
      </c>
      <c r="O283">
        <f t="shared" si="79"/>
        <v>3.25</v>
      </c>
      <c r="P283">
        <f t="shared" si="80"/>
        <v>682.5</v>
      </c>
      <c r="Q283">
        <f t="shared" si="81"/>
        <v>0.37344262295081976</v>
      </c>
      <c r="R283">
        <f t="shared" si="84"/>
        <v>1.277049180327869</v>
      </c>
    </row>
    <row r="284" spans="1:18" x14ac:dyDescent="0.3">
      <c r="A284" t="s">
        <v>0</v>
      </c>
      <c r="B284" s="1">
        <v>45079</v>
      </c>
      <c r="C284" t="s">
        <v>8</v>
      </c>
      <c r="D284" t="s">
        <v>11</v>
      </c>
      <c r="E284">
        <v>8</v>
      </c>
      <c r="F284">
        <v>14.2</v>
      </c>
      <c r="G284">
        <v>0.25</v>
      </c>
      <c r="H284">
        <f t="shared" si="83"/>
        <v>0.25</v>
      </c>
      <c r="I284">
        <f t="shared" si="76"/>
        <v>0.5</v>
      </c>
      <c r="J284">
        <f t="shared" si="77"/>
        <v>14.7</v>
      </c>
      <c r="K284">
        <f t="shared" si="78"/>
        <v>0.29999999999999893</v>
      </c>
      <c r="L284">
        <f t="shared" si="82"/>
        <v>4.4999999999999982</v>
      </c>
      <c r="M284">
        <f t="shared" si="74"/>
        <v>0.60655737704918022</v>
      </c>
      <c r="N284">
        <v>7</v>
      </c>
      <c r="O284">
        <f t="shared" si="79"/>
        <v>3.5</v>
      </c>
      <c r="P284">
        <f t="shared" si="80"/>
        <v>735</v>
      </c>
      <c r="Q284">
        <f t="shared" si="81"/>
        <v>0.37344262295081976</v>
      </c>
      <c r="R284">
        <f t="shared" si="84"/>
        <v>1.6504918032786886</v>
      </c>
    </row>
    <row r="285" spans="1:18" x14ac:dyDescent="0.3">
      <c r="A285" t="s">
        <v>1</v>
      </c>
      <c r="B285" s="1">
        <v>45080</v>
      </c>
      <c r="C285" t="s">
        <v>8</v>
      </c>
      <c r="D285" t="s">
        <v>11</v>
      </c>
      <c r="E285">
        <v>8</v>
      </c>
      <c r="F285">
        <v>14.4</v>
      </c>
      <c r="G285">
        <v>0</v>
      </c>
      <c r="H285">
        <f t="shared" si="83"/>
        <v>0.29999999999999893</v>
      </c>
      <c r="I285">
        <f t="shared" si="76"/>
        <v>0.29999999999999893</v>
      </c>
      <c r="J285">
        <f t="shared" si="77"/>
        <v>14.7</v>
      </c>
      <c r="K285">
        <f t="shared" si="78"/>
        <v>0.59999999999999964</v>
      </c>
      <c r="L285">
        <f t="shared" si="82"/>
        <v>5.0999999999999979</v>
      </c>
      <c r="M285">
        <f t="shared" si="74"/>
        <v>0.60655737704918022</v>
      </c>
      <c r="N285">
        <v>8</v>
      </c>
      <c r="O285">
        <f t="shared" si="79"/>
        <v>3.5</v>
      </c>
      <c r="P285">
        <f t="shared" si="80"/>
        <v>735</v>
      </c>
      <c r="Q285">
        <f t="shared" si="81"/>
        <v>0.37344262295081976</v>
      </c>
      <c r="R285">
        <f t="shared" si="84"/>
        <v>2.0239344262295083</v>
      </c>
    </row>
    <row r="286" spans="1:18" x14ac:dyDescent="0.3">
      <c r="A286" t="s">
        <v>2</v>
      </c>
      <c r="B286" s="1">
        <v>45081</v>
      </c>
      <c r="C286" t="s">
        <v>8</v>
      </c>
      <c r="D286" t="s">
        <v>11</v>
      </c>
      <c r="E286">
        <v>8</v>
      </c>
      <c r="F286">
        <v>14.1</v>
      </c>
      <c r="G286">
        <v>0</v>
      </c>
      <c r="H286">
        <f t="shared" si="83"/>
        <v>0.59999999999999964</v>
      </c>
      <c r="I286">
        <f t="shared" si="76"/>
        <v>0.59999999999999964</v>
      </c>
      <c r="J286">
        <f t="shared" si="77"/>
        <v>14.7</v>
      </c>
      <c r="K286">
        <f t="shared" si="78"/>
        <v>0.69999999999999929</v>
      </c>
      <c r="L286">
        <f t="shared" si="82"/>
        <v>5.7999999999999972</v>
      </c>
      <c r="M286">
        <f t="shared" si="74"/>
        <v>0.60655737704918022</v>
      </c>
      <c r="N286">
        <v>9</v>
      </c>
      <c r="O286">
        <f t="shared" si="79"/>
        <v>3.5</v>
      </c>
      <c r="P286">
        <f t="shared" si="80"/>
        <v>735</v>
      </c>
      <c r="Q286">
        <f t="shared" si="81"/>
        <v>0.37344262295081976</v>
      </c>
      <c r="R286">
        <f t="shared" si="84"/>
        <v>2.3973770491803279</v>
      </c>
    </row>
    <row r="287" spans="1:18" x14ac:dyDescent="0.3">
      <c r="A287" t="s">
        <v>3</v>
      </c>
      <c r="B287" s="1">
        <v>45082</v>
      </c>
      <c r="C287" t="s">
        <v>8</v>
      </c>
      <c r="D287" t="s">
        <v>11</v>
      </c>
      <c r="E287">
        <v>8</v>
      </c>
      <c r="F287">
        <v>14</v>
      </c>
      <c r="G287">
        <v>0.25</v>
      </c>
      <c r="H287">
        <f t="shared" si="83"/>
        <v>0.44999999999999929</v>
      </c>
      <c r="I287">
        <f t="shared" si="76"/>
        <v>0.69999999999999929</v>
      </c>
      <c r="J287">
        <f t="shared" si="77"/>
        <v>14.7</v>
      </c>
      <c r="K287">
        <f t="shared" si="78"/>
        <v>0.5</v>
      </c>
      <c r="L287">
        <f t="shared" si="82"/>
        <v>6.2999999999999972</v>
      </c>
      <c r="M287">
        <f t="shared" si="74"/>
        <v>0.60655737704918022</v>
      </c>
      <c r="N287">
        <v>10</v>
      </c>
      <c r="O287">
        <f t="shared" si="79"/>
        <v>3.75</v>
      </c>
      <c r="P287">
        <f t="shared" si="80"/>
        <v>787.5</v>
      </c>
      <c r="Q287">
        <f t="shared" si="81"/>
        <v>0.37344262295081976</v>
      </c>
      <c r="R287">
        <f t="shared" si="84"/>
        <v>2.7708196721311475</v>
      </c>
    </row>
    <row r="288" spans="1:18" x14ac:dyDescent="0.3">
      <c r="A288" t="s">
        <v>4</v>
      </c>
      <c r="B288" s="1">
        <v>45083</v>
      </c>
      <c r="C288" t="s">
        <v>8</v>
      </c>
      <c r="D288" t="s">
        <v>11</v>
      </c>
      <c r="E288">
        <v>8</v>
      </c>
      <c r="F288">
        <v>14.2</v>
      </c>
      <c r="G288">
        <v>0.25</v>
      </c>
      <c r="H288">
        <f t="shared" si="83"/>
        <v>0.25</v>
      </c>
      <c r="I288">
        <f t="shared" si="76"/>
        <v>0.5</v>
      </c>
      <c r="J288">
        <f t="shared" si="77"/>
        <v>14.7</v>
      </c>
      <c r="K288">
        <f t="shared" si="78"/>
        <v>0.79999999999999893</v>
      </c>
      <c r="L288">
        <f t="shared" si="82"/>
        <v>7.0999999999999961</v>
      </c>
      <c r="M288">
        <f t="shared" si="74"/>
        <v>0.60655737704918022</v>
      </c>
      <c r="N288">
        <v>11</v>
      </c>
      <c r="O288">
        <f t="shared" si="79"/>
        <v>4</v>
      </c>
      <c r="P288">
        <f t="shared" si="80"/>
        <v>840</v>
      </c>
      <c r="Q288">
        <f t="shared" si="81"/>
        <v>0.37344262295081976</v>
      </c>
      <c r="R288">
        <f t="shared" si="84"/>
        <v>3.1442622950819672</v>
      </c>
    </row>
    <row r="289" spans="1:18" x14ac:dyDescent="0.3">
      <c r="A289" t="s">
        <v>5</v>
      </c>
      <c r="B289" s="1">
        <v>45084</v>
      </c>
      <c r="C289" t="s">
        <v>8</v>
      </c>
      <c r="D289" t="s">
        <v>11</v>
      </c>
      <c r="E289">
        <v>8</v>
      </c>
      <c r="F289">
        <v>13.9</v>
      </c>
      <c r="G289">
        <v>0</v>
      </c>
      <c r="H289">
        <f t="shared" si="83"/>
        <v>0.79999999999999893</v>
      </c>
      <c r="I289">
        <f t="shared" si="76"/>
        <v>0.79999999999999893</v>
      </c>
      <c r="J289">
        <f t="shared" si="77"/>
        <v>14.7</v>
      </c>
      <c r="K289">
        <f t="shared" si="78"/>
        <v>0.69999999999999929</v>
      </c>
      <c r="L289">
        <f t="shared" si="82"/>
        <v>7.7999999999999954</v>
      </c>
      <c r="M289">
        <f t="shared" si="74"/>
        <v>0.60655737704918022</v>
      </c>
      <c r="N289">
        <v>12</v>
      </c>
      <c r="O289">
        <f t="shared" si="79"/>
        <v>4</v>
      </c>
      <c r="P289">
        <f t="shared" si="80"/>
        <v>840</v>
      </c>
      <c r="Q289">
        <f t="shared" si="81"/>
        <v>0.37344262295081976</v>
      </c>
      <c r="R289">
        <f t="shared" si="84"/>
        <v>3.5177049180327868</v>
      </c>
    </row>
    <row r="290" spans="1:18" x14ac:dyDescent="0.3">
      <c r="A290" t="s">
        <v>6</v>
      </c>
      <c r="B290" s="1">
        <v>45085</v>
      </c>
      <c r="C290" t="s">
        <v>8</v>
      </c>
      <c r="D290" t="s">
        <v>11</v>
      </c>
      <c r="E290">
        <v>8</v>
      </c>
      <c r="F290">
        <v>14</v>
      </c>
      <c r="G290">
        <v>0.25</v>
      </c>
      <c r="H290">
        <f t="shared" si="83"/>
        <v>0.44999999999999929</v>
      </c>
      <c r="I290">
        <f t="shared" si="76"/>
        <v>0.69999999999999929</v>
      </c>
      <c r="J290">
        <f t="shared" si="77"/>
        <v>14.7</v>
      </c>
      <c r="K290">
        <f t="shared" si="78"/>
        <v>0.79999999999999893</v>
      </c>
      <c r="L290">
        <f t="shared" si="82"/>
        <v>8.5999999999999943</v>
      </c>
      <c r="M290">
        <f t="shared" si="74"/>
        <v>0.60655737704918022</v>
      </c>
      <c r="N290">
        <v>13</v>
      </c>
      <c r="O290">
        <f t="shared" si="79"/>
        <v>4.25</v>
      </c>
      <c r="P290">
        <f t="shared" si="80"/>
        <v>892.5</v>
      </c>
      <c r="Q290">
        <f t="shared" si="81"/>
        <v>0.37344262295081976</v>
      </c>
      <c r="R290">
        <f t="shared" si="84"/>
        <v>3.8911475409836065</v>
      </c>
    </row>
    <row r="291" spans="1:18" x14ac:dyDescent="0.3">
      <c r="A291" t="s">
        <v>0</v>
      </c>
      <c r="B291" s="1">
        <v>45086</v>
      </c>
      <c r="C291" t="s">
        <v>8</v>
      </c>
      <c r="D291" t="s">
        <v>11</v>
      </c>
      <c r="E291">
        <v>8</v>
      </c>
      <c r="F291">
        <v>13.9</v>
      </c>
      <c r="G291">
        <v>0.25</v>
      </c>
      <c r="H291">
        <f t="shared" si="83"/>
        <v>0.54999999999999893</v>
      </c>
      <c r="I291">
        <f t="shared" si="76"/>
        <v>0.79999999999999893</v>
      </c>
      <c r="J291">
        <f t="shared" si="77"/>
        <v>14.7</v>
      </c>
      <c r="K291">
        <f t="shared" si="78"/>
        <v>1.0999999999999996</v>
      </c>
      <c r="L291">
        <f>L290+K291</f>
        <v>9.699999999999994</v>
      </c>
      <c r="M291">
        <f t="shared" si="74"/>
        <v>0.60655737704918022</v>
      </c>
      <c r="N291">
        <v>14</v>
      </c>
      <c r="O291">
        <f t="shared" si="79"/>
        <v>4.5</v>
      </c>
      <c r="P291">
        <f t="shared" si="80"/>
        <v>945</v>
      </c>
      <c r="Q291">
        <f t="shared" si="81"/>
        <v>0.37344262295081976</v>
      </c>
      <c r="R291">
        <f t="shared" si="84"/>
        <v>4.2645901639344261</v>
      </c>
    </row>
    <row r="292" spans="1:18" x14ac:dyDescent="0.3">
      <c r="A292" t="s">
        <v>1</v>
      </c>
      <c r="B292" s="1">
        <v>45087</v>
      </c>
      <c r="C292" t="s">
        <v>8</v>
      </c>
      <c r="D292" t="s">
        <v>11</v>
      </c>
      <c r="E292">
        <v>8</v>
      </c>
      <c r="F292">
        <v>13.6</v>
      </c>
      <c r="G292">
        <v>0</v>
      </c>
      <c r="H292">
        <f t="shared" si="83"/>
        <v>1.0999999999999996</v>
      </c>
      <c r="I292">
        <f t="shared" si="76"/>
        <v>1.0999999999999996</v>
      </c>
      <c r="J292">
        <f t="shared" si="77"/>
        <v>14.7</v>
      </c>
      <c r="K292">
        <f t="shared" si="78"/>
        <v>1</v>
      </c>
      <c r="L292">
        <f t="shared" si="82"/>
        <v>10.699999999999994</v>
      </c>
      <c r="M292">
        <f t="shared" si="74"/>
        <v>0.60655737704918022</v>
      </c>
      <c r="N292">
        <v>15</v>
      </c>
      <c r="O292">
        <f t="shared" si="79"/>
        <v>4.5</v>
      </c>
      <c r="P292">
        <f t="shared" si="80"/>
        <v>945</v>
      </c>
      <c r="Q292">
        <f t="shared" si="81"/>
        <v>0.37344262295081976</v>
      </c>
      <c r="R292">
        <f t="shared" si="84"/>
        <v>4.6380327868852458</v>
      </c>
    </row>
    <row r="293" spans="1:18" x14ac:dyDescent="0.3">
      <c r="A293" t="s">
        <v>2</v>
      </c>
      <c r="B293" s="1">
        <v>45088</v>
      </c>
      <c r="C293" t="s">
        <v>8</v>
      </c>
      <c r="D293" t="s">
        <v>11</v>
      </c>
      <c r="E293">
        <v>8</v>
      </c>
      <c r="F293">
        <v>13.7</v>
      </c>
      <c r="G293">
        <v>0</v>
      </c>
      <c r="H293">
        <f>14.5-F293-G293</f>
        <v>0.80000000000000071</v>
      </c>
      <c r="I293">
        <f t="shared" si="76"/>
        <v>0.80000000000000071</v>
      </c>
      <c r="J293">
        <f t="shared" si="77"/>
        <v>14.5</v>
      </c>
      <c r="K293">
        <f t="shared" si="78"/>
        <v>0.80000000000000071</v>
      </c>
      <c r="L293">
        <f t="shared" si="82"/>
        <v>11.499999999999995</v>
      </c>
      <c r="M293">
        <f t="shared" si="74"/>
        <v>0.57377049180327877</v>
      </c>
      <c r="N293">
        <v>16</v>
      </c>
      <c r="O293">
        <f t="shared" si="79"/>
        <v>4.5</v>
      </c>
      <c r="P293">
        <f t="shared" si="80"/>
        <v>945</v>
      </c>
      <c r="Q293">
        <f t="shared" si="81"/>
        <v>0.40622950819672121</v>
      </c>
      <c r="R293">
        <f t="shared" si="84"/>
        <v>5.0442622950819667</v>
      </c>
    </row>
    <row r="294" spans="1:18" x14ac:dyDescent="0.3">
      <c r="A294" t="s">
        <v>3</v>
      </c>
      <c r="B294" s="1">
        <v>45089</v>
      </c>
      <c r="C294" t="s">
        <v>8</v>
      </c>
      <c r="D294" t="s">
        <v>11</v>
      </c>
      <c r="E294">
        <v>8</v>
      </c>
      <c r="F294">
        <v>13.7</v>
      </c>
      <c r="G294">
        <v>0.5</v>
      </c>
      <c r="H294">
        <f>14.5-F294-G294</f>
        <v>0.30000000000000071</v>
      </c>
      <c r="I294">
        <f t="shared" si="76"/>
        <v>0.80000000000000071</v>
      </c>
      <c r="J294">
        <f t="shared" si="77"/>
        <v>14.5</v>
      </c>
      <c r="K294">
        <f t="shared" si="78"/>
        <v>0.40000000000000036</v>
      </c>
      <c r="L294">
        <f t="shared" si="82"/>
        <v>11.899999999999995</v>
      </c>
      <c r="M294">
        <f t="shared" si="74"/>
        <v>0.57377049180327877</v>
      </c>
      <c r="N294">
        <v>17</v>
      </c>
      <c r="O294">
        <f t="shared" si="79"/>
        <v>5</v>
      </c>
      <c r="P294">
        <f t="shared" si="80"/>
        <v>1050</v>
      </c>
      <c r="Q294">
        <f t="shared" si="81"/>
        <v>0.40622950819672121</v>
      </c>
      <c r="R294">
        <f t="shared" si="84"/>
        <v>5.4504918032786875</v>
      </c>
    </row>
    <row r="295" spans="1:18" x14ac:dyDescent="0.3">
      <c r="A295" t="s">
        <v>4</v>
      </c>
      <c r="B295" s="1">
        <v>45090</v>
      </c>
      <c r="C295" t="s">
        <v>8</v>
      </c>
      <c r="D295" t="s">
        <v>11</v>
      </c>
      <c r="E295">
        <v>8</v>
      </c>
      <c r="F295">
        <v>14.1</v>
      </c>
      <c r="G295">
        <v>0</v>
      </c>
      <c r="H295">
        <v>0</v>
      </c>
      <c r="I295">
        <f t="shared" si="76"/>
        <v>0</v>
      </c>
      <c r="J295">
        <f t="shared" si="77"/>
        <v>14.1</v>
      </c>
      <c r="K295">
        <f t="shared" si="78"/>
        <v>0.69999999999999929</v>
      </c>
      <c r="L295">
        <f t="shared" si="82"/>
        <v>12.599999999999994</v>
      </c>
      <c r="M295">
        <f t="shared" si="74"/>
        <v>0.50819672131147542</v>
      </c>
      <c r="N295">
        <v>18</v>
      </c>
      <c r="O295">
        <f t="shared" si="79"/>
        <v>5</v>
      </c>
      <c r="P295">
        <f t="shared" si="80"/>
        <v>1050</v>
      </c>
      <c r="Q295">
        <f t="shared" si="81"/>
        <v>0.47180327868852456</v>
      </c>
      <c r="R295">
        <f t="shared" si="84"/>
        <v>5.9222950819672118</v>
      </c>
    </row>
    <row r="296" spans="1:18" x14ac:dyDescent="0.3">
      <c r="A296" t="s">
        <v>5</v>
      </c>
      <c r="B296" s="1">
        <v>45091</v>
      </c>
      <c r="C296" t="s">
        <v>8</v>
      </c>
      <c r="D296" t="s">
        <v>11</v>
      </c>
      <c r="E296">
        <v>8</v>
      </c>
      <c r="F296">
        <v>13.4</v>
      </c>
      <c r="G296">
        <v>0</v>
      </c>
      <c r="H296">
        <v>0</v>
      </c>
      <c r="I296">
        <f t="shared" si="76"/>
        <v>0</v>
      </c>
      <c r="J296">
        <f t="shared" si="77"/>
        <v>13.4</v>
      </c>
      <c r="K296">
        <f t="shared" si="78"/>
        <v>1.0999999999999996</v>
      </c>
      <c r="L296">
        <f t="shared" si="82"/>
        <v>13.699999999999994</v>
      </c>
      <c r="M296">
        <f t="shared" si="74"/>
        <v>0.39344262295081978</v>
      </c>
      <c r="N296">
        <v>19</v>
      </c>
      <c r="O296">
        <f t="shared" si="79"/>
        <v>5</v>
      </c>
      <c r="P296">
        <f t="shared" si="80"/>
        <v>1050</v>
      </c>
      <c r="Q296">
        <f t="shared" si="81"/>
        <v>0.58655737704918021</v>
      </c>
      <c r="R296">
        <f t="shared" si="84"/>
        <v>6.5088524590163921</v>
      </c>
    </row>
    <row r="297" spans="1:18" x14ac:dyDescent="0.3">
      <c r="A297" t="s">
        <v>6</v>
      </c>
      <c r="B297" s="1">
        <v>45092</v>
      </c>
      <c r="C297" t="s">
        <v>8</v>
      </c>
      <c r="D297" t="s">
        <v>11</v>
      </c>
      <c r="E297">
        <v>8</v>
      </c>
      <c r="F297">
        <v>12.3</v>
      </c>
      <c r="G297">
        <v>0.5</v>
      </c>
      <c r="H297">
        <f>14-F297-G297</f>
        <v>1.1999999999999993</v>
      </c>
      <c r="I297">
        <f t="shared" si="76"/>
        <v>1.6999999999999993</v>
      </c>
      <c r="J297">
        <f t="shared" si="77"/>
        <v>14</v>
      </c>
      <c r="K297">
        <f t="shared" si="78"/>
        <v>1.0999999999999996</v>
      </c>
      <c r="L297">
        <f t="shared" si="82"/>
        <v>14.799999999999994</v>
      </c>
      <c r="M297">
        <f t="shared" si="74"/>
        <v>0.49180327868852464</v>
      </c>
      <c r="N297">
        <v>20</v>
      </c>
      <c r="O297">
        <f t="shared" si="79"/>
        <v>5.5</v>
      </c>
      <c r="P297">
        <f t="shared" si="80"/>
        <v>1155</v>
      </c>
      <c r="Q297">
        <f t="shared" si="81"/>
        <v>0.48819672131147535</v>
      </c>
      <c r="R297">
        <f t="shared" si="84"/>
        <v>6.9970491803278678</v>
      </c>
    </row>
    <row r="298" spans="1:18" x14ac:dyDescent="0.3">
      <c r="A298" t="s">
        <v>0</v>
      </c>
      <c r="B298" s="1">
        <v>45093</v>
      </c>
      <c r="C298" t="s">
        <v>8</v>
      </c>
      <c r="D298" t="s">
        <v>11</v>
      </c>
      <c r="E298">
        <v>8</v>
      </c>
      <c r="F298">
        <v>12.9</v>
      </c>
      <c r="G298">
        <v>0</v>
      </c>
      <c r="H298">
        <f>14-F298-G298</f>
        <v>1.0999999999999996</v>
      </c>
      <c r="I298">
        <f t="shared" si="76"/>
        <v>1.0999999999999996</v>
      </c>
      <c r="J298">
        <f t="shared" si="77"/>
        <v>14</v>
      </c>
      <c r="K298">
        <f t="shared" si="78"/>
        <v>1</v>
      </c>
      <c r="L298">
        <f t="shared" si="82"/>
        <v>15.799999999999994</v>
      </c>
      <c r="M298">
        <f t="shared" si="74"/>
        <v>0.49180327868852464</v>
      </c>
      <c r="N298">
        <v>21</v>
      </c>
      <c r="O298">
        <f t="shared" si="79"/>
        <v>5.5</v>
      </c>
      <c r="P298">
        <f t="shared" si="80"/>
        <v>1155</v>
      </c>
      <c r="Q298">
        <f t="shared" si="81"/>
        <v>0.48819672131147535</v>
      </c>
      <c r="R298">
        <f t="shared" si="84"/>
        <v>7.4852459016393436</v>
      </c>
    </row>
    <row r="299" spans="1:18" x14ac:dyDescent="0.3">
      <c r="A299" t="s">
        <v>1</v>
      </c>
      <c r="B299" s="1">
        <v>45094</v>
      </c>
      <c r="C299" t="s">
        <v>8</v>
      </c>
      <c r="D299" t="s">
        <v>11</v>
      </c>
      <c r="E299">
        <v>8</v>
      </c>
      <c r="F299">
        <v>13</v>
      </c>
      <c r="G299">
        <v>0</v>
      </c>
      <c r="H299">
        <f>14-F299-G299</f>
        <v>1</v>
      </c>
      <c r="I299">
        <f t="shared" si="76"/>
        <v>1</v>
      </c>
      <c r="J299">
        <f t="shared" si="77"/>
        <v>14</v>
      </c>
      <c r="K299">
        <f t="shared" si="78"/>
        <v>0.80000000000000071</v>
      </c>
      <c r="L299">
        <f t="shared" si="82"/>
        <v>16.599999999999994</v>
      </c>
      <c r="M299">
        <f t="shared" si="74"/>
        <v>0.49180327868852464</v>
      </c>
      <c r="N299">
        <v>22</v>
      </c>
      <c r="O299">
        <f t="shared" si="79"/>
        <v>5.5</v>
      </c>
      <c r="P299">
        <f t="shared" si="80"/>
        <v>1155</v>
      </c>
      <c r="Q299">
        <f t="shared" si="81"/>
        <v>0.48819672131147535</v>
      </c>
      <c r="R299">
        <f t="shared" si="84"/>
        <v>7.9734426229508193</v>
      </c>
    </row>
    <row r="300" spans="1:18" x14ac:dyDescent="0.3">
      <c r="A300" t="s">
        <v>2</v>
      </c>
      <c r="B300" s="1">
        <v>45095</v>
      </c>
      <c r="C300" t="s">
        <v>8</v>
      </c>
      <c r="D300" t="s">
        <v>11</v>
      </c>
      <c r="E300">
        <v>8</v>
      </c>
      <c r="F300">
        <v>13.2</v>
      </c>
      <c r="G300">
        <v>0</v>
      </c>
      <c r="H300">
        <f>14-F300-G300</f>
        <v>0.80000000000000071</v>
      </c>
      <c r="I300">
        <f t="shared" si="76"/>
        <v>0.80000000000000071</v>
      </c>
      <c r="J300">
        <f t="shared" si="77"/>
        <v>14</v>
      </c>
      <c r="K300">
        <f t="shared" si="78"/>
        <v>0.90000000000000036</v>
      </c>
      <c r="L300">
        <f t="shared" si="82"/>
        <v>17.499999999999993</v>
      </c>
      <c r="M300">
        <f t="shared" si="74"/>
        <v>0.49180327868852464</v>
      </c>
      <c r="N300">
        <v>23</v>
      </c>
      <c r="O300">
        <f t="shared" si="79"/>
        <v>5.5</v>
      </c>
      <c r="P300">
        <f t="shared" si="80"/>
        <v>1155</v>
      </c>
      <c r="Q300">
        <f t="shared" si="81"/>
        <v>0.48819672131147535</v>
      </c>
      <c r="R300">
        <f t="shared" si="84"/>
        <v>8.461639344262295</v>
      </c>
    </row>
    <row r="301" spans="1:18" x14ac:dyDescent="0.3">
      <c r="A301" t="s">
        <v>3</v>
      </c>
      <c r="B301" s="1">
        <v>45096</v>
      </c>
      <c r="C301" t="s">
        <v>8</v>
      </c>
      <c r="D301" t="s">
        <v>11</v>
      </c>
      <c r="E301">
        <v>8</v>
      </c>
      <c r="F301">
        <v>13.1</v>
      </c>
      <c r="G301">
        <v>0.5</v>
      </c>
      <c r="H301">
        <f>13.9-F301-G301</f>
        <v>0.30000000000000071</v>
      </c>
      <c r="I301">
        <f t="shared" si="76"/>
        <v>0.80000000000000071</v>
      </c>
      <c r="J301">
        <f t="shared" si="77"/>
        <v>13.9</v>
      </c>
      <c r="K301">
        <f t="shared" si="78"/>
        <v>1.3000000000000007</v>
      </c>
      <c r="L301">
        <f>L300+K301</f>
        <v>18.799999999999994</v>
      </c>
      <c r="M301">
        <f t="shared" si="74"/>
        <v>0.47540983606557385</v>
      </c>
      <c r="N301">
        <v>24</v>
      </c>
      <c r="O301">
        <f t="shared" si="79"/>
        <v>6</v>
      </c>
      <c r="P301">
        <f t="shared" si="80"/>
        <v>1260</v>
      </c>
      <c r="Q301">
        <f t="shared" si="81"/>
        <v>0.50459016393442613</v>
      </c>
      <c r="R301">
        <f t="shared" si="84"/>
        <v>8.9662295081967205</v>
      </c>
    </row>
    <row r="302" spans="1:18" x14ac:dyDescent="0.3">
      <c r="A302" t="s">
        <v>4</v>
      </c>
      <c r="B302" s="1">
        <v>45097</v>
      </c>
      <c r="C302" t="s">
        <v>8</v>
      </c>
      <c r="D302" t="s">
        <v>11</v>
      </c>
      <c r="E302">
        <v>8</v>
      </c>
      <c r="F302">
        <v>12.6</v>
      </c>
      <c r="G302">
        <v>0</v>
      </c>
      <c r="H302">
        <f>13.8-F302-G302</f>
        <v>1.2000000000000011</v>
      </c>
      <c r="I302">
        <f t="shared" si="76"/>
        <v>1.2000000000000011</v>
      </c>
      <c r="J302">
        <f t="shared" si="77"/>
        <v>13.8</v>
      </c>
      <c r="K302">
        <f t="shared" si="78"/>
        <v>1</v>
      </c>
      <c r="L302">
        <f t="shared" si="82"/>
        <v>19.799999999999994</v>
      </c>
      <c r="M302">
        <f t="shared" si="74"/>
        <v>0.45901639344262307</v>
      </c>
      <c r="N302">
        <v>25</v>
      </c>
      <c r="O302">
        <f t="shared" si="79"/>
        <v>6</v>
      </c>
      <c r="P302">
        <f t="shared" si="80"/>
        <v>1260</v>
      </c>
      <c r="Q302">
        <f t="shared" si="81"/>
        <v>0.52098360655737697</v>
      </c>
      <c r="R302">
        <f t="shared" si="84"/>
        <v>9.4872131147540983</v>
      </c>
    </row>
    <row r="303" spans="1:18" x14ac:dyDescent="0.3">
      <c r="A303" t="s">
        <v>5</v>
      </c>
      <c r="B303" s="1">
        <v>45098</v>
      </c>
      <c r="C303" t="s">
        <v>8</v>
      </c>
      <c r="D303" t="s">
        <v>11</v>
      </c>
      <c r="E303">
        <v>8</v>
      </c>
      <c r="F303">
        <v>12.8</v>
      </c>
      <c r="G303">
        <v>0</v>
      </c>
      <c r="H303">
        <f>13.8-F303-G303</f>
        <v>1</v>
      </c>
      <c r="I303">
        <f t="shared" si="76"/>
        <v>1</v>
      </c>
      <c r="J303">
        <f t="shared" si="77"/>
        <v>13.8</v>
      </c>
      <c r="K303">
        <f t="shared" si="78"/>
        <v>1.1000000000000014</v>
      </c>
      <c r="L303">
        <f t="shared" si="82"/>
        <v>20.899999999999995</v>
      </c>
      <c r="M303">
        <f t="shared" si="74"/>
        <v>0.45901639344262307</v>
      </c>
      <c r="N303">
        <v>26</v>
      </c>
      <c r="O303">
        <f t="shared" si="79"/>
        <v>6</v>
      </c>
      <c r="P303">
        <f t="shared" si="80"/>
        <v>1260</v>
      </c>
      <c r="Q303">
        <f t="shared" si="81"/>
        <v>0.52098360655737697</v>
      </c>
      <c r="R303">
        <f t="shared" si="84"/>
        <v>10.008196721311474</v>
      </c>
    </row>
    <row r="304" spans="1:18" x14ac:dyDescent="0.3">
      <c r="A304" t="s">
        <v>6</v>
      </c>
      <c r="B304" s="1">
        <v>45099</v>
      </c>
      <c r="C304" t="s">
        <v>8</v>
      </c>
      <c r="D304" t="s">
        <v>11</v>
      </c>
      <c r="E304">
        <v>8</v>
      </c>
      <c r="F304">
        <v>12.7</v>
      </c>
      <c r="G304">
        <v>0.5</v>
      </c>
      <c r="H304">
        <f>13.8-F304-G304</f>
        <v>0.60000000000000142</v>
      </c>
      <c r="I304">
        <f t="shared" si="76"/>
        <v>1.1000000000000014</v>
      </c>
      <c r="J304">
        <f t="shared" si="77"/>
        <v>13.8</v>
      </c>
      <c r="K304">
        <f t="shared" si="78"/>
        <v>0.90000000000000036</v>
      </c>
      <c r="L304">
        <f t="shared" si="82"/>
        <v>21.799999999999997</v>
      </c>
      <c r="M304">
        <f t="shared" si="74"/>
        <v>0.45901639344262307</v>
      </c>
      <c r="N304">
        <v>27</v>
      </c>
      <c r="O304">
        <f t="shared" si="79"/>
        <v>6.5</v>
      </c>
      <c r="P304">
        <f t="shared" si="80"/>
        <v>1365</v>
      </c>
      <c r="Q304">
        <f t="shared" si="81"/>
        <v>0.52098360655737697</v>
      </c>
      <c r="R304">
        <f t="shared" si="84"/>
        <v>10.52918032786885</v>
      </c>
    </row>
    <row r="305" spans="1:18" x14ac:dyDescent="0.3">
      <c r="A305" t="s">
        <v>0</v>
      </c>
      <c r="B305" s="1">
        <v>45100</v>
      </c>
      <c r="C305" t="s">
        <v>8</v>
      </c>
      <c r="D305" t="s">
        <v>11</v>
      </c>
      <c r="E305">
        <v>8</v>
      </c>
      <c r="F305">
        <v>12.9</v>
      </c>
      <c r="G305">
        <v>0</v>
      </c>
      <c r="H305">
        <f>13.8-F305-G305</f>
        <v>0.90000000000000036</v>
      </c>
      <c r="I305">
        <f t="shared" si="76"/>
        <v>0.90000000000000036</v>
      </c>
      <c r="J305">
        <f t="shared" si="77"/>
        <v>13.8</v>
      </c>
      <c r="K305">
        <f t="shared" si="78"/>
        <v>0.60000000000000142</v>
      </c>
      <c r="L305">
        <f t="shared" si="82"/>
        <v>22.4</v>
      </c>
      <c r="M305">
        <f t="shared" si="74"/>
        <v>0.45901639344262307</v>
      </c>
      <c r="N305">
        <v>28</v>
      </c>
      <c r="O305">
        <f t="shared" si="79"/>
        <v>6.5</v>
      </c>
      <c r="P305">
        <f t="shared" si="80"/>
        <v>1365</v>
      </c>
      <c r="Q305">
        <f t="shared" si="81"/>
        <v>0.52098360655737697</v>
      </c>
      <c r="R305">
        <f t="shared" si="84"/>
        <v>11.050163934426227</v>
      </c>
    </row>
    <row r="306" spans="1:18" x14ac:dyDescent="0.3">
      <c r="A306" t="s">
        <v>1</v>
      </c>
      <c r="B306" s="1">
        <v>45101</v>
      </c>
      <c r="C306" t="s">
        <v>8</v>
      </c>
      <c r="D306" t="s">
        <v>11</v>
      </c>
      <c r="E306">
        <v>8</v>
      </c>
      <c r="F306">
        <v>13.2</v>
      </c>
      <c r="G306">
        <v>0</v>
      </c>
      <c r="H306">
        <f t="shared" ref="H306:H313" si="85">13.5-F306-G306</f>
        <v>0.30000000000000071</v>
      </c>
      <c r="I306">
        <f t="shared" si="76"/>
        <v>0.30000000000000071</v>
      </c>
      <c r="J306">
        <f t="shared" si="77"/>
        <v>13.5</v>
      </c>
      <c r="K306">
        <f t="shared" si="78"/>
        <v>1.0999999999999996</v>
      </c>
      <c r="L306">
        <f t="shared" si="82"/>
        <v>23.5</v>
      </c>
      <c r="M306">
        <f t="shared" si="74"/>
        <v>0.4098360655737705</v>
      </c>
      <c r="N306">
        <v>29</v>
      </c>
      <c r="O306">
        <f t="shared" si="79"/>
        <v>6.5</v>
      </c>
      <c r="P306">
        <f t="shared" si="80"/>
        <v>1365</v>
      </c>
      <c r="Q306">
        <f t="shared" si="81"/>
        <v>0.57016393442622948</v>
      </c>
      <c r="R306">
        <f>R305+Q306</f>
        <v>11.620327868852456</v>
      </c>
    </row>
    <row r="307" spans="1:18" x14ac:dyDescent="0.3">
      <c r="A307" t="s">
        <v>2</v>
      </c>
      <c r="B307" s="1">
        <v>45102</v>
      </c>
      <c r="C307" t="s">
        <v>8</v>
      </c>
      <c r="D307" t="s">
        <v>11</v>
      </c>
      <c r="E307">
        <v>8</v>
      </c>
      <c r="F307">
        <v>12.4</v>
      </c>
      <c r="G307">
        <v>0</v>
      </c>
      <c r="H307">
        <f t="shared" si="85"/>
        <v>1.0999999999999996</v>
      </c>
      <c r="I307">
        <f t="shared" si="76"/>
        <v>1.0999999999999996</v>
      </c>
      <c r="J307">
        <f t="shared" si="77"/>
        <v>13.5</v>
      </c>
      <c r="K307">
        <f t="shared" si="78"/>
        <v>1.0999999999999996</v>
      </c>
      <c r="L307">
        <f t="shared" si="82"/>
        <v>24.6</v>
      </c>
      <c r="M307">
        <f t="shared" si="74"/>
        <v>0.4098360655737705</v>
      </c>
      <c r="N307">
        <v>30</v>
      </c>
      <c r="O307">
        <f t="shared" si="79"/>
        <v>6.5</v>
      </c>
      <c r="P307">
        <f t="shared" si="80"/>
        <v>1365</v>
      </c>
      <c r="Q307">
        <f t="shared" si="81"/>
        <v>0.57016393442622948</v>
      </c>
      <c r="R307">
        <f t="shared" si="84"/>
        <v>12.190491803278686</v>
      </c>
    </row>
    <row r="308" spans="1:18" x14ac:dyDescent="0.3">
      <c r="A308" t="s">
        <v>3</v>
      </c>
      <c r="B308" s="1">
        <v>45103</v>
      </c>
      <c r="C308" t="s">
        <v>8</v>
      </c>
      <c r="D308" t="s">
        <v>11</v>
      </c>
      <c r="E308">
        <v>8</v>
      </c>
      <c r="F308">
        <v>12.4</v>
      </c>
      <c r="G308">
        <v>0.5</v>
      </c>
      <c r="H308">
        <f t="shared" si="85"/>
        <v>0.59999999999999964</v>
      </c>
      <c r="I308">
        <f t="shared" si="76"/>
        <v>1.0999999999999996</v>
      </c>
      <c r="J308">
        <f t="shared" si="77"/>
        <v>13.5</v>
      </c>
      <c r="K308">
        <f t="shared" si="78"/>
        <v>0.69999999999999929</v>
      </c>
      <c r="L308">
        <f t="shared" si="82"/>
        <v>25.3</v>
      </c>
      <c r="M308">
        <f t="shared" si="74"/>
        <v>0.4098360655737705</v>
      </c>
      <c r="N308">
        <v>31</v>
      </c>
      <c r="O308">
        <f t="shared" si="79"/>
        <v>7</v>
      </c>
      <c r="P308">
        <f t="shared" si="80"/>
        <v>1470</v>
      </c>
      <c r="Q308">
        <f t="shared" si="81"/>
        <v>0.57016393442622948</v>
      </c>
      <c r="R308">
        <f t="shared" si="84"/>
        <v>12.760655737704916</v>
      </c>
    </row>
    <row r="309" spans="1:18" x14ac:dyDescent="0.3">
      <c r="A309" t="s">
        <v>4</v>
      </c>
      <c r="B309" s="1">
        <v>45104</v>
      </c>
      <c r="C309" t="s">
        <v>8</v>
      </c>
      <c r="D309" t="s">
        <v>11</v>
      </c>
      <c r="E309">
        <v>8</v>
      </c>
      <c r="F309">
        <v>12.8</v>
      </c>
      <c r="G309">
        <v>0</v>
      </c>
      <c r="H309">
        <f t="shared" si="85"/>
        <v>0.69999999999999929</v>
      </c>
      <c r="I309">
        <f t="shared" si="76"/>
        <v>0.69999999999999929</v>
      </c>
      <c r="J309">
        <f t="shared" si="77"/>
        <v>13.5</v>
      </c>
      <c r="K309">
        <f t="shared" si="78"/>
        <v>1</v>
      </c>
      <c r="L309">
        <f>L308+K309</f>
        <v>26.3</v>
      </c>
      <c r="M309">
        <f t="shared" si="74"/>
        <v>0.4098360655737705</v>
      </c>
      <c r="N309">
        <v>32</v>
      </c>
      <c r="O309">
        <f t="shared" si="79"/>
        <v>7</v>
      </c>
      <c r="P309">
        <f t="shared" si="80"/>
        <v>1470</v>
      </c>
      <c r="Q309">
        <f t="shared" si="81"/>
        <v>0.57016393442622948</v>
      </c>
      <c r="R309">
        <f t="shared" si="84"/>
        <v>13.330819672131145</v>
      </c>
    </row>
    <row r="310" spans="1:18" x14ac:dyDescent="0.3">
      <c r="A310" t="s">
        <v>5</v>
      </c>
      <c r="B310" s="1">
        <v>45105</v>
      </c>
      <c r="C310" t="s">
        <v>8</v>
      </c>
      <c r="D310" t="s">
        <v>11</v>
      </c>
      <c r="E310">
        <v>8</v>
      </c>
      <c r="F310">
        <v>12.5</v>
      </c>
      <c r="G310">
        <v>0</v>
      </c>
      <c r="H310">
        <f t="shared" si="85"/>
        <v>1</v>
      </c>
      <c r="I310">
        <f t="shared" si="76"/>
        <v>1</v>
      </c>
      <c r="J310">
        <f t="shared" si="77"/>
        <v>13.5</v>
      </c>
      <c r="K310">
        <f t="shared" si="78"/>
        <v>1.0999999999999996</v>
      </c>
      <c r="L310">
        <f t="shared" si="82"/>
        <v>27.4</v>
      </c>
      <c r="M310">
        <f t="shared" si="74"/>
        <v>0.4098360655737705</v>
      </c>
      <c r="N310">
        <v>33</v>
      </c>
      <c r="O310">
        <f t="shared" si="79"/>
        <v>7</v>
      </c>
      <c r="P310">
        <f t="shared" si="80"/>
        <v>1470</v>
      </c>
      <c r="Q310">
        <f t="shared" si="81"/>
        <v>0.57016393442622948</v>
      </c>
      <c r="R310">
        <f t="shared" si="84"/>
        <v>13.900983606557375</v>
      </c>
    </row>
    <row r="311" spans="1:18" x14ac:dyDescent="0.3">
      <c r="A311" t="s">
        <v>6</v>
      </c>
      <c r="B311" s="1">
        <v>45106</v>
      </c>
      <c r="C311" t="s">
        <v>8</v>
      </c>
      <c r="D311" t="s">
        <v>11</v>
      </c>
      <c r="E311">
        <v>8</v>
      </c>
      <c r="F311">
        <v>12.4</v>
      </c>
      <c r="G311">
        <v>0.5</v>
      </c>
      <c r="H311">
        <f t="shared" si="85"/>
        <v>0.59999999999999964</v>
      </c>
      <c r="I311">
        <f t="shared" si="76"/>
        <v>1.0999999999999996</v>
      </c>
      <c r="J311">
        <f t="shared" si="77"/>
        <v>13.5</v>
      </c>
      <c r="K311">
        <f t="shared" si="78"/>
        <v>1.0999999999999996</v>
      </c>
      <c r="L311">
        <f t="shared" si="82"/>
        <v>28.5</v>
      </c>
      <c r="M311">
        <f t="shared" si="74"/>
        <v>0.4098360655737705</v>
      </c>
      <c r="N311">
        <v>34</v>
      </c>
      <c r="O311">
        <f t="shared" si="79"/>
        <v>7.5</v>
      </c>
      <c r="P311">
        <f t="shared" si="80"/>
        <v>1575</v>
      </c>
      <c r="Q311">
        <f t="shared" si="81"/>
        <v>0.57016393442622948</v>
      </c>
      <c r="R311">
        <f t="shared" si="84"/>
        <v>14.471147540983605</v>
      </c>
    </row>
    <row r="312" spans="1:18" x14ac:dyDescent="0.3">
      <c r="A312" t="s">
        <v>0</v>
      </c>
      <c r="B312" s="1">
        <v>45107</v>
      </c>
      <c r="C312" t="s">
        <v>8</v>
      </c>
      <c r="D312" t="s">
        <v>11</v>
      </c>
      <c r="E312">
        <v>8</v>
      </c>
      <c r="F312">
        <v>12.4</v>
      </c>
      <c r="G312">
        <v>0</v>
      </c>
      <c r="H312">
        <f t="shared" si="85"/>
        <v>1.0999999999999996</v>
      </c>
      <c r="I312">
        <f t="shared" si="76"/>
        <v>1.0999999999999996</v>
      </c>
      <c r="J312">
        <f t="shared" si="77"/>
        <v>13.5</v>
      </c>
      <c r="K312">
        <f t="shared" si="78"/>
        <v>0.69999999999999929</v>
      </c>
      <c r="L312">
        <f t="shared" si="82"/>
        <v>29.2</v>
      </c>
      <c r="M312">
        <f t="shared" si="74"/>
        <v>0.4098360655737705</v>
      </c>
      <c r="N312">
        <v>35</v>
      </c>
      <c r="O312">
        <f t="shared" si="79"/>
        <v>7.5</v>
      </c>
      <c r="P312">
        <f t="shared" si="80"/>
        <v>1575</v>
      </c>
      <c r="Q312">
        <f t="shared" si="81"/>
        <v>0.57016393442622948</v>
      </c>
      <c r="R312">
        <f t="shared" si="84"/>
        <v>15.041311475409834</v>
      </c>
    </row>
    <row r="313" spans="1:18" x14ac:dyDescent="0.3">
      <c r="A313" t="s">
        <v>1</v>
      </c>
      <c r="B313" s="1">
        <v>45108</v>
      </c>
      <c r="C313" t="s">
        <v>8</v>
      </c>
      <c r="D313" t="s">
        <v>11</v>
      </c>
      <c r="E313">
        <v>8</v>
      </c>
      <c r="F313">
        <v>12.8</v>
      </c>
      <c r="G313">
        <v>0</v>
      </c>
      <c r="H313">
        <f t="shared" si="85"/>
        <v>0.69999999999999929</v>
      </c>
      <c r="I313">
        <f t="shared" si="76"/>
        <v>0.69999999999999929</v>
      </c>
      <c r="J313">
        <f t="shared" si="77"/>
        <v>13.5</v>
      </c>
      <c r="K313">
        <f t="shared" si="78"/>
        <v>1</v>
      </c>
      <c r="L313">
        <f t="shared" si="82"/>
        <v>30.2</v>
      </c>
      <c r="M313">
        <f t="shared" si="74"/>
        <v>0.4098360655737705</v>
      </c>
      <c r="N313">
        <v>36</v>
      </c>
      <c r="O313">
        <f t="shared" si="79"/>
        <v>7.5</v>
      </c>
      <c r="P313">
        <f t="shared" si="80"/>
        <v>1575</v>
      </c>
      <c r="Q313">
        <f t="shared" si="81"/>
        <v>0.57016393442622948</v>
      </c>
      <c r="R313">
        <f t="shared" si="84"/>
        <v>15.611475409836064</v>
      </c>
    </row>
    <row r="314" spans="1:18" x14ac:dyDescent="0.3">
      <c r="A314" t="s">
        <v>2</v>
      </c>
      <c r="B314" s="1">
        <v>45109</v>
      </c>
      <c r="C314" t="s">
        <v>8</v>
      </c>
      <c r="D314" t="s">
        <v>11</v>
      </c>
      <c r="E314">
        <v>8</v>
      </c>
      <c r="F314">
        <v>12.5</v>
      </c>
      <c r="G314">
        <v>0</v>
      </c>
      <c r="H314">
        <f>13.1-F314-G314</f>
        <v>0.59999999999999964</v>
      </c>
      <c r="I314">
        <f t="shared" si="76"/>
        <v>0.59999999999999964</v>
      </c>
      <c r="J314">
        <f t="shared" si="77"/>
        <v>13.1</v>
      </c>
      <c r="K314">
        <f t="shared" si="78"/>
        <v>1.2999999999999989</v>
      </c>
      <c r="L314">
        <f t="shared" si="82"/>
        <v>31.5</v>
      </c>
      <c r="M314">
        <f t="shared" si="74"/>
        <v>0.34426229508196715</v>
      </c>
      <c r="N314">
        <v>37</v>
      </c>
      <c r="O314">
        <f t="shared" si="79"/>
        <v>7.5</v>
      </c>
      <c r="P314">
        <f t="shared" si="80"/>
        <v>1575</v>
      </c>
      <c r="Q314">
        <f t="shared" si="81"/>
        <v>0.63573770491803283</v>
      </c>
      <c r="R314">
        <f t="shared" si="84"/>
        <v>16.247213114754096</v>
      </c>
    </row>
    <row r="315" spans="1:18" x14ac:dyDescent="0.3">
      <c r="A315" t="s">
        <v>3</v>
      </c>
      <c r="B315" s="1">
        <v>45110</v>
      </c>
      <c r="C315" t="s">
        <v>8</v>
      </c>
      <c r="D315" t="s">
        <v>11</v>
      </c>
      <c r="E315">
        <v>8</v>
      </c>
      <c r="F315">
        <v>11.8</v>
      </c>
      <c r="G315">
        <v>0</v>
      </c>
      <c r="H315">
        <f>13.1-F315-G315</f>
        <v>1.2999999999999989</v>
      </c>
      <c r="I315">
        <f t="shared" si="76"/>
        <v>1.2999999999999989</v>
      </c>
      <c r="J315">
        <f t="shared" si="77"/>
        <v>13.1</v>
      </c>
      <c r="K315">
        <f t="shared" si="78"/>
        <v>1.5</v>
      </c>
      <c r="L315">
        <f t="shared" si="82"/>
        <v>33</v>
      </c>
      <c r="M315">
        <f t="shared" si="74"/>
        <v>0.34426229508196715</v>
      </c>
      <c r="N315">
        <v>38</v>
      </c>
      <c r="O315">
        <f t="shared" si="79"/>
        <v>7.5</v>
      </c>
      <c r="P315">
        <f t="shared" si="80"/>
        <v>1575</v>
      </c>
      <c r="Q315">
        <f t="shared" si="81"/>
        <v>0.63573770491803283</v>
      </c>
      <c r="R315">
        <f t="shared" si="84"/>
        <v>16.882950819672129</v>
      </c>
    </row>
    <row r="316" spans="1:18" x14ac:dyDescent="0.3">
      <c r="A316" t="s">
        <v>4</v>
      </c>
      <c r="B316" s="1">
        <v>45111</v>
      </c>
      <c r="C316" t="s">
        <v>8</v>
      </c>
      <c r="D316" t="s">
        <v>11</v>
      </c>
      <c r="E316">
        <v>8</v>
      </c>
      <c r="F316">
        <v>11.6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9AD8-00D5-4315-846E-E099D8A8AB5A}">
  <dimension ref="A1:R319"/>
  <sheetViews>
    <sheetView topLeftCell="A296" workbookViewId="0">
      <selection activeCell="A2" sqref="A2:XFD320"/>
    </sheetView>
  </sheetViews>
  <sheetFormatPr defaultRowHeight="14.4" x14ac:dyDescent="0.3"/>
  <cols>
    <col min="1" max="1" width="10.44140625" bestFit="1" customWidth="1"/>
    <col min="2" max="2" width="8.33203125" bestFit="1" customWidth="1"/>
    <col min="3" max="3" width="5" bestFit="1" customWidth="1"/>
    <col min="4" max="4" width="10.5546875" bestFit="1" customWidth="1"/>
    <col min="5" max="5" width="7.5546875" bestFit="1" customWidth="1"/>
    <col min="6" max="6" width="5.44140625" bestFit="1" customWidth="1"/>
    <col min="7" max="7" width="8.5546875" bestFit="1" customWidth="1"/>
    <col min="8" max="8" width="6.88671875" bestFit="1" customWidth="1"/>
    <col min="9" max="9" width="5" bestFit="1" customWidth="1"/>
    <col min="10" max="10" width="6" bestFit="1" customWidth="1"/>
    <col min="11" max="11" width="18.33203125" bestFit="1" customWidth="1"/>
    <col min="12" max="12" width="19.44140625" bestFit="1" customWidth="1"/>
    <col min="13" max="13" width="12" bestFit="1" customWidth="1"/>
    <col min="14" max="14" width="4.5546875" bestFit="1" customWidth="1"/>
    <col min="15" max="15" width="14.44140625" bestFit="1" customWidth="1"/>
    <col min="16" max="16" width="16" bestFit="1" customWidth="1"/>
    <col min="17" max="17" width="12" bestFit="1" customWidth="1"/>
    <col min="18" max="18" width="12.33203125" bestFit="1" customWidth="1"/>
  </cols>
  <sheetData>
    <row r="1" spans="1:18" s="4" customFormat="1" x14ac:dyDescent="0.3">
      <c r="A1" s="4" t="s">
        <v>12</v>
      </c>
      <c r="B1" s="4" t="s">
        <v>9</v>
      </c>
      <c r="C1" s="4" t="s">
        <v>13</v>
      </c>
      <c r="D1" s="4" t="s">
        <v>17</v>
      </c>
      <c r="E1" s="4" t="s">
        <v>18</v>
      </c>
      <c r="F1" t="s">
        <v>81</v>
      </c>
      <c r="G1" s="5" t="s">
        <v>84</v>
      </c>
      <c r="H1" t="s">
        <v>83</v>
      </c>
      <c r="I1" t="s">
        <v>85</v>
      </c>
      <c r="J1" s="4" t="s">
        <v>19</v>
      </c>
      <c r="K1" s="4" t="s">
        <v>20</v>
      </c>
      <c r="L1" s="4" t="s">
        <v>21</v>
      </c>
      <c r="M1" s="4" t="s">
        <v>35</v>
      </c>
      <c r="N1" s="4" t="s">
        <v>15</v>
      </c>
      <c r="O1" s="4" t="s">
        <v>23</v>
      </c>
      <c r="P1" s="4" t="s">
        <v>16</v>
      </c>
      <c r="Q1" s="4" t="s">
        <v>75</v>
      </c>
      <c r="R1" s="4" t="s">
        <v>76</v>
      </c>
    </row>
    <row r="2" spans="1:18" x14ac:dyDescent="0.3">
      <c r="A2" t="s">
        <v>1</v>
      </c>
      <c r="B2" s="1">
        <v>45073</v>
      </c>
      <c r="C2" t="s">
        <v>8</v>
      </c>
      <c r="D2" t="s">
        <v>10</v>
      </c>
      <c r="E2">
        <v>1</v>
      </c>
      <c r="F2">
        <v>17</v>
      </c>
      <c r="G2">
        <v>0</v>
      </c>
      <c r="H2">
        <v>0</v>
      </c>
      <c r="I2">
        <f>H2+G2</f>
        <v>0</v>
      </c>
      <c r="J2">
        <f>I2+F2</f>
        <v>17</v>
      </c>
      <c r="K2">
        <f>J2-F3</f>
        <v>0.5</v>
      </c>
      <c r="M2">
        <f>(J2-11)/6.1</f>
        <v>0.98360655737704927</v>
      </c>
      <c r="N2">
        <v>1</v>
      </c>
      <c r="O2">
        <v>2.5</v>
      </c>
      <c r="P2">
        <f>O2*210</f>
        <v>525</v>
      </c>
    </row>
    <row r="3" spans="1:18" x14ac:dyDescent="0.3">
      <c r="A3" t="s">
        <v>2</v>
      </c>
      <c r="B3" s="1">
        <v>45074</v>
      </c>
      <c r="C3" t="s">
        <v>8</v>
      </c>
      <c r="D3" t="s">
        <v>10</v>
      </c>
      <c r="E3">
        <v>1</v>
      </c>
      <c r="F3">
        <v>16.5</v>
      </c>
      <c r="G3">
        <v>0</v>
      </c>
      <c r="H3">
        <v>0</v>
      </c>
      <c r="I3">
        <f t="shared" ref="I3:I40" si="0">H3+G3</f>
        <v>0</v>
      </c>
      <c r="J3">
        <f t="shared" ref="J3:J40" si="1">I3+F3</f>
        <v>16.5</v>
      </c>
      <c r="K3">
        <f t="shared" ref="K3:K39" si="2">J3-F4</f>
        <v>0.59999999999999964</v>
      </c>
      <c r="L3">
        <f>K2+K3</f>
        <v>1.0999999999999996</v>
      </c>
      <c r="M3">
        <f t="shared" ref="M3:M66" si="3">(J3-11)/6.1</f>
        <v>0.90163934426229508</v>
      </c>
      <c r="N3">
        <v>2</v>
      </c>
      <c r="O3">
        <f t="shared" ref="O3:O39" si="4">O2+G3</f>
        <v>2.5</v>
      </c>
      <c r="P3">
        <f t="shared" ref="P3:P39" si="5">O3*210</f>
        <v>525</v>
      </c>
      <c r="Q3">
        <f t="shared" ref="Q3:Q39" si="6">0.98-M3</f>
        <v>7.8360655737704898E-2</v>
      </c>
    </row>
    <row r="4" spans="1:18" x14ac:dyDescent="0.3">
      <c r="A4" t="s">
        <v>3</v>
      </c>
      <c r="B4" s="1">
        <v>45075</v>
      </c>
      <c r="C4" t="s">
        <v>8</v>
      </c>
      <c r="D4" t="s">
        <v>10</v>
      </c>
      <c r="E4">
        <v>1</v>
      </c>
      <c r="F4">
        <v>15.9</v>
      </c>
      <c r="G4">
        <v>0.25</v>
      </c>
      <c r="H4">
        <v>0</v>
      </c>
      <c r="I4">
        <f t="shared" si="0"/>
        <v>0.25</v>
      </c>
      <c r="J4">
        <f t="shared" si="1"/>
        <v>16.149999999999999</v>
      </c>
      <c r="K4">
        <f t="shared" si="2"/>
        <v>0.74999999999999822</v>
      </c>
      <c r="L4">
        <f>L3+K4</f>
        <v>1.8499999999999979</v>
      </c>
      <c r="M4">
        <f t="shared" si="3"/>
        <v>0.84426229508196704</v>
      </c>
      <c r="N4">
        <v>3</v>
      </c>
      <c r="O4">
        <f t="shared" si="4"/>
        <v>2.75</v>
      </c>
      <c r="P4">
        <f t="shared" si="5"/>
        <v>577.5</v>
      </c>
      <c r="Q4">
        <f t="shared" si="6"/>
        <v>0.13573770491803294</v>
      </c>
      <c r="R4">
        <f>Q3+Q4</f>
        <v>0.21409836065573784</v>
      </c>
    </row>
    <row r="5" spans="1:18" x14ac:dyDescent="0.3">
      <c r="A5" t="s">
        <v>4</v>
      </c>
      <c r="B5" s="1">
        <v>45076</v>
      </c>
      <c r="C5" t="s">
        <v>8</v>
      </c>
      <c r="D5" t="s">
        <v>10</v>
      </c>
      <c r="E5">
        <v>1</v>
      </c>
      <c r="F5">
        <v>15.4</v>
      </c>
      <c r="G5">
        <v>0.25</v>
      </c>
      <c r="H5">
        <v>0</v>
      </c>
      <c r="I5">
        <f t="shared" si="0"/>
        <v>0.25</v>
      </c>
      <c r="J5">
        <f t="shared" si="1"/>
        <v>15.65</v>
      </c>
      <c r="K5">
        <f t="shared" si="2"/>
        <v>0.95000000000000107</v>
      </c>
      <c r="L5">
        <f t="shared" ref="L5:L39" si="7">L4+K5</f>
        <v>2.7999999999999989</v>
      </c>
      <c r="M5">
        <f t="shared" si="3"/>
        <v>0.76229508196721318</v>
      </c>
      <c r="N5">
        <v>4</v>
      </c>
      <c r="O5">
        <f t="shared" si="4"/>
        <v>3</v>
      </c>
      <c r="P5">
        <f t="shared" si="5"/>
        <v>630</v>
      </c>
      <c r="Q5">
        <f t="shared" si="6"/>
        <v>0.2177049180327868</v>
      </c>
      <c r="R5">
        <f>R4+Q5</f>
        <v>0.43180327868852464</v>
      </c>
    </row>
    <row r="6" spans="1:18" x14ac:dyDescent="0.3">
      <c r="A6" t="s">
        <v>5</v>
      </c>
      <c r="B6" s="1">
        <v>45077</v>
      </c>
      <c r="C6" t="s">
        <v>8</v>
      </c>
      <c r="D6" t="s">
        <v>10</v>
      </c>
      <c r="E6">
        <v>1</v>
      </c>
      <c r="F6">
        <v>14.7</v>
      </c>
      <c r="G6">
        <v>0</v>
      </c>
      <c r="H6">
        <v>0</v>
      </c>
      <c r="I6">
        <f t="shared" si="0"/>
        <v>0</v>
      </c>
      <c r="J6">
        <f t="shared" si="1"/>
        <v>14.7</v>
      </c>
      <c r="K6">
        <f t="shared" si="2"/>
        <v>0.69999999999999929</v>
      </c>
      <c r="L6">
        <f t="shared" si="7"/>
        <v>3.4999999999999982</v>
      </c>
      <c r="M6">
        <f t="shared" si="3"/>
        <v>0.60655737704918022</v>
      </c>
      <c r="N6">
        <v>5</v>
      </c>
      <c r="O6">
        <f t="shared" si="4"/>
        <v>3</v>
      </c>
      <c r="P6">
        <f t="shared" si="5"/>
        <v>630</v>
      </c>
      <c r="Q6">
        <f t="shared" si="6"/>
        <v>0.37344262295081976</v>
      </c>
      <c r="R6">
        <f t="shared" ref="R6:R39" si="8">R5+Q6</f>
        <v>0.8052459016393444</v>
      </c>
    </row>
    <row r="7" spans="1:18" x14ac:dyDescent="0.3">
      <c r="A7" t="s">
        <v>6</v>
      </c>
      <c r="B7" s="1">
        <v>45078</v>
      </c>
      <c r="C7" t="s">
        <v>8</v>
      </c>
      <c r="D7" t="s">
        <v>10</v>
      </c>
      <c r="E7">
        <v>1</v>
      </c>
      <c r="F7">
        <v>14</v>
      </c>
      <c r="G7">
        <v>0.25</v>
      </c>
      <c r="H7">
        <v>0</v>
      </c>
      <c r="I7">
        <f t="shared" si="0"/>
        <v>0.25</v>
      </c>
      <c r="J7">
        <f t="shared" si="1"/>
        <v>14.25</v>
      </c>
      <c r="K7">
        <f t="shared" si="2"/>
        <v>0.34999999999999964</v>
      </c>
      <c r="L7">
        <f t="shared" si="7"/>
        <v>3.8499999999999979</v>
      </c>
      <c r="M7">
        <f t="shared" si="3"/>
        <v>0.53278688524590168</v>
      </c>
      <c r="N7">
        <v>6</v>
      </c>
      <c r="O7">
        <f t="shared" si="4"/>
        <v>3.25</v>
      </c>
      <c r="P7">
        <f t="shared" si="5"/>
        <v>682.5</v>
      </c>
      <c r="Q7">
        <f t="shared" si="6"/>
        <v>0.44721311475409831</v>
      </c>
      <c r="R7">
        <f t="shared" si="8"/>
        <v>1.2524590163934426</v>
      </c>
    </row>
    <row r="8" spans="1:18" x14ac:dyDescent="0.3">
      <c r="A8" t="s">
        <v>0</v>
      </c>
      <c r="B8" s="1">
        <v>45079</v>
      </c>
      <c r="C8" t="s">
        <v>8</v>
      </c>
      <c r="D8" t="s">
        <v>10</v>
      </c>
      <c r="E8">
        <v>1</v>
      </c>
      <c r="F8">
        <v>13.9</v>
      </c>
      <c r="G8">
        <v>0.25</v>
      </c>
      <c r="H8">
        <v>0</v>
      </c>
      <c r="I8">
        <f t="shared" si="0"/>
        <v>0.25</v>
      </c>
      <c r="J8">
        <f t="shared" si="1"/>
        <v>14.15</v>
      </c>
      <c r="K8">
        <f t="shared" si="2"/>
        <v>0.34999999999999964</v>
      </c>
      <c r="L8">
        <f t="shared" si="7"/>
        <v>4.1999999999999975</v>
      </c>
      <c r="M8">
        <f t="shared" si="3"/>
        <v>0.51639344262295095</v>
      </c>
      <c r="N8">
        <v>7</v>
      </c>
      <c r="O8">
        <f t="shared" si="4"/>
        <v>3.5</v>
      </c>
      <c r="P8">
        <f t="shared" si="5"/>
        <v>735</v>
      </c>
      <c r="Q8">
        <f t="shared" si="6"/>
        <v>0.46360655737704903</v>
      </c>
      <c r="R8">
        <f t="shared" si="8"/>
        <v>1.7160655737704915</v>
      </c>
    </row>
    <row r="9" spans="1:18" x14ac:dyDescent="0.3">
      <c r="A9" t="s">
        <v>1</v>
      </c>
      <c r="B9" s="1">
        <v>45080</v>
      </c>
      <c r="C9" t="s">
        <v>8</v>
      </c>
      <c r="D9" t="s">
        <v>10</v>
      </c>
      <c r="E9">
        <v>1</v>
      </c>
      <c r="F9">
        <v>13.8</v>
      </c>
      <c r="G9">
        <v>0</v>
      </c>
      <c r="H9">
        <v>0</v>
      </c>
      <c r="I9">
        <f t="shared" si="0"/>
        <v>0</v>
      </c>
      <c r="J9">
        <f t="shared" si="1"/>
        <v>13.8</v>
      </c>
      <c r="K9">
        <f t="shared" si="2"/>
        <v>0.80000000000000071</v>
      </c>
      <c r="L9">
        <f t="shared" si="7"/>
        <v>4.9999999999999982</v>
      </c>
      <c r="M9">
        <f t="shared" si="3"/>
        <v>0.45901639344262307</v>
      </c>
      <c r="N9">
        <v>8</v>
      </c>
      <c r="O9">
        <f t="shared" si="4"/>
        <v>3.5</v>
      </c>
      <c r="P9">
        <f t="shared" si="5"/>
        <v>735</v>
      </c>
      <c r="Q9">
        <f t="shared" si="6"/>
        <v>0.52098360655737697</v>
      </c>
      <c r="R9">
        <f t="shared" si="8"/>
        <v>2.2370491803278685</v>
      </c>
    </row>
    <row r="10" spans="1:18" x14ac:dyDescent="0.3">
      <c r="A10" t="s">
        <v>2</v>
      </c>
      <c r="B10" s="1">
        <v>45081</v>
      </c>
      <c r="C10" t="s">
        <v>8</v>
      </c>
      <c r="D10" t="s">
        <v>10</v>
      </c>
      <c r="E10">
        <v>1</v>
      </c>
      <c r="F10">
        <v>13</v>
      </c>
      <c r="G10">
        <v>0</v>
      </c>
      <c r="H10">
        <v>0</v>
      </c>
      <c r="I10">
        <f t="shared" si="0"/>
        <v>0</v>
      </c>
      <c r="J10">
        <f t="shared" si="1"/>
        <v>13</v>
      </c>
      <c r="K10">
        <f t="shared" si="2"/>
        <v>0.5</v>
      </c>
      <c r="L10">
        <f t="shared" si="7"/>
        <v>5.4999999999999982</v>
      </c>
      <c r="M10">
        <f t="shared" si="3"/>
        <v>0.32786885245901642</v>
      </c>
      <c r="N10">
        <v>9</v>
      </c>
      <c r="O10">
        <f t="shared" si="4"/>
        <v>3.5</v>
      </c>
      <c r="P10">
        <f t="shared" si="5"/>
        <v>735</v>
      </c>
      <c r="Q10">
        <f t="shared" si="6"/>
        <v>0.65213114754098356</v>
      </c>
      <c r="R10">
        <f t="shared" si="8"/>
        <v>2.8891803278688521</v>
      </c>
    </row>
    <row r="11" spans="1:18" x14ac:dyDescent="0.3">
      <c r="A11" t="s">
        <v>3</v>
      </c>
      <c r="B11" s="1">
        <v>45082</v>
      </c>
      <c r="C11" t="s">
        <v>8</v>
      </c>
      <c r="D11" t="s">
        <v>10</v>
      </c>
      <c r="E11">
        <v>1</v>
      </c>
      <c r="F11">
        <v>12.5</v>
      </c>
      <c r="G11">
        <v>0.25</v>
      </c>
      <c r="H11">
        <f>13-F11-G11</f>
        <v>0.25</v>
      </c>
      <c r="I11">
        <f t="shared" si="0"/>
        <v>0.5</v>
      </c>
      <c r="J11">
        <f t="shared" si="1"/>
        <v>13</v>
      </c>
      <c r="K11">
        <f t="shared" si="2"/>
        <v>0.5</v>
      </c>
      <c r="L11">
        <f t="shared" si="7"/>
        <v>5.9999999999999982</v>
      </c>
      <c r="M11">
        <f t="shared" si="3"/>
        <v>0.32786885245901642</v>
      </c>
      <c r="N11">
        <v>10</v>
      </c>
      <c r="O11">
        <f t="shared" si="4"/>
        <v>3.75</v>
      </c>
      <c r="P11">
        <f t="shared" si="5"/>
        <v>787.5</v>
      </c>
      <c r="Q11">
        <f t="shared" si="6"/>
        <v>0.65213114754098356</v>
      </c>
      <c r="R11">
        <f t="shared" si="8"/>
        <v>3.5413114754098358</v>
      </c>
    </row>
    <row r="12" spans="1:18" x14ac:dyDescent="0.3">
      <c r="A12" t="s">
        <v>4</v>
      </c>
      <c r="B12" s="1">
        <v>45083</v>
      </c>
      <c r="C12" t="s">
        <v>8</v>
      </c>
      <c r="D12" t="s">
        <v>10</v>
      </c>
      <c r="E12">
        <v>1</v>
      </c>
      <c r="F12">
        <v>12.5</v>
      </c>
      <c r="G12">
        <v>0.25</v>
      </c>
      <c r="H12">
        <f t="shared" ref="H12:H20" si="9">13-F12-G12</f>
        <v>0.25</v>
      </c>
      <c r="I12">
        <f t="shared" si="0"/>
        <v>0.5</v>
      </c>
      <c r="J12">
        <f t="shared" si="1"/>
        <v>13</v>
      </c>
      <c r="K12">
        <f t="shared" si="2"/>
        <v>1</v>
      </c>
      <c r="L12">
        <f t="shared" si="7"/>
        <v>6.9999999999999982</v>
      </c>
      <c r="M12">
        <f t="shared" si="3"/>
        <v>0.32786885245901642</v>
      </c>
      <c r="N12">
        <v>11</v>
      </c>
      <c r="O12">
        <f t="shared" si="4"/>
        <v>4</v>
      </c>
      <c r="P12">
        <f t="shared" si="5"/>
        <v>840</v>
      </c>
      <c r="Q12">
        <f t="shared" si="6"/>
        <v>0.65213114754098356</v>
      </c>
      <c r="R12">
        <f t="shared" si="8"/>
        <v>4.193442622950819</v>
      </c>
    </row>
    <row r="13" spans="1:18" x14ac:dyDescent="0.3">
      <c r="A13" t="s">
        <v>5</v>
      </c>
      <c r="B13" s="1">
        <v>45084</v>
      </c>
      <c r="C13" t="s">
        <v>8</v>
      </c>
      <c r="D13" t="s">
        <v>10</v>
      </c>
      <c r="E13">
        <v>1</v>
      </c>
      <c r="F13">
        <v>12</v>
      </c>
      <c r="G13">
        <v>0</v>
      </c>
      <c r="H13">
        <f t="shared" si="9"/>
        <v>1</v>
      </c>
      <c r="I13">
        <f t="shared" si="0"/>
        <v>1</v>
      </c>
      <c r="J13">
        <f t="shared" si="1"/>
        <v>13</v>
      </c>
      <c r="K13">
        <f t="shared" si="2"/>
        <v>0.80000000000000071</v>
      </c>
      <c r="L13">
        <f t="shared" si="7"/>
        <v>7.7999999999999989</v>
      </c>
      <c r="M13">
        <f t="shared" si="3"/>
        <v>0.32786885245901642</v>
      </c>
      <c r="N13">
        <v>12</v>
      </c>
      <c r="O13">
        <f t="shared" si="4"/>
        <v>4</v>
      </c>
      <c r="P13">
        <f t="shared" si="5"/>
        <v>840</v>
      </c>
      <c r="Q13">
        <f t="shared" si="6"/>
        <v>0.65213114754098356</v>
      </c>
      <c r="R13">
        <f t="shared" si="8"/>
        <v>4.8455737704918027</v>
      </c>
    </row>
    <row r="14" spans="1:18" x14ac:dyDescent="0.3">
      <c r="A14" t="s">
        <v>6</v>
      </c>
      <c r="B14" s="1">
        <v>45085</v>
      </c>
      <c r="C14" t="s">
        <v>8</v>
      </c>
      <c r="D14" t="s">
        <v>10</v>
      </c>
      <c r="E14">
        <v>1</v>
      </c>
      <c r="F14">
        <v>12.2</v>
      </c>
      <c r="G14">
        <v>0.25</v>
      </c>
      <c r="H14">
        <f t="shared" si="9"/>
        <v>0.55000000000000071</v>
      </c>
      <c r="I14">
        <f t="shared" si="0"/>
        <v>0.80000000000000071</v>
      </c>
      <c r="J14">
        <f t="shared" si="1"/>
        <v>13</v>
      </c>
      <c r="K14">
        <f t="shared" si="2"/>
        <v>0.80000000000000071</v>
      </c>
      <c r="L14">
        <f t="shared" si="7"/>
        <v>8.6</v>
      </c>
      <c r="M14">
        <f t="shared" si="3"/>
        <v>0.32786885245901642</v>
      </c>
      <c r="N14">
        <v>13</v>
      </c>
      <c r="O14">
        <f t="shared" si="4"/>
        <v>4.25</v>
      </c>
      <c r="P14">
        <f t="shared" si="5"/>
        <v>892.5</v>
      </c>
      <c r="Q14">
        <f t="shared" si="6"/>
        <v>0.65213114754098356</v>
      </c>
      <c r="R14">
        <f t="shared" si="8"/>
        <v>5.4977049180327864</v>
      </c>
    </row>
    <row r="15" spans="1:18" x14ac:dyDescent="0.3">
      <c r="A15" t="s">
        <v>0</v>
      </c>
      <c r="B15" s="1">
        <v>45086</v>
      </c>
      <c r="C15" t="s">
        <v>8</v>
      </c>
      <c r="D15" t="s">
        <v>10</v>
      </c>
      <c r="E15">
        <v>1</v>
      </c>
      <c r="F15">
        <v>12.2</v>
      </c>
      <c r="G15">
        <v>0.25</v>
      </c>
      <c r="H15">
        <f t="shared" si="9"/>
        <v>0.55000000000000071</v>
      </c>
      <c r="I15">
        <f t="shared" si="0"/>
        <v>0.80000000000000071</v>
      </c>
      <c r="J15">
        <f t="shared" si="1"/>
        <v>13</v>
      </c>
      <c r="K15">
        <f t="shared" si="2"/>
        <v>1.0999999999999996</v>
      </c>
      <c r="L15">
        <f t="shared" si="7"/>
        <v>9.6999999999999993</v>
      </c>
      <c r="M15">
        <f t="shared" si="3"/>
        <v>0.32786885245901642</v>
      </c>
      <c r="N15">
        <v>14</v>
      </c>
      <c r="O15">
        <f t="shared" si="4"/>
        <v>4.5</v>
      </c>
      <c r="P15">
        <f t="shared" si="5"/>
        <v>945</v>
      </c>
      <c r="Q15">
        <f t="shared" si="6"/>
        <v>0.65213114754098356</v>
      </c>
      <c r="R15">
        <f t="shared" si="8"/>
        <v>6.14983606557377</v>
      </c>
    </row>
    <row r="16" spans="1:18" x14ac:dyDescent="0.3">
      <c r="A16" t="s">
        <v>1</v>
      </c>
      <c r="B16" s="1">
        <v>45087</v>
      </c>
      <c r="C16" t="s">
        <v>8</v>
      </c>
      <c r="D16" t="s">
        <v>10</v>
      </c>
      <c r="E16">
        <v>1</v>
      </c>
      <c r="F16">
        <v>11.9</v>
      </c>
      <c r="G16">
        <v>0</v>
      </c>
      <c r="H16">
        <f t="shared" si="9"/>
        <v>1.0999999999999996</v>
      </c>
      <c r="I16">
        <f t="shared" si="0"/>
        <v>1.0999999999999996</v>
      </c>
      <c r="J16">
        <f t="shared" si="1"/>
        <v>13</v>
      </c>
      <c r="K16">
        <f t="shared" si="2"/>
        <v>1.0999999999999996</v>
      </c>
      <c r="L16">
        <f t="shared" si="7"/>
        <v>10.799999999999999</v>
      </c>
      <c r="M16">
        <f t="shared" si="3"/>
        <v>0.32786885245901642</v>
      </c>
      <c r="N16">
        <v>15</v>
      </c>
      <c r="O16">
        <f t="shared" si="4"/>
        <v>4.5</v>
      </c>
      <c r="P16">
        <f t="shared" si="5"/>
        <v>945</v>
      </c>
      <c r="Q16">
        <f t="shared" si="6"/>
        <v>0.65213114754098356</v>
      </c>
      <c r="R16">
        <f t="shared" si="8"/>
        <v>6.8019672131147537</v>
      </c>
    </row>
    <row r="17" spans="1:18" x14ac:dyDescent="0.3">
      <c r="A17" t="s">
        <v>2</v>
      </c>
      <c r="B17" s="1">
        <v>45088</v>
      </c>
      <c r="C17" t="s">
        <v>8</v>
      </c>
      <c r="D17" t="s">
        <v>10</v>
      </c>
      <c r="E17">
        <v>1</v>
      </c>
      <c r="F17">
        <v>11.9</v>
      </c>
      <c r="G17">
        <v>0</v>
      </c>
      <c r="H17">
        <f t="shared" si="9"/>
        <v>1.0999999999999996</v>
      </c>
      <c r="I17">
        <f t="shared" si="0"/>
        <v>1.0999999999999996</v>
      </c>
      <c r="J17">
        <f t="shared" si="1"/>
        <v>13</v>
      </c>
      <c r="K17">
        <f t="shared" si="2"/>
        <v>1</v>
      </c>
      <c r="L17">
        <f t="shared" si="7"/>
        <v>11.799999999999999</v>
      </c>
      <c r="M17">
        <f t="shared" si="3"/>
        <v>0.32786885245901642</v>
      </c>
      <c r="N17">
        <v>16</v>
      </c>
      <c r="O17">
        <f t="shared" si="4"/>
        <v>4.5</v>
      </c>
      <c r="P17">
        <f t="shared" si="5"/>
        <v>945</v>
      </c>
      <c r="Q17">
        <f t="shared" si="6"/>
        <v>0.65213114754098356</v>
      </c>
      <c r="R17">
        <f t="shared" si="8"/>
        <v>7.4540983606557374</v>
      </c>
    </row>
    <row r="18" spans="1:18" x14ac:dyDescent="0.3">
      <c r="A18" t="s">
        <v>3</v>
      </c>
      <c r="B18" s="1">
        <v>45089</v>
      </c>
      <c r="C18" t="s">
        <v>8</v>
      </c>
      <c r="D18" t="s">
        <v>10</v>
      </c>
      <c r="E18">
        <v>1</v>
      </c>
      <c r="F18">
        <v>12</v>
      </c>
      <c r="G18">
        <v>0.5</v>
      </c>
      <c r="H18">
        <f t="shared" si="9"/>
        <v>0.5</v>
      </c>
      <c r="I18">
        <f t="shared" si="0"/>
        <v>1</v>
      </c>
      <c r="J18">
        <f t="shared" si="1"/>
        <v>13</v>
      </c>
      <c r="K18">
        <f t="shared" si="2"/>
        <v>0.5</v>
      </c>
      <c r="L18">
        <f t="shared" si="7"/>
        <v>12.299999999999999</v>
      </c>
      <c r="M18">
        <f t="shared" si="3"/>
        <v>0.32786885245901642</v>
      </c>
      <c r="N18">
        <v>17</v>
      </c>
      <c r="O18">
        <f t="shared" si="4"/>
        <v>5</v>
      </c>
      <c r="P18">
        <f t="shared" si="5"/>
        <v>1050</v>
      </c>
      <c r="Q18">
        <f t="shared" si="6"/>
        <v>0.65213114754098356</v>
      </c>
      <c r="R18">
        <f t="shared" si="8"/>
        <v>8.1062295081967211</v>
      </c>
    </row>
    <row r="19" spans="1:18" x14ac:dyDescent="0.3">
      <c r="A19" t="s">
        <v>4</v>
      </c>
      <c r="B19" s="1">
        <v>45090</v>
      </c>
      <c r="C19" t="s">
        <v>8</v>
      </c>
      <c r="D19" t="s">
        <v>10</v>
      </c>
      <c r="E19">
        <v>1</v>
      </c>
      <c r="F19">
        <v>12.5</v>
      </c>
      <c r="G19">
        <v>0</v>
      </c>
      <c r="H19">
        <f t="shared" si="9"/>
        <v>0.5</v>
      </c>
      <c r="I19">
        <f t="shared" si="0"/>
        <v>0.5</v>
      </c>
      <c r="J19">
        <f t="shared" si="1"/>
        <v>13</v>
      </c>
      <c r="K19">
        <f t="shared" si="2"/>
        <v>1</v>
      </c>
      <c r="L19">
        <f t="shared" si="7"/>
        <v>13.299999999999999</v>
      </c>
      <c r="M19">
        <f t="shared" si="3"/>
        <v>0.32786885245901642</v>
      </c>
      <c r="N19">
        <v>18</v>
      </c>
      <c r="O19">
        <f t="shared" si="4"/>
        <v>5</v>
      </c>
      <c r="P19">
        <f t="shared" si="5"/>
        <v>1050</v>
      </c>
      <c r="Q19">
        <f t="shared" si="6"/>
        <v>0.65213114754098356</v>
      </c>
      <c r="R19">
        <f t="shared" si="8"/>
        <v>8.7583606557377038</v>
      </c>
    </row>
    <row r="20" spans="1:18" x14ac:dyDescent="0.3">
      <c r="A20" t="s">
        <v>5</v>
      </c>
      <c r="B20" s="1">
        <v>45091</v>
      </c>
      <c r="C20" t="s">
        <v>8</v>
      </c>
      <c r="D20" t="s">
        <v>10</v>
      </c>
      <c r="E20">
        <v>1</v>
      </c>
      <c r="F20">
        <v>12</v>
      </c>
      <c r="G20">
        <v>0</v>
      </c>
      <c r="H20">
        <f t="shared" si="9"/>
        <v>1</v>
      </c>
      <c r="I20">
        <f t="shared" si="0"/>
        <v>1</v>
      </c>
      <c r="J20">
        <f t="shared" si="1"/>
        <v>13</v>
      </c>
      <c r="K20">
        <f t="shared" si="2"/>
        <v>1.5</v>
      </c>
      <c r="L20">
        <f t="shared" si="7"/>
        <v>14.799999999999999</v>
      </c>
      <c r="M20">
        <f t="shared" si="3"/>
        <v>0.32786885245901642</v>
      </c>
      <c r="N20">
        <v>19</v>
      </c>
      <c r="O20">
        <f t="shared" si="4"/>
        <v>5</v>
      </c>
      <c r="P20">
        <f t="shared" si="5"/>
        <v>1050</v>
      </c>
      <c r="Q20">
        <f t="shared" si="6"/>
        <v>0.65213114754098356</v>
      </c>
      <c r="R20">
        <f t="shared" si="8"/>
        <v>9.4104918032786866</v>
      </c>
    </row>
    <row r="21" spans="1:18" x14ac:dyDescent="0.3">
      <c r="A21" t="s">
        <v>6</v>
      </c>
      <c r="B21" s="1">
        <v>45092</v>
      </c>
      <c r="C21" t="s">
        <v>8</v>
      </c>
      <c r="D21" t="s">
        <v>10</v>
      </c>
      <c r="E21">
        <v>1</v>
      </c>
      <c r="F21">
        <v>11.5</v>
      </c>
      <c r="G21">
        <v>0.5</v>
      </c>
      <c r="H21">
        <f>12.2-F21-G21</f>
        <v>0.19999999999999929</v>
      </c>
      <c r="I21">
        <f t="shared" si="0"/>
        <v>0.69999999999999929</v>
      </c>
      <c r="J21">
        <f t="shared" si="1"/>
        <v>12.2</v>
      </c>
      <c r="K21">
        <f t="shared" si="2"/>
        <v>0.69999999999999929</v>
      </c>
      <c r="L21">
        <f t="shared" si="7"/>
        <v>15.499999999999998</v>
      </c>
      <c r="M21">
        <f t="shared" si="3"/>
        <v>0.19672131147540972</v>
      </c>
      <c r="N21">
        <v>20</v>
      </c>
      <c r="O21">
        <f t="shared" si="4"/>
        <v>5.5</v>
      </c>
      <c r="P21">
        <f t="shared" si="5"/>
        <v>1155</v>
      </c>
      <c r="Q21">
        <f t="shared" si="6"/>
        <v>0.78327868852459026</v>
      </c>
      <c r="R21">
        <f t="shared" si="8"/>
        <v>10.193770491803276</v>
      </c>
    </row>
    <row r="22" spans="1:18" x14ac:dyDescent="0.3">
      <c r="A22" t="s">
        <v>0</v>
      </c>
      <c r="B22" s="1">
        <v>45093</v>
      </c>
      <c r="C22" t="s">
        <v>8</v>
      </c>
      <c r="D22" t="s">
        <v>10</v>
      </c>
      <c r="E22">
        <v>1</v>
      </c>
      <c r="F22">
        <v>11.5</v>
      </c>
      <c r="G22">
        <v>0</v>
      </c>
      <c r="H22">
        <f>12.2-F22-G22</f>
        <v>0.69999999999999929</v>
      </c>
      <c r="I22">
        <f t="shared" si="0"/>
        <v>0.69999999999999929</v>
      </c>
      <c r="J22">
        <f t="shared" si="1"/>
        <v>12.2</v>
      </c>
      <c r="K22">
        <f t="shared" si="2"/>
        <v>1.0999999999999996</v>
      </c>
      <c r="L22">
        <f t="shared" si="7"/>
        <v>16.599999999999998</v>
      </c>
      <c r="M22">
        <f t="shared" si="3"/>
        <v>0.19672131147540972</v>
      </c>
      <c r="N22">
        <v>21</v>
      </c>
      <c r="O22">
        <f t="shared" si="4"/>
        <v>5.5</v>
      </c>
      <c r="P22">
        <f t="shared" si="5"/>
        <v>1155</v>
      </c>
      <c r="Q22">
        <f t="shared" si="6"/>
        <v>0.78327868852459026</v>
      </c>
      <c r="R22">
        <f t="shared" si="8"/>
        <v>10.977049180327866</v>
      </c>
    </row>
    <row r="23" spans="1:18" x14ac:dyDescent="0.3">
      <c r="A23" t="s">
        <v>1</v>
      </c>
      <c r="B23" s="1">
        <v>45094</v>
      </c>
      <c r="C23" t="s">
        <v>8</v>
      </c>
      <c r="D23" t="s">
        <v>10</v>
      </c>
      <c r="E23">
        <v>1</v>
      </c>
      <c r="F23">
        <v>11.1</v>
      </c>
      <c r="G23">
        <v>0</v>
      </c>
      <c r="H23">
        <f>12.2-F23-G23</f>
        <v>1.0999999999999996</v>
      </c>
      <c r="I23">
        <f t="shared" si="0"/>
        <v>1.0999999999999996</v>
      </c>
      <c r="J23">
        <f t="shared" si="1"/>
        <v>12.2</v>
      </c>
      <c r="K23">
        <f t="shared" si="2"/>
        <v>0.89999999999999858</v>
      </c>
      <c r="L23">
        <f t="shared" si="7"/>
        <v>17.499999999999996</v>
      </c>
      <c r="M23">
        <f t="shared" si="3"/>
        <v>0.19672131147540972</v>
      </c>
      <c r="N23">
        <v>22</v>
      </c>
      <c r="O23">
        <f t="shared" si="4"/>
        <v>5.5</v>
      </c>
      <c r="P23">
        <f t="shared" si="5"/>
        <v>1155</v>
      </c>
      <c r="Q23">
        <f t="shared" si="6"/>
        <v>0.78327868852459026</v>
      </c>
      <c r="R23">
        <f t="shared" si="8"/>
        <v>11.760327868852455</v>
      </c>
    </row>
    <row r="24" spans="1:18" x14ac:dyDescent="0.3">
      <c r="A24" t="s">
        <v>2</v>
      </c>
      <c r="B24" s="1">
        <v>45095</v>
      </c>
      <c r="C24" t="s">
        <v>8</v>
      </c>
      <c r="D24" t="s">
        <v>10</v>
      </c>
      <c r="E24">
        <v>1</v>
      </c>
      <c r="F24">
        <v>11.3</v>
      </c>
      <c r="G24">
        <v>0</v>
      </c>
      <c r="H24">
        <f t="shared" ref="H24:H25" si="10">12.2-F24-G24</f>
        <v>0.89999999999999858</v>
      </c>
      <c r="I24">
        <f t="shared" si="0"/>
        <v>0.89999999999999858</v>
      </c>
      <c r="J24">
        <f t="shared" si="1"/>
        <v>12.2</v>
      </c>
      <c r="K24">
        <f t="shared" si="2"/>
        <v>1.0999999999999996</v>
      </c>
      <c r="L24">
        <f t="shared" si="7"/>
        <v>18.599999999999994</v>
      </c>
      <c r="M24">
        <f t="shared" si="3"/>
        <v>0.19672131147540972</v>
      </c>
      <c r="N24">
        <v>23</v>
      </c>
      <c r="O24">
        <f t="shared" si="4"/>
        <v>5.5</v>
      </c>
      <c r="P24">
        <f t="shared" si="5"/>
        <v>1155</v>
      </c>
      <c r="Q24">
        <f t="shared" si="6"/>
        <v>0.78327868852459026</v>
      </c>
      <c r="R24">
        <f t="shared" si="8"/>
        <v>12.543606557377045</v>
      </c>
    </row>
    <row r="25" spans="1:18" x14ac:dyDescent="0.3">
      <c r="A25" t="s">
        <v>3</v>
      </c>
      <c r="B25" s="1">
        <v>45096</v>
      </c>
      <c r="C25" t="s">
        <v>8</v>
      </c>
      <c r="D25" t="s">
        <v>10</v>
      </c>
      <c r="E25">
        <v>1</v>
      </c>
      <c r="F25">
        <v>11.1</v>
      </c>
      <c r="G25">
        <v>0.5</v>
      </c>
      <c r="H25">
        <f t="shared" si="10"/>
        <v>0.59999999999999964</v>
      </c>
      <c r="I25">
        <f t="shared" si="0"/>
        <v>1.0999999999999996</v>
      </c>
      <c r="J25">
        <f t="shared" si="1"/>
        <v>12.2</v>
      </c>
      <c r="K25">
        <f t="shared" si="2"/>
        <v>1.1999999999999993</v>
      </c>
      <c r="L25">
        <f t="shared" si="7"/>
        <v>19.799999999999994</v>
      </c>
      <c r="M25">
        <f t="shared" si="3"/>
        <v>0.19672131147540972</v>
      </c>
      <c r="N25">
        <v>24</v>
      </c>
      <c r="O25">
        <f t="shared" si="4"/>
        <v>6</v>
      </c>
      <c r="P25">
        <f t="shared" si="5"/>
        <v>1260</v>
      </c>
      <c r="Q25">
        <f t="shared" si="6"/>
        <v>0.78327868852459026</v>
      </c>
      <c r="R25">
        <f t="shared" si="8"/>
        <v>13.326885245901634</v>
      </c>
    </row>
    <row r="26" spans="1:18" x14ac:dyDescent="0.3">
      <c r="A26" t="s">
        <v>4</v>
      </c>
      <c r="B26" s="1">
        <v>45097</v>
      </c>
      <c r="C26" t="s">
        <v>8</v>
      </c>
      <c r="D26" t="s">
        <v>10</v>
      </c>
      <c r="E26">
        <v>1</v>
      </c>
      <c r="F26">
        <v>11</v>
      </c>
      <c r="G26">
        <v>0</v>
      </c>
      <c r="H26">
        <f>12.1-F26-G26</f>
        <v>1.0999999999999996</v>
      </c>
      <c r="I26">
        <f t="shared" si="0"/>
        <v>1.0999999999999996</v>
      </c>
      <c r="J26">
        <f t="shared" si="1"/>
        <v>12.1</v>
      </c>
      <c r="K26">
        <f t="shared" si="2"/>
        <v>1.0999999999999996</v>
      </c>
      <c r="L26">
        <f>L25+K26</f>
        <v>20.899999999999991</v>
      </c>
      <c r="M26">
        <f t="shared" si="3"/>
        <v>0.18032786885245897</v>
      </c>
      <c r="N26">
        <v>25</v>
      </c>
      <c r="O26">
        <f t="shared" si="4"/>
        <v>6</v>
      </c>
      <c r="P26">
        <f t="shared" si="5"/>
        <v>1260</v>
      </c>
      <c r="Q26">
        <f t="shared" si="6"/>
        <v>0.79967213114754099</v>
      </c>
      <c r="R26">
        <f t="shared" si="8"/>
        <v>14.126557377049174</v>
      </c>
    </row>
    <row r="27" spans="1:18" x14ac:dyDescent="0.3">
      <c r="A27" t="s">
        <v>5</v>
      </c>
      <c r="B27" s="1">
        <v>45098</v>
      </c>
      <c r="C27" t="s">
        <v>8</v>
      </c>
      <c r="D27" t="s">
        <v>10</v>
      </c>
      <c r="E27">
        <v>1</v>
      </c>
      <c r="F27">
        <v>11</v>
      </c>
      <c r="G27">
        <v>0</v>
      </c>
      <c r="H27">
        <f t="shared" ref="H27:H29" si="11">12.1-F27-G27</f>
        <v>1.0999999999999996</v>
      </c>
      <c r="I27">
        <f t="shared" si="0"/>
        <v>1.0999999999999996</v>
      </c>
      <c r="J27">
        <f t="shared" si="1"/>
        <v>12.1</v>
      </c>
      <c r="K27">
        <f t="shared" si="2"/>
        <v>1.0999999999999996</v>
      </c>
      <c r="L27">
        <f t="shared" si="7"/>
        <v>21.999999999999993</v>
      </c>
      <c r="M27">
        <f t="shared" si="3"/>
        <v>0.18032786885245897</v>
      </c>
      <c r="N27">
        <v>26</v>
      </c>
      <c r="O27">
        <f t="shared" si="4"/>
        <v>6</v>
      </c>
      <c r="P27">
        <f t="shared" si="5"/>
        <v>1260</v>
      </c>
      <c r="Q27">
        <f t="shared" si="6"/>
        <v>0.79967213114754099</v>
      </c>
      <c r="R27">
        <f t="shared" si="8"/>
        <v>14.926229508196716</v>
      </c>
    </row>
    <row r="28" spans="1:18" x14ac:dyDescent="0.3">
      <c r="A28" t="s">
        <v>6</v>
      </c>
      <c r="B28" s="1">
        <v>45099</v>
      </c>
      <c r="C28" t="s">
        <v>8</v>
      </c>
      <c r="D28" t="s">
        <v>10</v>
      </c>
      <c r="E28">
        <v>1</v>
      </c>
      <c r="F28">
        <v>11</v>
      </c>
      <c r="G28">
        <v>0.5</v>
      </c>
      <c r="H28">
        <f t="shared" si="11"/>
        <v>0.59999999999999964</v>
      </c>
      <c r="I28">
        <f t="shared" si="0"/>
        <v>1.0999999999999996</v>
      </c>
      <c r="J28">
        <f t="shared" si="1"/>
        <v>12.1</v>
      </c>
      <c r="K28">
        <f t="shared" si="2"/>
        <v>1.0999999999999996</v>
      </c>
      <c r="L28">
        <f t="shared" si="7"/>
        <v>23.099999999999994</v>
      </c>
      <c r="M28">
        <f t="shared" si="3"/>
        <v>0.18032786885245897</v>
      </c>
      <c r="N28">
        <v>27</v>
      </c>
      <c r="O28">
        <f t="shared" si="4"/>
        <v>6.5</v>
      </c>
      <c r="P28">
        <f t="shared" si="5"/>
        <v>1365</v>
      </c>
      <c r="Q28">
        <f t="shared" si="6"/>
        <v>0.79967213114754099</v>
      </c>
      <c r="R28">
        <f t="shared" si="8"/>
        <v>15.725901639344258</v>
      </c>
    </row>
    <row r="29" spans="1:18" x14ac:dyDescent="0.3">
      <c r="A29" t="s">
        <v>0</v>
      </c>
      <c r="B29" s="1">
        <v>45100</v>
      </c>
      <c r="C29" t="s">
        <v>8</v>
      </c>
      <c r="D29" t="s">
        <v>10</v>
      </c>
      <c r="E29">
        <v>1</v>
      </c>
      <c r="F29">
        <v>11</v>
      </c>
      <c r="G29">
        <v>0</v>
      </c>
      <c r="H29">
        <f t="shared" si="11"/>
        <v>1.0999999999999996</v>
      </c>
      <c r="I29">
        <f t="shared" si="0"/>
        <v>1.0999999999999996</v>
      </c>
      <c r="J29">
        <f t="shared" si="1"/>
        <v>12.1</v>
      </c>
      <c r="K29">
        <f t="shared" si="2"/>
        <v>0.90000000000000036</v>
      </c>
      <c r="L29">
        <f t="shared" si="7"/>
        <v>23.999999999999993</v>
      </c>
      <c r="M29">
        <f t="shared" si="3"/>
        <v>0.18032786885245897</v>
      </c>
      <c r="N29">
        <v>28</v>
      </c>
      <c r="O29">
        <f t="shared" si="4"/>
        <v>6.5</v>
      </c>
      <c r="P29">
        <f t="shared" si="5"/>
        <v>1365</v>
      </c>
      <c r="Q29">
        <f t="shared" si="6"/>
        <v>0.79967213114754099</v>
      </c>
      <c r="R29">
        <f t="shared" si="8"/>
        <v>16.5255737704918</v>
      </c>
    </row>
    <row r="30" spans="1:18" x14ac:dyDescent="0.3">
      <c r="A30" t="s">
        <v>1</v>
      </c>
      <c r="B30" s="1">
        <v>45101</v>
      </c>
      <c r="C30" t="s">
        <v>8</v>
      </c>
      <c r="D30" t="s">
        <v>10</v>
      </c>
      <c r="E30">
        <v>1</v>
      </c>
      <c r="F30">
        <v>11.2</v>
      </c>
      <c r="G30">
        <v>0</v>
      </c>
      <c r="H30">
        <v>5</v>
      </c>
      <c r="I30">
        <f t="shared" si="0"/>
        <v>5</v>
      </c>
      <c r="J30">
        <f t="shared" si="1"/>
        <v>16.2</v>
      </c>
      <c r="K30">
        <f t="shared" si="2"/>
        <v>1.2999999999999989</v>
      </c>
      <c r="L30">
        <f t="shared" si="7"/>
        <v>25.29999999999999</v>
      </c>
      <c r="M30">
        <f t="shared" si="3"/>
        <v>0.85245901639344257</v>
      </c>
      <c r="N30">
        <v>29</v>
      </c>
      <c r="O30">
        <f t="shared" si="4"/>
        <v>6.5</v>
      </c>
      <c r="P30">
        <f t="shared" si="5"/>
        <v>1365</v>
      </c>
      <c r="Q30">
        <f t="shared" si="6"/>
        <v>0.12754098360655741</v>
      </c>
      <c r="R30">
        <f>R29+Q30</f>
        <v>16.653114754098358</v>
      </c>
    </row>
    <row r="31" spans="1:18" x14ac:dyDescent="0.3">
      <c r="A31" t="s">
        <v>2</v>
      </c>
      <c r="B31" s="1">
        <v>45102</v>
      </c>
      <c r="C31" t="s">
        <v>8</v>
      </c>
      <c r="D31" t="s">
        <v>10</v>
      </c>
      <c r="E31">
        <v>1</v>
      </c>
      <c r="F31">
        <v>14.9</v>
      </c>
      <c r="G31">
        <v>0</v>
      </c>
      <c r="H31">
        <v>0</v>
      </c>
      <c r="I31">
        <f t="shared" si="0"/>
        <v>0</v>
      </c>
      <c r="J31">
        <f t="shared" si="1"/>
        <v>14.9</v>
      </c>
      <c r="K31">
        <f t="shared" si="2"/>
        <v>1.4000000000000004</v>
      </c>
      <c r="L31">
        <f t="shared" si="7"/>
        <v>26.699999999999989</v>
      </c>
      <c r="M31">
        <f t="shared" si="3"/>
        <v>0.63934426229508201</v>
      </c>
      <c r="N31">
        <v>30</v>
      </c>
      <c r="O31">
        <f t="shared" si="4"/>
        <v>6.5</v>
      </c>
      <c r="P31">
        <f t="shared" si="5"/>
        <v>1365</v>
      </c>
      <c r="Q31">
        <f t="shared" si="6"/>
        <v>0.34065573770491797</v>
      </c>
      <c r="R31">
        <f t="shared" si="8"/>
        <v>16.993770491803275</v>
      </c>
    </row>
    <row r="32" spans="1:18" x14ac:dyDescent="0.3">
      <c r="A32" t="s">
        <v>3</v>
      </c>
      <c r="B32" s="1">
        <v>45103</v>
      </c>
      <c r="C32" t="s">
        <v>8</v>
      </c>
      <c r="D32" t="s">
        <v>10</v>
      </c>
      <c r="E32">
        <v>1</v>
      </c>
      <c r="F32">
        <v>13.5</v>
      </c>
      <c r="G32">
        <v>0.5</v>
      </c>
      <c r="H32">
        <v>0</v>
      </c>
      <c r="I32">
        <f t="shared" si="0"/>
        <v>0.5</v>
      </c>
      <c r="J32">
        <f t="shared" si="1"/>
        <v>14</v>
      </c>
      <c r="K32">
        <f t="shared" si="2"/>
        <v>0.80000000000000071</v>
      </c>
      <c r="L32">
        <f t="shared" si="7"/>
        <v>27.499999999999989</v>
      </c>
      <c r="M32">
        <f t="shared" si="3"/>
        <v>0.49180327868852464</v>
      </c>
      <c r="N32">
        <v>31</v>
      </c>
      <c r="O32">
        <f t="shared" si="4"/>
        <v>7</v>
      </c>
      <c r="P32">
        <f t="shared" si="5"/>
        <v>1470</v>
      </c>
      <c r="Q32">
        <f t="shared" si="6"/>
        <v>0.48819672131147535</v>
      </c>
      <c r="R32">
        <f t="shared" si="8"/>
        <v>17.48196721311475</v>
      </c>
    </row>
    <row r="33" spans="1:18" x14ac:dyDescent="0.3">
      <c r="A33" t="s">
        <v>4</v>
      </c>
      <c r="B33" s="1">
        <v>45104</v>
      </c>
      <c r="C33" t="s">
        <v>8</v>
      </c>
      <c r="D33" t="s">
        <v>10</v>
      </c>
      <c r="E33">
        <v>1</v>
      </c>
      <c r="F33">
        <v>13.2</v>
      </c>
      <c r="G33">
        <v>0</v>
      </c>
      <c r="H33">
        <v>0</v>
      </c>
      <c r="I33">
        <f t="shared" si="0"/>
        <v>0</v>
      </c>
      <c r="J33">
        <f t="shared" si="1"/>
        <v>13.2</v>
      </c>
      <c r="K33">
        <f t="shared" si="2"/>
        <v>1.0999999999999996</v>
      </c>
      <c r="L33">
        <f t="shared" si="7"/>
        <v>28.599999999999987</v>
      </c>
      <c r="M33">
        <f t="shared" si="3"/>
        <v>0.36065573770491793</v>
      </c>
      <c r="N33">
        <v>32</v>
      </c>
      <c r="O33">
        <f t="shared" si="4"/>
        <v>7</v>
      </c>
      <c r="P33">
        <f t="shared" si="5"/>
        <v>1470</v>
      </c>
      <c r="Q33">
        <f t="shared" si="6"/>
        <v>0.61934426229508199</v>
      </c>
      <c r="R33">
        <f t="shared" si="8"/>
        <v>18.101311475409833</v>
      </c>
    </row>
    <row r="34" spans="1:18" x14ac:dyDescent="0.3">
      <c r="A34" t="s">
        <v>5</v>
      </c>
      <c r="B34" s="1">
        <v>45105</v>
      </c>
      <c r="C34" t="s">
        <v>8</v>
      </c>
      <c r="D34" t="s">
        <v>10</v>
      </c>
      <c r="E34">
        <v>1</v>
      </c>
      <c r="F34">
        <v>12.1</v>
      </c>
      <c r="G34">
        <v>0</v>
      </c>
      <c r="H34">
        <v>0</v>
      </c>
      <c r="I34">
        <f t="shared" si="0"/>
        <v>0</v>
      </c>
      <c r="J34">
        <f t="shared" si="1"/>
        <v>12.1</v>
      </c>
      <c r="K34">
        <f t="shared" si="2"/>
        <v>0.90000000000000036</v>
      </c>
      <c r="L34">
        <f t="shared" si="7"/>
        <v>29.499999999999986</v>
      </c>
      <c r="M34">
        <f t="shared" si="3"/>
        <v>0.18032786885245897</v>
      </c>
      <c r="N34">
        <v>33</v>
      </c>
      <c r="O34">
        <f t="shared" si="4"/>
        <v>7</v>
      </c>
      <c r="P34">
        <f t="shared" si="5"/>
        <v>1470</v>
      </c>
      <c r="Q34">
        <f t="shared" si="6"/>
        <v>0.79967213114754099</v>
      </c>
      <c r="R34">
        <f t="shared" si="8"/>
        <v>18.900983606557375</v>
      </c>
    </row>
    <row r="35" spans="1:18" x14ac:dyDescent="0.3">
      <c r="A35" t="s">
        <v>6</v>
      </c>
      <c r="B35" s="1">
        <v>45106</v>
      </c>
      <c r="C35" t="s">
        <v>8</v>
      </c>
      <c r="D35" t="s">
        <v>10</v>
      </c>
      <c r="E35">
        <v>1</v>
      </c>
      <c r="F35">
        <v>11.2</v>
      </c>
      <c r="G35">
        <v>0.5</v>
      </c>
      <c r="H35">
        <f>12.1-F35-G35</f>
        <v>0.40000000000000036</v>
      </c>
      <c r="I35">
        <f t="shared" si="0"/>
        <v>0.90000000000000036</v>
      </c>
      <c r="J35">
        <f t="shared" si="1"/>
        <v>12.1</v>
      </c>
      <c r="K35">
        <f t="shared" si="2"/>
        <v>0.90000000000000036</v>
      </c>
      <c r="L35">
        <f t="shared" si="7"/>
        <v>30.399999999999984</v>
      </c>
      <c r="M35">
        <f t="shared" si="3"/>
        <v>0.18032786885245897</v>
      </c>
      <c r="N35">
        <v>34</v>
      </c>
      <c r="O35">
        <f t="shared" si="4"/>
        <v>7.5</v>
      </c>
      <c r="P35">
        <f t="shared" si="5"/>
        <v>1575</v>
      </c>
      <c r="Q35">
        <f t="shared" si="6"/>
        <v>0.79967213114754099</v>
      </c>
      <c r="R35">
        <f t="shared" si="8"/>
        <v>19.700655737704917</v>
      </c>
    </row>
    <row r="36" spans="1:18" x14ac:dyDescent="0.3">
      <c r="A36" t="s">
        <v>0</v>
      </c>
      <c r="B36" s="1">
        <v>45107</v>
      </c>
      <c r="C36" t="s">
        <v>8</v>
      </c>
      <c r="D36" t="s">
        <v>10</v>
      </c>
      <c r="E36">
        <v>1</v>
      </c>
      <c r="F36">
        <v>11.2</v>
      </c>
      <c r="G36">
        <v>0</v>
      </c>
      <c r="H36">
        <f t="shared" ref="H36:H40" si="12">12.1-F36-G36</f>
        <v>0.90000000000000036</v>
      </c>
      <c r="I36">
        <f t="shared" si="0"/>
        <v>0.90000000000000036</v>
      </c>
      <c r="J36">
        <f t="shared" si="1"/>
        <v>12.1</v>
      </c>
      <c r="K36">
        <f t="shared" si="2"/>
        <v>0.5</v>
      </c>
      <c r="L36">
        <f t="shared" si="7"/>
        <v>30.899999999999984</v>
      </c>
      <c r="M36">
        <f t="shared" si="3"/>
        <v>0.18032786885245897</v>
      </c>
      <c r="N36">
        <v>35</v>
      </c>
      <c r="O36">
        <f t="shared" si="4"/>
        <v>7.5</v>
      </c>
      <c r="P36">
        <f t="shared" si="5"/>
        <v>1575</v>
      </c>
      <c r="Q36">
        <f t="shared" si="6"/>
        <v>0.79967213114754099</v>
      </c>
      <c r="R36">
        <f t="shared" si="8"/>
        <v>20.500327868852459</v>
      </c>
    </row>
    <row r="37" spans="1:18" x14ac:dyDescent="0.3">
      <c r="A37" t="s">
        <v>1</v>
      </c>
      <c r="B37" s="1">
        <v>45108</v>
      </c>
      <c r="C37" t="s">
        <v>8</v>
      </c>
      <c r="D37" t="s">
        <v>10</v>
      </c>
      <c r="E37">
        <v>1</v>
      </c>
      <c r="F37">
        <v>11.6</v>
      </c>
      <c r="G37">
        <v>0</v>
      </c>
      <c r="H37">
        <f t="shared" si="12"/>
        <v>0.5</v>
      </c>
      <c r="I37">
        <f t="shared" si="0"/>
        <v>0.5</v>
      </c>
      <c r="J37">
        <f t="shared" si="1"/>
        <v>12.1</v>
      </c>
      <c r="K37">
        <f t="shared" si="2"/>
        <v>0.59999999999999964</v>
      </c>
      <c r="L37">
        <f t="shared" si="7"/>
        <v>31.499999999999986</v>
      </c>
      <c r="M37">
        <f t="shared" si="3"/>
        <v>0.18032786885245897</v>
      </c>
      <c r="N37">
        <v>36</v>
      </c>
      <c r="O37">
        <f t="shared" si="4"/>
        <v>7.5</v>
      </c>
      <c r="P37">
        <f t="shared" si="5"/>
        <v>1575</v>
      </c>
      <c r="Q37">
        <f t="shared" si="6"/>
        <v>0.79967213114754099</v>
      </c>
      <c r="R37">
        <f t="shared" si="8"/>
        <v>21.3</v>
      </c>
    </row>
    <row r="38" spans="1:18" x14ac:dyDescent="0.3">
      <c r="A38" t="s">
        <v>2</v>
      </c>
      <c r="B38" s="1">
        <v>45109</v>
      </c>
      <c r="C38" t="s">
        <v>8</v>
      </c>
      <c r="D38" t="s">
        <v>10</v>
      </c>
      <c r="E38">
        <v>1</v>
      </c>
      <c r="F38">
        <v>11.5</v>
      </c>
      <c r="G38">
        <v>0</v>
      </c>
      <c r="H38">
        <f t="shared" si="12"/>
        <v>0.59999999999999964</v>
      </c>
      <c r="I38">
        <f t="shared" si="0"/>
        <v>0.59999999999999964</v>
      </c>
      <c r="J38">
        <f t="shared" si="1"/>
        <v>12.1</v>
      </c>
      <c r="K38">
        <f t="shared" si="2"/>
        <v>0.90000000000000036</v>
      </c>
      <c r="L38">
        <f t="shared" si="7"/>
        <v>32.399999999999984</v>
      </c>
      <c r="M38">
        <f t="shared" si="3"/>
        <v>0.18032786885245897</v>
      </c>
      <c r="N38">
        <v>37</v>
      </c>
      <c r="O38">
        <f t="shared" si="4"/>
        <v>7.5</v>
      </c>
      <c r="P38">
        <f t="shared" si="5"/>
        <v>1575</v>
      </c>
      <c r="Q38">
        <f t="shared" si="6"/>
        <v>0.79967213114754099</v>
      </c>
      <c r="R38">
        <f t="shared" si="8"/>
        <v>22.099672131147543</v>
      </c>
    </row>
    <row r="39" spans="1:18" x14ac:dyDescent="0.3">
      <c r="A39" t="s">
        <v>3</v>
      </c>
      <c r="B39" s="1">
        <v>45110</v>
      </c>
      <c r="C39" t="s">
        <v>8</v>
      </c>
      <c r="D39" t="s">
        <v>10</v>
      </c>
      <c r="E39">
        <v>1</v>
      </c>
      <c r="F39">
        <v>11.2</v>
      </c>
      <c r="G39">
        <v>0</v>
      </c>
      <c r="H39">
        <f t="shared" si="12"/>
        <v>0.90000000000000036</v>
      </c>
      <c r="I39">
        <f t="shared" si="0"/>
        <v>0.90000000000000036</v>
      </c>
      <c r="J39">
        <f t="shared" si="1"/>
        <v>12.1</v>
      </c>
      <c r="K39">
        <f t="shared" si="2"/>
        <v>1</v>
      </c>
      <c r="L39">
        <f t="shared" si="7"/>
        <v>33.399999999999984</v>
      </c>
      <c r="M39">
        <f t="shared" si="3"/>
        <v>0.18032786885245897</v>
      </c>
      <c r="N39">
        <v>38</v>
      </c>
      <c r="O39">
        <f t="shared" si="4"/>
        <v>7.5</v>
      </c>
      <c r="P39">
        <f t="shared" si="5"/>
        <v>1575</v>
      </c>
      <c r="Q39">
        <f t="shared" si="6"/>
        <v>0.79967213114754099</v>
      </c>
      <c r="R39">
        <f t="shared" si="8"/>
        <v>22.899344262295084</v>
      </c>
    </row>
    <row r="40" spans="1:18" x14ac:dyDescent="0.3">
      <c r="A40" t="s">
        <v>4</v>
      </c>
      <c r="B40" s="1">
        <v>45111</v>
      </c>
      <c r="C40" t="s">
        <v>8</v>
      </c>
      <c r="D40" t="s">
        <v>10</v>
      </c>
      <c r="E40">
        <v>1</v>
      </c>
      <c r="F40">
        <v>11.1</v>
      </c>
      <c r="G40">
        <v>0</v>
      </c>
      <c r="H40">
        <f t="shared" si="12"/>
        <v>1</v>
      </c>
      <c r="I40">
        <f t="shared" si="0"/>
        <v>1</v>
      </c>
      <c r="J40">
        <f t="shared" si="1"/>
        <v>12.1</v>
      </c>
    </row>
    <row r="41" spans="1:18" x14ac:dyDescent="0.3">
      <c r="A41" t="s">
        <v>1</v>
      </c>
      <c r="B41" s="1">
        <v>45073</v>
      </c>
      <c r="C41" t="s">
        <v>8</v>
      </c>
      <c r="D41" t="s">
        <v>10</v>
      </c>
      <c r="E41">
        <v>2</v>
      </c>
      <c r="F41">
        <v>17</v>
      </c>
      <c r="G41">
        <v>0</v>
      </c>
      <c r="H41">
        <v>0</v>
      </c>
      <c r="I41">
        <f>H41+G41</f>
        <v>0</v>
      </c>
      <c r="J41">
        <f>I41+F41</f>
        <v>17</v>
      </c>
      <c r="K41">
        <f>J41-F42</f>
        <v>0.39999999999999858</v>
      </c>
      <c r="M41">
        <f t="shared" si="3"/>
        <v>0.98360655737704927</v>
      </c>
      <c r="N41">
        <v>1</v>
      </c>
      <c r="O41">
        <v>2.5</v>
      </c>
      <c r="P41">
        <f>O41*210</f>
        <v>525</v>
      </c>
    </row>
    <row r="42" spans="1:18" x14ac:dyDescent="0.3">
      <c r="A42" t="s">
        <v>2</v>
      </c>
      <c r="B42" s="1">
        <v>45074</v>
      </c>
      <c r="C42" t="s">
        <v>8</v>
      </c>
      <c r="D42" t="s">
        <v>10</v>
      </c>
      <c r="E42">
        <v>2</v>
      </c>
      <c r="F42">
        <v>16.600000000000001</v>
      </c>
      <c r="G42">
        <v>0</v>
      </c>
      <c r="H42">
        <v>0</v>
      </c>
      <c r="I42">
        <f t="shared" ref="I42:I78" si="13">H42+G42</f>
        <v>0</v>
      </c>
      <c r="J42">
        <f t="shared" ref="J42:J78" si="14">I42+F42</f>
        <v>16.600000000000001</v>
      </c>
      <c r="K42">
        <f t="shared" ref="K42:K78" si="15">J42-F43</f>
        <v>0.40000000000000213</v>
      </c>
      <c r="L42">
        <f>K41+K42</f>
        <v>0.80000000000000071</v>
      </c>
      <c r="M42">
        <f t="shared" si="3"/>
        <v>0.91803278688524614</v>
      </c>
      <c r="N42">
        <v>2</v>
      </c>
      <c r="O42">
        <f t="shared" ref="O42:O78" si="16">O41+G42</f>
        <v>2.5</v>
      </c>
      <c r="P42">
        <f t="shared" ref="P42:P78" si="17">O42*210</f>
        <v>525</v>
      </c>
      <c r="Q42">
        <f t="shared" ref="Q42:Q78" si="18">0.98-M42</f>
        <v>6.1967213114753839E-2</v>
      </c>
    </row>
    <row r="43" spans="1:18" x14ac:dyDescent="0.3">
      <c r="A43" t="s">
        <v>3</v>
      </c>
      <c r="B43" s="1">
        <v>45075</v>
      </c>
      <c r="C43" t="s">
        <v>8</v>
      </c>
      <c r="D43" t="s">
        <v>10</v>
      </c>
      <c r="E43">
        <v>2</v>
      </c>
      <c r="F43">
        <v>16.2</v>
      </c>
      <c r="G43">
        <v>0.25</v>
      </c>
      <c r="H43">
        <v>0</v>
      </c>
      <c r="I43">
        <f t="shared" si="13"/>
        <v>0.25</v>
      </c>
      <c r="J43">
        <f t="shared" si="14"/>
        <v>16.45</v>
      </c>
      <c r="K43">
        <f t="shared" si="15"/>
        <v>0.54999999999999893</v>
      </c>
      <c r="L43">
        <f>L42+K43</f>
        <v>1.3499999999999996</v>
      </c>
      <c r="M43">
        <f t="shared" si="3"/>
        <v>0.89344262295081955</v>
      </c>
      <c r="N43">
        <v>3</v>
      </c>
      <c r="O43">
        <f t="shared" si="16"/>
        <v>2.75</v>
      </c>
      <c r="P43">
        <f t="shared" si="17"/>
        <v>577.5</v>
      </c>
      <c r="Q43">
        <f t="shared" si="18"/>
        <v>8.6557377049180428E-2</v>
      </c>
      <c r="R43">
        <f>Q42+Q43</f>
        <v>0.14852459016393427</v>
      </c>
    </row>
    <row r="44" spans="1:18" x14ac:dyDescent="0.3">
      <c r="A44" t="s">
        <v>4</v>
      </c>
      <c r="B44" s="1">
        <v>45076</v>
      </c>
      <c r="C44" t="s">
        <v>8</v>
      </c>
      <c r="D44" t="s">
        <v>10</v>
      </c>
      <c r="E44">
        <v>2</v>
      </c>
      <c r="F44">
        <v>15.9</v>
      </c>
      <c r="G44">
        <v>0.25</v>
      </c>
      <c r="H44">
        <v>0</v>
      </c>
      <c r="I44">
        <f t="shared" si="13"/>
        <v>0.25</v>
      </c>
      <c r="J44">
        <f t="shared" si="14"/>
        <v>16.149999999999999</v>
      </c>
      <c r="K44">
        <f t="shared" si="15"/>
        <v>0.74999999999999822</v>
      </c>
      <c r="L44">
        <f t="shared" ref="L44:L64" si="19">L43+K44</f>
        <v>2.0999999999999979</v>
      </c>
      <c r="M44">
        <f t="shared" si="3"/>
        <v>0.84426229508196704</v>
      </c>
      <c r="N44">
        <v>4</v>
      </c>
      <c r="O44">
        <f t="shared" si="16"/>
        <v>3</v>
      </c>
      <c r="P44">
        <f t="shared" si="17"/>
        <v>630</v>
      </c>
      <c r="Q44">
        <f t="shared" si="18"/>
        <v>0.13573770491803294</v>
      </c>
      <c r="R44">
        <f>R43+Q44</f>
        <v>0.28426229508196721</v>
      </c>
    </row>
    <row r="45" spans="1:18" x14ac:dyDescent="0.3">
      <c r="A45" t="s">
        <v>5</v>
      </c>
      <c r="B45" s="1">
        <v>45077</v>
      </c>
      <c r="C45" t="s">
        <v>8</v>
      </c>
      <c r="D45" t="s">
        <v>10</v>
      </c>
      <c r="E45">
        <v>2</v>
      </c>
      <c r="F45">
        <v>15.4</v>
      </c>
      <c r="G45">
        <v>0</v>
      </c>
      <c r="H45">
        <v>0</v>
      </c>
      <c r="I45">
        <f t="shared" si="13"/>
        <v>0</v>
      </c>
      <c r="J45">
        <f t="shared" si="14"/>
        <v>15.4</v>
      </c>
      <c r="K45">
        <f t="shared" si="15"/>
        <v>0.59999999999999964</v>
      </c>
      <c r="L45">
        <f t="shared" si="19"/>
        <v>2.6999999999999975</v>
      </c>
      <c r="M45">
        <f t="shared" si="3"/>
        <v>0.7213114754098362</v>
      </c>
      <c r="N45">
        <v>5</v>
      </c>
      <c r="O45">
        <f t="shared" si="16"/>
        <v>3</v>
      </c>
      <c r="P45">
        <f t="shared" si="17"/>
        <v>630</v>
      </c>
      <c r="Q45">
        <f t="shared" si="18"/>
        <v>0.25868852459016378</v>
      </c>
      <c r="R45">
        <f t="shared" ref="R45:R78" si="20">R44+Q45</f>
        <v>0.54295081967213099</v>
      </c>
    </row>
    <row r="46" spans="1:18" x14ac:dyDescent="0.3">
      <c r="A46" t="s">
        <v>6</v>
      </c>
      <c r="B46" s="1">
        <v>45078</v>
      </c>
      <c r="C46" t="s">
        <v>8</v>
      </c>
      <c r="D46" t="s">
        <v>10</v>
      </c>
      <c r="E46">
        <v>2</v>
      </c>
      <c r="F46">
        <v>14.8</v>
      </c>
      <c r="G46">
        <v>0.25</v>
      </c>
      <c r="H46">
        <v>0</v>
      </c>
      <c r="I46">
        <f t="shared" si="13"/>
        <v>0.25</v>
      </c>
      <c r="J46">
        <f t="shared" si="14"/>
        <v>15.05</v>
      </c>
      <c r="K46">
        <f t="shared" si="15"/>
        <v>0.35000000000000142</v>
      </c>
      <c r="L46">
        <f t="shared" si="19"/>
        <v>3.0499999999999989</v>
      </c>
      <c r="M46">
        <f t="shared" si="3"/>
        <v>0.66393442622950838</v>
      </c>
      <c r="N46">
        <v>6</v>
      </c>
      <c r="O46">
        <f t="shared" si="16"/>
        <v>3.25</v>
      </c>
      <c r="P46">
        <f t="shared" si="17"/>
        <v>682.5</v>
      </c>
      <c r="Q46">
        <f t="shared" si="18"/>
        <v>0.3160655737704916</v>
      </c>
      <c r="R46">
        <f t="shared" si="20"/>
        <v>0.85901639344262259</v>
      </c>
    </row>
    <row r="47" spans="1:18" x14ac:dyDescent="0.3">
      <c r="A47" t="s">
        <v>0</v>
      </c>
      <c r="B47" s="1">
        <v>45079</v>
      </c>
      <c r="C47" t="s">
        <v>8</v>
      </c>
      <c r="D47" t="s">
        <v>10</v>
      </c>
      <c r="E47">
        <v>2</v>
      </c>
      <c r="F47">
        <v>14.7</v>
      </c>
      <c r="G47">
        <v>0.25</v>
      </c>
      <c r="H47">
        <v>0</v>
      </c>
      <c r="I47">
        <f t="shared" si="13"/>
        <v>0.25</v>
      </c>
      <c r="J47">
        <f t="shared" si="14"/>
        <v>14.95</v>
      </c>
      <c r="K47">
        <f t="shared" si="15"/>
        <v>0.34999999999999964</v>
      </c>
      <c r="L47">
        <f t="shared" si="19"/>
        <v>3.3999999999999986</v>
      </c>
      <c r="M47">
        <f t="shared" si="3"/>
        <v>0.64754098360655732</v>
      </c>
      <c r="N47">
        <v>7</v>
      </c>
      <c r="O47">
        <f t="shared" si="16"/>
        <v>3.5</v>
      </c>
      <c r="P47">
        <f t="shared" si="17"/>
        <v>735</v>
      </c>
      <c r="Q47">
        <f t="shared" si="18"/>
        <v>0.33245901639344266</v>
      </c>
      <c r="R47">
        <f t="shared" si="20"/>
        <v>1.1914754098360651</v>
      </c>
    </row>
    <row r="48" spans="1:18" x14ac:dyDescent="0.3">
      <c r="A48" t="s">
        <v>1</v>
      </c>
      <c r="B48" s="1">
        <v>45080</v>
      </c>
      <c r="C48" t="s">
        <v>8</v>
      </c>
      <c r="D48" t="s">
        <v>10</v>
      </c>
      <c r="E48">
        <v>2</v>
      </c>
      <c r="F48">
        <v>14.6</v>
      </c>
      <c r="G48">
        <v>0</v>
      </c>
      <c r="H48">
        <v>0</v>
      </c>
      <c r="I48">
        <f t="shared" si="13"/>
        <v>0</v>
      </c>
      <c r="J48">
        <f t="shared" si="14"/>
        <v>14.6</v>
      </c>
      <c r="K48">
        <f t="shared" si="15"/>
        <v>0.5</v>
      </c>
      <c r="L48">
        <f t="shared" si="19"/>
        <v>3.8999999999999986</v>
      </c>
      <c r="M48">
        <f t="shared" si="3"/>
        <v>0.5901639344262295</v>
      </c>
      <c r="N48">
        <v>8</v>
      </c>
      <c r="O48">
        <f t="shared" si="16"/>
        <v>3.5</v>
      </c>
      <c r="P48">
        <f t="shared" si="17"/>
        <v>735</v>
      </c>
      <c r="Q48">
        <f t="shared" si="18"/>
        <v>0.38983606557377048</v>
      </c>
      <c r="R48">
        <f t="shared" si="20"/>
        <v>1.5813114754098356</v>
      </c>
    </row>
    <row r="49" spans="1:18" x14ac:dyDescent="0.3">
      <c r="A49" t="s">
        <v>2</v>
      </c>
      <c r="B49" s="1">
        <v>45081</v>
      </c>
      <c r="C49" t="s">
        <v>8</v>
      </c>
      <c r="D49" t="s">
        <v>10</v>
      </c>
      <c r="E49">
        <v>2</v>
      </c>
      <c r="F49">
        <v>14.1</v>
      </c>
      <c r="G49">
        <v>0</v>
      </c>
      <c r="H49">
        <v>0</v>
      </c>
      <c r="I49">
        <f t="shared" si="13"/>
        <v>0</v>
      </c>
      <c r="J49">
        <f t="shared" si="14"/>
        <v>14.1</v>
      </c>
      <c r="K49">
        <f t="shared" si="15"/>
        <v>0.5</v>
      </c>
      <c r="L49">
        <f t="shared" si="19"/>
        <v>4.3999999999999986</v>
      </c>
      <c r="M49">
        <f t="shared" si="3"/>
        <v>0.50819672131147542</v>
      </c>
      <c r="N49">
        <v>9</v>
      </c>
      <c r="O49">
        <f t="shared" si="16"/>
        <v>3.5</v>
      </c>
      <c r="P49">
        <f t="shared" si="17"/>
        <v>735</v>
      </c>
      <c r="Q49">
        <f t="shared" si="18"/>
        <v>0.47180327868852456</v>
      </c>
      <c r="R49">
        <f t="shared" si="20"/>
        <v>2.0531147540983601</v>
      </c>
    </row>
    <row r="50" spans="1:18" x14ac:dyDescent="0.3">
      <c r="A50" t="s">
        <v>3</v>
      </c>
      <c r="B50" s="1">
        <v>45082</v>
      </c>
      <c r="C50" t="s">
        <v>8</v>
      </c>
      <c r="D50" t="s">
        <v>10</v>
      </c>
      <c r="E50">
        <v>2</v>
      </c>
      <c r="F50">
        <v>13.6</v>
      </c>
      <c r="G50">
        <v>0.25</v>
      </c>
      <c r="H50">
        <v>0</v>
      </c>
      <c r="I50">
        <f t="shared" si="13"/>
        <v>0.25</v>
      </c>
      <c r="J50">
        <f t="shared" si="14"/>
        <v>13.85</v>
      </c>
      <c r="K50">
        <f t="shared" si="15"/>
        <v>0.34999999999999964</v>
      </c>
      <c r="L50">
        <f t="shared" si="19"/>
        <v>4.7499999999999982</v>
      </c>
      <c r="M50">
        <f t="shared" si="3"/>
        <v>0.46721311475409832</v>
      </c>
      <c r="N50">
        <v>10</v>
      </c>
      <c r="O50">
        <f t="shared" si="16"/>
        <v>3.75</v>
      </c>
      <c r="P50">
        <f t="shared" si="17"/>
        <v>787.5</v>
      </c>
      <c r="Q50">
        <f t="shared" si="18"/>
        <v>0.51278688524590166</v>
      </c>
      <c r="R50">
        <f t="shared" si="20"/>
        <v>2.5659016393442617</v>
      </c>
    </row>
    <row r="51" spans="1:18" x14ac:dyDescent="0.3">
      <c r="A51" t="s">
        <v>4</v>
      </c>
      <c r="B51" s="1">
        <v>45083</v>
      </c>
      <c r="C51" t="s">
        <v>8</v>
      </c>
      <c r="D51" t="s">
        <v>10</v>
      </c>
      <c r="E51">
        <v>2</v>
      </c>
      <c r="F51">
        <v>13.5</v>
      </c>
      <c r="G51">
        <v>0.25</v>
      </c>
      <c r="H51">
        <v>0</v>
      </c>
      <c r="I51">
        <f t="shared" si="13"/>
        <v>0.25</v>
      </c>
      <c r="J51">
        <f t="shared" si="14"/>
        <v>13.75</v>
      </c>
      <c r="K51">
        <f t="shared" si="15"/>
        <v>0.65000000000000036</v>
      </c>
      <c r="L51">
        <f t="shared" si="19"/>
        <v>5.3999999999999986</v>
      </c>
      <c r="M51">
        <f t="shared" si="3"/>
        <v>0.45081967213114754</v>
      </c>
      <c r="N51">
        <v>11</v>
      </c>
      <c r="O51">
        <f t="shared" si="16"/>
        <v>4</v>
      </c>
      <c r="P51">
        <f t="shared" si="17"/>
        <v>840</v>
      </c>
      <c r="Q51">
        <f t="shared" si="18"/>
        <v>0.5291803278688525</v>
      </c>
      <c r="R51">
        <f t="shared" si="20"/>
        <v>3.0950819672131145</v>
      </c>
    </row>
    <row r="52" spans="1:18" x14ac:dyDescent="0.3">
      <c r="A52" t="s">
        <v>5</v>
      </c>
      <c r="B52" s="1">
        <v>45084</v>
      </c>
      <c r="C52" t="s">
        <v>8</v>
      </c>
      <c r="D52" t="s">
        <v>10</v>
      </c>
      <c r="E52">
        <v>2</v>
      </c>
      <c r="F52">
        <v>13.1</v>
      </c>
      <c r="G52">
        <v>0</v>
      </c>
      <c r="H52">
        <v>0</v>
      </c>
      <c r="I52">
        <f t="shared" si="13"/>
        <v>0</v>
      </c>
      <c r="J52">
        <f t="shared" si="14"/>
        <v>13.1</v>
      </c>
      <c r="K52">
        <f t="shared" si="15"/>
        <v>0.5</v>
      </c>
      <c r="L52">
        <f t="shared" si="19"/>
        <v>5.8999999999999986</v>
      </c>
      <c r="M52">
        <f t="shared" si="3"/>
        <v>0.34426229508196715</v>
      </c>
      <c r="N52">
        <v>12</v>
      </c>
      <c r="O52">
        <f t="shared" si="16"/>
        <v>4</v>
      </c>
      <c r="P52">
        <f t="shared" si="17"/>
        <v>840</v>
      </c>
      <c r="Q52">
        <f t="shared" si="18"/>
        <v>0.63573770491803283</v>
      </c>
      <c r="R52">
        <f t="shared" si="20"/>
        <v>3.7308196721311475</v>
      </c>
    </row>
    <row r="53" spans="1:18" x14ac:dyDescent="0.3">
      <c r="A53" t="s">
        <v>6</v>
      </c>
      <c r="B53" s="1">
        <v>45085</v>
      </c>
      <c r="C53" t="s">
        <v>8</v>
      </c>
      <c r="D53" t="s">
        <v>10</v>
      </c>
      <c r="E53">
        <v>2</v>
      </c>
      <c r="F53">
        <v>12.6</v>
      </c>
      <c r="G53">
        <v>0.25</v>
      </c>
      <c r="H53">
        <f t="shared" ref="H53:H59" si="21">13-F53-G53</f>
        <v>0.15000000000000036</v>
      </c>
      <c r="I53">
        <f t="shared" si="13"/>
        <v>0.40000000000000036</v>
      </c>
      <c r="J53">
        <f t="shared" si="14"/>
        <v>13</v>
      </c>
      <c r="K53">
        <f t="shared" si="15"/>
        <v>0.59999999999999964</v>
      </c>
      <c r="L53">
        <f t="shared" si="19"/>
        <v>6.4999999999999982</v>
      </c>
      <c r="M53">
        <f t="shared" si="3"/>
        <v>0.32786885245901642</v>
      </c>
      <c r="N53">
        <v>13</v>
      </c>
      <c r="O53">
        <f t="shared" si="16"/>
        <v>4.25</v>
      </c>
      <c r="P53">
        <f t="shared" si="17"/>
        <v>892.5</v>
      </c>
      <c r="Q53">
        <f t="shared" si="18"/>
        <v>0.65213114754098356</v>
      </c>
      <c r="R53">
        <f t="shared" si="20"/>
        <v>4.3829508196721312</v>
      </c>
    </row>
    <row r="54" spans="1:18" x14ac:dyDescent="0.3">
      <c r="A54" t="s">
        <v>0</v>
      </c>
      <c r="B54" s="1">
        <v>45086</v>
      </c>
      <c r="C54" t="s">
        <v>8</v>
      </c>
      <c r="D54" t="s">
        <v>10</v>
      </c>
      <c r="E54">
        <v>2</v>
      </c>
      <c r="F54">
        <v>12.4</v>
      </c>
      <c r="G54">
        <v>0.25</v>
      </c>
      <c r="H54">
        <f t="shared" si="21"/>
        <v>0.34999999999999964</v>
      </c>
      <c r="I54">
        <f t="shared" si="13"/>
        <v>0.59999999999999964</v>
      </c>
      <c r="J54">
        <f t="shared" si="14"/>
        <v>13</v>
      </c>
      <c r="K54">
        <f t="shared" si="15"/>
        <v>0.80000000000000071</v>
      </c>
      <c r="L54">
        <f t="shared" si="19"/>
        <v>7.2999999999999989</v>
      </c>
      <c r="M54">
        <f t="shared" si="3"/>
        <v>0.32786885245901642</v>
      </c>
      <c r="N54">
        <v>14</v>
      </c>
      <c r="O54">
        <f t="shared" si="16"/>
        <v>4.5</v>
      </c>
      <c r="P54">
        <f t="shared" si="17"/>
        <v>945</v>
      </c>
      <c r="Q54">
        <f t="shared" si="18"/>
        <v>0.65213114754098356</v>
      </c>
      <c r="R54">
        <f t="shared" si="20"/>
        <v>5.0350819672131149</v>
      </c>
    </row>
    <row r="55" spans="1:18" x14ac:dyDescent="0.3">
      <c r="A55" t="s">
        <v>1</v>
      </c>
      <c r="B55" s="1">
        <v>45087</v>
      </c>
      <c r="C55" t="s">
        <v>8</v>
      </c>
      <c r="D55" t="s">
        <v>10</v>
      </c>
      <c r="E55">
        <v>2</v>
      </c>
      <c r="F55">
        <v>12.2</v>
      </c>
      <c r="G55">
        <v>0</v>
      </c>
      <c r="H55">
        <f t="shared" si="21"/>
        <v>0.80000000000000071</v>
      </c>
      <c r="I55">
        <f t="shared" si="13"/>
        <v>0.80000000000000071</v>
      </c>
      <c r="J55">
        <f t="shared" si="14"/>
        <v>13</v>
      </c>
      <c r="K55">
        <f t="shared" si="15"/>
        <v>0.90000000000000036</v>
      </c>
      <c r="L55">
        <f t="shared" si="19"/>
        <v>8.1999999999999993</v>
      </c>
      <c r="M55">
        <f t="shared" si="3"/>
        <v>0.32786885245901642</v>
      </c>
      <c r="N55">
        <v>15</v>
      </c>
      <c r="O55">
        <f t="shared" si="16"/>
        <v>4.5</v>
      </c>
      <c r="P55">
        <f t="shared" si="17"/>
        <v>945</v>
      </c>
      <c r="Q55">
        <f t="shared" si="18"/>
        <v>0.65213114754098356</v>
      </c>
      <c r="R55">
        <f t="shared" si="20"/>
        <v>5.6872131147540985</v>
      </c>
    </row>
    <row r="56" spans="1:18" x14ac:dyDescent="0.3">
      <c r="A56" t="s">
        <v>2</v>
      </c>
      <c r="B56" s="1">
        <v>45088</v>
      </c>
      <c r="C56" t="s">
        <v>8</v>
      </c>
      <c r="D56" t="s">
        <v>10</v>
      </c>
      <c r="E56">
        <v>2</v>
      </c>
      <c r="F56">
        <v>12.1</v>
      </c>
      <c r="G56">
        <v>0</v>
      </c>
      <c r="H56">
        <f t="shared" si="21"/>
        <v>0.90000000000000036</v>
      </c>
      <c r="I56">
        <f t="shared" si="13"/>
        <v>0.90000000000000036</v>
      </c>
      <c r="J56">
        <f t="shared" si="14"/>
        <v>13</v>
      </c>
      <c r="K56">
        <f t="shared" si="15"/>
        <v>1</v>
      </c>
      <c r="L56">
        <f t="shared" si="19"/>
        <v>9.1999999999999993</v>
      </c>
      <c r="M56">
        <f t="shared" si="3"/>
        <v>0.32786885245901642</v>
      </c>
      <c r="N56">
        <v>16</v>
      </c>
      <c r="O56">
        <f t="shared" si="16"/>
        <v>4.5</v>
      </c>
      <c r="P56">
        <f t="shared" si="17"/>
        <v>945</v>
      </c>
      <c r="Q56">
        <f t="shared" si="18"/>
        <v>0.65213114754098356</v>
      </c>
      <c r="R56">
        <f t="shared" si="20"/>
        <v>6.3393442622950822</v>
      </c>
    </row>
    <row r="57" spans="1:18" x14ac:dyDescent="0.3">
      <c r="A57" t="s">
        <v>3</v>
      </c>
      <c r="B57" s="1">
        <v>45089</v>
      </c>
      <c r="C57" t="s">
        <v>8</v>
      </c>
      <c r="D57" t="s">
        <v>10</v>
      </c>
      <c r="E57">
        <v>2</v>
      </c>
      <c r="F57">
        <v>12</v>
      </c>
      <c r="G57">
        <v>0.5</v>
      </c>
      <c r="H57">
        <f t="shared" si="21"/>
        <v>0.5</v>
      </c>
      <c r="I57">
        <f t="shared" si="13"/>
        <v>1</v>
      </c>
      <c r="J57">
        <f t="shared" si="14"/>
        <v>13</v>
      </c>
      <c r="K57">
        <f t="shared" si="15"/>
        <v>0.19999999999999929</v>
      </c>
      <c r="L57">
        <f t="shared" si="19"/>
        <v>9.3999999999999986</v>
      </c>
      <c r="M57">
        <f t="shared" si="3"/>
        <v>0.32786885245901642</v>
      </c>
      <c r="N57">
        <v>17</v>
      </c>
      <c r="O57">
        <f t="shared" si="16"/>
        <v>5</v>
      </c>
      <c r="P57">
        <f t="shared" si="17"/>
        <v>1050</v>
      </c>
      <c r="Q57">
        <f t="shared" si="18"/>
        <v>0.65213114754098356</v>
      </c>
      <c r="R57">
        <f t="shared" si="20"/>
        <v>6.9914754098360659</v>
      </c>
    </row>
    <row r="58" spans="1:18" x14ac:dyDescent="0.3">
      <c r="A58" t="s">
        <v>4</v>
      </c>
      <c r="B58" s="1">
        <v>45090</v>
      </c>
      <c r="C58" t="s">
        <v>8</v>
      </c>
      <c r="D58" t="s">
        <v>10</v>
      </c>
      <c r="E58">
        <v>2</v>
      </c>
      <c r="F58">
        <v>12.8</v>
      </c>
      <c r="G58">
        <v>0</v>
      </c>
      <c r="H58">
        <f t="shared" si="21"/>
        <v>0.19999999999999929</v>
      </c>
      <c r="I58">
        <f t="shared" si="13"/>
        <v>0.19999999999999929</v>
      </c>
      <c r="J58">
        <f t="shared" si="14"/>
        <v>13</v>
      </c>
      <c r="K58">
        <f t="shared" si="15"/>
        <v>0.69999999999999929</v>
      </c>
      <c r="L58">
        <f t="shared" si="19"/>
        <v>10.099999999999998</v>
      </c>
      <c r="M58">
        <f t="shared" si="3"/>
        <v>0.32786885245901642</v>
      </c>
      <c r="N58">
        <v>18</v>
      </c>
      <c r="O58">
        <f t="shared" si="16"/>
        <v>5</v>
      </c>
      <c r="P58">
        <f t="shared" si="17"/>
        <v>1050</v>
      </c>
      <c r="Q58">
        <f t="shared" si="18"/>
        <v>0.65213114754098356</v>
      </c>
      <c r="R58">
        <f t="shared" si="20"/>
        <v>7.6436065573770495</v>
      </c>
    </row>
    <row r="59" spans="1:18" x14ac:dyDescent="0.3">
      <c r="A59" t="s">
        <v>5</v>
      </c>
      <c r="B59" s="1">
        <v>45091</v>
      </c>
      <c r="C59" t="s">
        <v>8</v>
      </c>
      <c r="D59" t="s">
        <v>10</v>
      </c>
      <c r="E59">
        <v>2</v>
      </c>
      <c r="F59">
        <v>12.3</v>
      </c>
      <c r="G59">
        <v>0</v>
      </c>
      <c r="H59">
        <f t="shared" si="21"/>
        <v>0.69999999999999929</v>
      </c>
      <c r="I59">
        <f t="shared" si="13"/>
        <v>0.69999999999999929</v>
      </c>
      <c r="J59">
        <f t="shared" si="14"/>
        <v>13</v>
      </c>
      <c r="K59">
        <f t="shared" si="15"/>
        <v>1.1999999999999993</v>
      </c>
      <c r="L59">
        <f t="shared" si="19"/>
        <v>11.299999999999997</v>
      </c>
      <c r="M59">
        <f t="shared" si="3"/>
        <v>0.32786885245901642</v>
      </c>
      <c r="N59">
        <v>19</v>
      </c>
      <c r="O59">
        <f t="shared" si="16"/>
        <v>5</v>
      </c>
      <c r="P59">
        <f t="shared" si="17"/>
        <v>1050</v>
      </c>
      <c r="Q59">
        <f t="shared" si="18"/>
        <v>0.65213114754098356</v>
      </c>
      <c r="R59">
        <f t="shared" si="20"/>
        <v>8.2957377049180323</v>
      </c>
    </row>
    <row r="60" spans="1:18" x14ac:dyDescent="0.3">
      <c r="A60" t="s">
        <v>6</v>
      </c>
      <c r="B60" s="1">
        <v>45092</v>
      </c>
      <c r="C60" t="s">
        <v>8</v>
      </c>
      <c r="D60" t="s">
        <v>10</v>
      </c>
      <c r="E60">
        <v>2</v>
      </c>
      <c r="F60">
        <v>11.8</v>
      </c>
      <c r="G60">
        <v>0.5</v>
      </c>
      <c r="H60">
        <v>0</v>
      </c>
      <c r="I60">
        <f t="shared" si="13"/>
        <v>0.5</v>
      </c>
      <c r="J60">
        <f t="shared" si="14"/>
        <v>12.3</v>
      </c>
      <c r="K60">
        <f t="shared" si="15"/>
        <v>0.5</v>
      </c>
      <c r="L60">
        <f t="shared" si="19"/>
        <v>11.799999999999997</v>
      </c>
      <c r="M60">
        <f t="shared" si="3"/>
        <v>0.21311475409836078</v>
      </c>
      <c r="N60">
        <v>20</v>
      </c>
      <c r="O60">
        <f t="shared" si="16"/>
        <v>5.5</v>
      </c>
      <c r="P60">
        <f t="shared" si="17"/>
        <v>1155</v>
      </c>
      <c r="Q60">
        <f t="shared" si="18"/>
        <v>0.7668852459016392</v>
      </c>
      <c r="R60">
        <f t="shared" si="20"/>
        <v>9.0626229508196712</v>
      </c>
    </row>
    <row r="61" spans="1:18" x14ac:dyDescent="0.3">
      <c r="A61" t="s">
        <v>0</v>
      </c>
      <c r="B61" s="1">
        <v>45093</v>
      </c>
      <c r="C61" t="s">
        <v>8</v>
      </c>
      <c r="D61" t="s">
        <v>10</v>
      </c>
      <c r="E61">
        <v>2</v>
      </c>
      <c r="F61">
        <v>11.8</v>
      </c>
      <c r="G61">
        <v>0</v>
      </c>
      <c r="H61">
        <f>12.2-F61-G61</f>
        <v>0.39999999999999858</v>
      </c>
      <c r="I61">
        <f t="shared" si="13"/>
        <v>0.39999999999999858</v>
      </c>
      <c r="J61">
        <f t="shared" si="14"/>
        <v>12.2</v>
      </c>
      <c r="K61">
        <f t="shared" si="15"/>
        <v>0.79999999999999893</v>
      </c>
      <c r="L61">
        <f t="shared" si="19"/>
        <v>12.599999999999996</v>
      </c>
      <c r="M61">
        <f t="shared" si="3"/>
        <v>0.19672131147540972</v>
      </c>
      <c r="N61">
        <v>21</v>
      </c>
      <c r="O61">
        <f t="shared" si="16"/>
        <v>5.5</v>
      </c>
      <c r="P61">
        <f t="shared" si="17"/>
        <v>1155</v>
      </c>
      <c r="Q61">
        <f t="shared" si="18"/>
        <v>0.78327868852459026</v>
      </c>
      <c r="R61">
        <f t="shared" si="20"/>
        <v>9.8459016393442607</v>
      </c>
    </row>
    <row r="62" spans="1:18" x14ac:dyDescent="0.3">
      <c r="A62" t="s">
        <v>1</v>
      </c>
      <c r="B62" s="1">
        <v>45094</v>
      </c>
      <c r="C62" t="s">
        <v>8</v>
      </c>
      <c r="D62" t="s">
        <v>10</v>
      </c>
      <c r="E62">
        <v>2</v>
      </c>
      <c r="F62">
        <v>11.4</v>
      </c>
      <c r="G62">
        <v>0</v>
      </c>
      <c r="H62">
        <f>12.2-F62-G62</f>
        <v>0.79999999999999893</v>
      </c>
      <c r="I62">
        <f t="shared" si="13"/>
        <v>0.79999999999999893</v>
      </c>
      <c r="J62">
        <f t="shared" si="14"/>
        <v>12.2</v>
      </c>
      <c r="K62">
        <f t="shared" si="15"/>
        <v>0.69999999999999929</v>
      </c>
      <c r="L62">
        <f t="shared" si="19"/>
        <v>13.299999999999995</v>
      </c>
      <c r="M62">
        <f t="shared" si="3"/>
        <v>0.19672131147540972</v>
      </c>
      <c r="N62">
        <v>22</v>
      </c>
      <c r="O62">
        <f t="shared" si="16"/>
        <v>5.5</v>
      </c>
      <c r="P62">
        <f t="shared" si="17"/>
        <v>1155</v>
      </c>
      <c r="Q62">
        <f t="shared" si="18"/>
        <v>0.78327868852459026</v>
      </c>
      <c r="R62">
        <f t="shared" si="20"/>
        <v>10.62918032786885</v>
      </c>
    </row>
    <row r="63" spans="1:18" x14ac:dyDescent="0.3">
      <c r="A63" t="s">
        <v>2</v>
      </c>
      <c r="B63" s="1">
        <v>45095</v>
      </c>
      <c r="C63" t="s">
        <v>8</v>
      </c>
      <c r="D63" t="s">
        <v>10</v>
      </c>
      <c r="E63">
        <v>2</v>
      </c>
      <c r="F63">
        <v>11.5</v>
      </c>
      <c r="G63">
        <v>0</v>
      </c>
      <c r="H63">
        <f t="shared" ref="H63:H64" si="22">12.2-F63-G63</f>
        <v>0.69999999999999929</v>
      </c>
      <c r="I63">
        <f t="shared" si="13"/>
        <v>0.69999999999999929</v>
      </c>
      <c r="J63">
        <f t="shared" si="14"/>
        <v>12.2</v>
      </c>
      <c r="K63">
        <f t="shared" si="15"/>
        <v>0.89999999999999858</v>
      </c>
      <c r="L63">
        <f t="shared" si="19"/>
        <v>14.199999999999994</v>
      </c>
      <c r="M63">
        <f t="shared" si="3"/>
        <v>0.19672131147540972</v>
      </c>
      <c r="N63">
        <v>23</v>
      </c>
      <c r="O63">
        <f t="shared" si="16"/>
        <v>5.5</v>
      </c>
      <c r="P63">
        <f t="shared" si="17"/>
        <v>1155</v>
      </c>
      <c r="Q63">
        <f t="shared" si="18"/>
        <v>0.78327868852459026</v>
      </c>
      <c r="R63">
        <f t="shared" si="20"/>
        <v>11.41245901639344</v>
      </c>
    </row>
    <row r="64" spans="1:18" x14ac:dyDescent="0.3">
      <c r="A64" t="s">
        <v>3</v>
      </c>
      <c r="B64" s="1">
        <v>45096</v>
      </c>
      <c r="C64" t="s">
        <v>8</v>
      </c>
      <c r="D64" t="s">
        <v>10</v>
      </c>
      <c r="E64">
        <v>2</v>
      </c>
      <c r="F64">
        <v>11.3</v>
      </c>
      <c r="G64">
        <v>0.5</v>
      </c>
      <c r="H64">
        <f t="shared" si="22"/>
        <v>0.39999999999999858</v>
      </c>
      <c r="I64">
        <f t="shared" si="13"/>
        <v>0.89999999999999858</v>
      </c>
      <c r="J64">
        <f t="shared" si="14"/>
        <v>12.2</v>
      </c>
      <c r="K64">
        <f t="shared" si="15"/>
        <v>0.89999999999999858</v>
      </c>
      <c r="L64">
        <f t="shared" si="19"/>
        <v>15.099999999999993</v>
      </c>
      <c r="M64">
        <f t="shared" si="3"/>
        <v>0.19672131147540972</v>
      </c>
      <c r="N64">
        <v>24</v>
      </c>
      <c r="O64">
        <f t="shared" si="16"/>
        <v>6</v>
      </c>
      <c r="P64">
        <f t="shared" si="17"/>
        <v>1260</v>
      </c>
      <c r="Q64">
        <f t="shared" si="18"/>
        <v>0.78327868852459026</v>
      </c>
      <c r="R64">
        <f t="shared" si="20"/>
        <v>12.195737704918029</v>
      </c>
    </row>
    <row r="65" spans="1:18" x14ac:dyDescent="0.3">
      <c r="A65" t="s">
        <v>4</v>
      </c>
      <c r="B65" s="1">
        <v>45097</v>
      </c>
      <c r="C65" t="s">
        <v>8</v>
      </c>
      <c r="D65" t="s">
        <v>10</v>
      </c>
      <c r="E65">
        <v>2</v>
      </c>
      <c r="F65">
        <v>11.3</v>
      </c>
      <c r="G65">
        <v>0</v>
      </c>
      <c r="H65">
        <f>12.1-F65-G65</f>
        <v>0.79999999999999893</v>
      </c>
      <c r="I65">
        <f t="shared" si="13"/>
        <v>0.79999999999999893</v>
      </c>
      <c r="J65">
        <f t="shared" si="14"/>
        <v>12.1</v>
      </c>
      <c r="K65">
        <f t="shared" si="15"/>
        <v>0.79999999999999893</v>
      </c>
      <c r="L65">
        <f>L64+K65</f>
        <v>15.899999999999991</v>
      </c>
      <c r="M65">
        <f t="shared" si="3"/>
        <v>0.18032786885245897</v>
      </c>
      <c r="N65">
        <v>25</v>
      </c>
      <c r="O65">
        <f t="shared" si="16"/>
        <v>6</v>
      </c>
      <c r="P65">
        <f t="shared" si="17"/>
        <v>1260</v>
      </c>
      <c r="Q65">
        <f t="shared" si="18"/>
        <v>0.79967213114754099</v>
      </c>
      <c r="R65">
        <f t="shared" si="20"/>
        <v>12.995409836065569</v>
      </c>
    </row>
    <row r="66" spans="1:18" x14ac:dyDescent="0.3">
      <c r="A66" t="s">
        <v>5</v>
      </c>
      <c r="B66" s="1">
        <v>45098</v>
      </c>
      <c r="C66" t="s">
        <v>8</v>
      </c>
      <c r="D66" t="s">
        <v>10</v>
      </c>
      <c r="E66">
        <v>2</v>
      </c>
      <c r="F66">
        <v>11.3</v>
      </c>
      <c r="G66">
        <v>0</v>
      </c>
      <c r="H66">
        <f t="shared" ref="H66:H68" si="23">12.1-F66-G66</f>
        <v>0.79999999999999893</v>
      </c>
      <c r="I66">
        <f t="shared" si="13"/>
        <v>0.79999999999999893</v>
      </c>
      <c r="J66">
        <f t="shared" si="14"/>
        <v>12.1</v>
      </c>
      <c r="K66">
        <f t="shared" si="15"/>
        <v>0.90000000000000036</v>
      </c>
      <c r="L66">
        <f t="shared" ref="L66:L78" si="24">L65+K66</f>
        <v>16.79999999999999</v>
      </c>
      <c r="M66">
        <f t="shared" si="3"/>
        <v>0.18032786885245897</v>
      </c>
      <c r="N66">
        <v>26</v>
      </c>
      <c r="O66">
        <f t="shared" si="16"/>
        <v>6</v>
      </c>
      <c r="P66">
        <f t="shared" si="17"/>
        <v>1260</v>
      </c>
      <c r="Q66">
        <f t="shared" si="18"/>
        <v>0.79967213114754099</v>
      </c>
      <c r="R66">
        <f t="shared" si="20"/>
        <v>13.795081967213111</v>
      </c>
    </row>
    <row r="67" spans="1:18" x14ac:dyDescent="0.3">
      <c r="A67" t="s">
        <v>6</v>
      </c>
      <c r="B67" s="1">
        <v>45099</v>
      </c>
      <c r="C67" t="s">
        <v>8</v>
      </c>
      <c r="D67" t="s">
        <v>10</v>
      </c>
      <c r="E67">
        <v>2</v>
      </c>
      <c r="F67">
        <v>11.2</v>
      </c>
      <c r="G67">
        <v>0.5</v>
      </c>
      <c r="H67">
        <f t="shared" si="23"/>
        <v>0.40000000000000036</v>
      </c>
      <c r="I67">
        <f t="shared" si="13"/>
        <v>0.90000000000000036</v>
      </c>
      <c r="J67">
        <f t="shared" si="14"/>
        <v>12.1</v>
      </c>
      <c r="K67">
        <f t="shared" si="15"/>
        <v>0.79999999999999893</v>
      </c>
      <c r="L67">
        <f t="shared" si="24"/>
        <v>17.599999999999987</v>
      </c>
      <c r="M67">
        <f t="shared" ref="M67:M130" si="25">(J67-11)/6.1</f>
        <v>0.18032786885245897</v>
      </c>
      <c r="N67">
        <v>27</v>
      </c>
      <c r="O67">
        <f t="shared" si="16"/>
        <v>6.5</v>
      </c>
      <c r="P67">
        <f t="shared" si="17"/>
        <v>1365</v>
      </c>
      <c r="Q67">
        <f t="shared" si="18"/>
        <v>0.79967213114754099</v>
      </c>
      <c r="R67">
        <f t="shared" si="20"/>
        <v>14.594754098360653</v>
      </c>
    </row>
    <row r="68" spans="1:18" x14ac:dyDescent="0.3">
      <c r="A68" t="s">
        <v>0</v>
      </c>
      <c r="B68" s="1">
        <v>45100</v>
      </c>
      <c r="C68" t="s">
        <v>8</v>
      </c>
      <c r="D68" t="s">
        <v>10</v>
      </c>
      <c r="E68">
        <v>2</v>
      </c>
      <c r="F68">
        <v>11.3</v>
      </c>
      <c r="G68">
        <v>0</v>
      </c>
      <c r="H68">
        <f t="shared" si="23"/>
        <v>0.79999999999999893</v>
      </c>
      <c r="I68">
        <f t="shared" si="13"/>
        <v>0.79999999999999893</v>
      </c>
      <c r="J68">
        <f t="shared" si="14"/>
        <v>12.1</v>
      </c>
      <c r="K68">
        <f t="shared" si="15"/>
        <v>0.59999999999999964</v>
      </c>
      <c r="L68">
        <f t="shared" si="24"/>
        <v>18.199999999999989</v>
      </c>
      <c r="M68">
        <f t="shared" si="25"/>
        <v>0.18032786885245897</v>
      </c>
      <c r="N68">
        <v>28</v>
      </c>
      <c r="O68">
        <f t="shared" si="16"/>
        <v>6.5</v>
      </c>
      <c r="P68">
        <f t="shared" si="17"/>
        <v>1365</v>
      </c>
      <c r="Q68">
        <f t="shared" si="18"/>
        <v>0.79967213114754099</v>
      </c>
      <c r="R68">
        <f t="shared" si="20"/>
        <v>15.394426229508195</v>
      </c>
    </row>
    <row r="69" spans="1:18" x14ac:dyDescent="0.3">
      <c r="A69" t="s">
        <v>1</v>
      </c>
      <c r="B69" s="1">
        <v>45101</v>
      </c>
      <c r="C69" t="s">
        <v>8</v>
      </c>
      <c r="D69" t="s">
        <v>10</v>
      </c>
      <c r="E69">
        <v>2</v>
      </c>
      <c r="F69">
        <v>11.5</v>
      </c>
      <c r="G69">
        <v>0</v>
      </c>
      <c r="H69">
        <v>4.7</v>
      </c>
      <c r="I69">
        <f t="shared" si="13"/>
        <v>4.7</v>
      </c>
      <c r="J69">
        <f t="shared" si="14"/>
        <v>16.2</v>
      </c>
      <c r="K69">
        <f t="shared" si="15"/>
        <v>1.0999999999999996</v>
      </c>
      <c r="L69">
        <f t="shared" si="24"/>
        <v>19.29999999999999</v>
      </c>
      <c r="M69">
        <f t="shared" si="25"/>
        <v>0.85245901639344257</v>
      </c>
      <c r="N69">
        <v>29</v>
      </c>
      <c r="O69">
        <f t="shared" si="16"/>
        <v>6.5</v>
      </c>
      <c r="P69">
        <f t="shared" si="17"/>
        <v>1365</v>
      </c>
      <c r="Q69">
        <f t="shared" si="18"/>
        <v>0.12754098360655741</v>
      </c>
      <c r="R69">
        <f>R68+Q69</f>
        <v>15.521967213114753</v>
      </c>
    </row>
    <row r="70" spans="1:18" x14ac:dyDescent="0.3">
      <c r="A70" t="s">
        <v>2</v>
      </c>
      <c r="B70" s="1">
        <v>45102</v>
      </c>
      <c r="C70" t="s">
        <v>8</v>
      </c>
      <c r="D70" t="s">
        <v>10</v>
      </c>
      <c r="E70">
        <v>2</v>
      </c>
      <c r="F70">
        <v>15.1</v>
      </c>
      <c r="G70">
        <v>0</v>
      </c>
      <c r="H70">
        <v>0</v>
      </c>
      <c r="I70">
        <f t="shared" si="13"/>
        <v>0</v>
      </c>
      <c r="J70">
        <f t="shared" si="14"/>
        <v>15.1</v>
      </c>
      <c r="K70">
        <f t="shared" si="15"/>
        <v>1.1999999999999993</v>
      </c>
      <c r="L70">
        <f t="shared" si="24"/>
        <v>20.499999999999989</v>
      </c>
      <c r="M70">
        <f t="shared" si="25"/>
        <v>0.67213114754098358</v>
      </c>
      <c r="N70">
        <v>30</v>
      </c>
      <c r="O70">
        <f t="shared" si="16"/>
        <v>6.5</v>
      </c>
      <c r="P70">
        <f t="shared" si="17"/>
        <v>1365</v>
      </c>
      <c r="Q70">
        <f t="shared" si="18"/>
        <v>0.30786885245901641</v>
      </c>
      <c r="R70">
        <f t="shared" si="20"/>
        <v>15.829836065573769</v>
      </c>
    </row>
    <row r="71" spans="1:18" x14ac:dyDescent="0.3">
      <c r="A71" t="s">
        <v>3</v>
      </c>
      <c r="B71" s="1">
        <v>45103</v>
      </c>
      <c r="C71" t="s">
        <v>8</v>
      </c>
      <c r="D71" t="s">
        <v>10</v>
      </c>
      <c r="E71">
        <v>2</v>
      </c>
      <c r="F71">
        <v>13.9</v>
      </c>
      <c r="G71">
        <v>0.5</v>
      </c>
      <c r="H71">
        <v>0</v>
      </c>
      <c r="I71">
        <f t="shared" si="13"/>
        <v>0.5</v>
      </c>
      <c r="J71">
        <f t="shared" si="14"/>
        <v>14.4</v>
      </c>
      <c r="K71">
        <f t="shared" si="15"/>
        <v>0.70000000000000107</v>
      </c>
      <c r="L71">
        <f t="shared" si="24"/>
        <v>21.199999999999989</v>
      </c>
      <c r="M71">
        <f t="shared" si="25"/>
        <v>0.55737704918032793</v>
      </c>
      <c r="N71">
        <v>31</v>
      </c>
      <c r="O71">
        <f t="shared" si="16"/>
        <v>7</v>
      </c>
      <c r="P71">
        <f t="shared" si="17"/>
        <v>1470</v>
      </c>
      <c r="Q71">
        <f t="shared" si="18"/>
        <v>0.42262295081967205</v>
      </c>
      <c r="R71">
        <f t="shared" si="20"/>
        <v>16.252459016393441</v>
      </c>
    </row>
    <row r="72" spans="1:18" x14ac:dyDescent="0.3">
      <c r="A72" t="s">
        <v>4</v>
      </c>
      <c r="B72" s="1">
        <v>45104</v>
      </c>
      <c r="C72" t="s">
        <v>8</v>
      </c>
      <c r="D72" t="s">
        <v>10</v>
      </c>
      <c r="E72">
        <v>2</v>
      </c>
      <c r="F72">
        <v>13.7</v>
      </c>
      <c r="G72">
        <v>0</v>
      </c>
      <c r="H72">
        <v>0</v>
      </c>
      <c r="I72">
        <f t="shared" si="13"/>
        <v>0</v>
      </c>
      <c r="J72">
        <f t="shared" si="14"/>
        <v>13.7</v>
      </c>
      <c r="K72">
        <f t="shared" si="15"/>
        <v>1</v>
      </c>
      <c r="L72">
        <f t="shared" si="24"/>
        <v>22.199999999999989</v>
      </c>
      <c r="M72">
        <f t="shared" si="25"/>
        <v>0.44262295081967207</v>
      </c>
      <c r="N72">
        <v>32</v>
      </c>
      <c r="O72">
        <f t="shared" si="16"/>
        <v>7</v>
      </c>
      <c r="P72">
        <f t="shared" si="17"/>
        <v>1470</v>
      </c>
      <c r="Q72">
        <f t="shared" si="18"/>
        <v>0.53737704918032791</v>
      </c>
      <c r="R72">
        <f t="shared" si="20"/>
        <v>16.78983606557377</v>
      </c>
    </row>
    <row r="73" spans="1:18" x14ac:dyDescent="0.3">
      <c r="A73" t="s">
        <v>5</v>
      </c>
      <c r="B73" s="1">
        <v>45105</v>
      </c>
      <c r="C73" t="s">
        <v>8</v>
      </c>
      <c r="D73" t="s">
        <v>10</v>
      </c>
      <c r="E73">
        <v>2</v>
      </c>
      <c r="F73">
        <v>12.7</v>
      </c>
      <c r="G73">
        <v>0</v>
      </c>
      <c r="H73">
        <v>0</v>
      </c>
      <c r="I73">
        <f t="shared" si="13"/>
        <v>0</v>
      </c>
      <c r="J73">
        <f t="shared" si="14"/>
        <v>12.7</v>
      </c>
      <c r="K73">
        <f t="shared" si="15"/>
        <v>0.79999999999999893</v>
      </c>
      <c r="L73">
        <f t="shared" si="24"/>
        <v>22.999999999999986</v>
      </c>
      <c r="M73">
        <f t="shared" si="25"/>
        <v>0.27868852459016386</v>
      </c>
      <c r="N73">
        <v>33</v>
      </c>
      <c r="O73">
        <f t="shared" si="16"/>
        <v>7</v>
      </c>
      <c r="P73">
        <f t="shared" si="17"/>
        <v>1470</v>
      </c>
      <c r="Q73">
        <f t="shared" si="18"/>
        <v>0.70131147540983618</v>
      </c>
      <c r="R73">
        <f t="shared" si="20"/>
        <v>17.491147540983604</v>
      </c>
    </row>
    <row r="74" spans="1:18" x14ac:dyDescent="0.3">
      <c r="A74" t="s">
        <v>6</v>
      </c>
      <c r="B74" s="1">
        <v>45106</v>
      </c>
      <c r="C74" t="s">
        <v>8</v>
      </c>
      <c r="D74" t="s">
        <v>10</v>
      </c>
      <c r="E74">
        <v>2</v>
      </c>
      <c r="F74">
        <v>11.9</v>
      </c>
      <c r="G74">
        <v>0.5</v>
      </c>
      <c r="H74">
        <v>0</v>
      </c>
      <c r="I74">
        <f t="shared" si="13"/>
        <v>0.5</v>
      </c>
      <c r="J74">
        <f t="shared" si="14"/>
        <v>12.4</v>
      </c>
      <c r="K74">
        <f t="shared" si="15"/>
        <v>0.90000000000000036</v>
      </c>
      <c r="L74">
        <f t="shared" si="24"/>
        <v>23.899999999999984</v>
      </c>
      <c r="M74">
        <f t="shared" si="25"/>
        <v>0.22950819672131154</v>
      </c>
      <c r="N74">
        <v>34</v>
      </c>
      <c r="O74">
        <f t="shared" si="16"/>
        <v>7.5</v>
      </c>
      <c r="P74">
        <f t="shared" si="17"/>
        <v>1575</v>
      </c>
      <c r="Q74">
        <f t="shared" si="18"/>
        <v>0.75049180327868847</v>
      </c>
      <c r="R74">
        <f t="shared" si="20"/>
        <v>18.241639344262293</v>
      </c>
    </row>
    <row r="75" spans="1:18" x14ac:dyDescent="0.3">
      <c r="A75" t="s">
        <v>0</v>
      </c>
      <c r="B75" s="1">
        <v>45107</v>
      </c>
      <c r="C75" t="s">
        <v>8</v>
      </c>
      <c r="D75" t="s">
        <v>10</v>
      </c>
      <c r="E75">
        <v>2</v>
      </c>
      <c r="F75">
        <v>11.5</v>
      </c>
      <c r="G75">
        <v>0</v>
      </c>
      <c r="H75">
        <f t="shared" ref="H75:H79" si="26">12.1-F75-G75</f>
        <v>0.59999999999999964</v>
      </c>
      <c r="I75">
        <f t="shared" si="13"/>
        <v>0.59999999999999964</v>
      </c>
      <c r="J75">
        <f t="shared" si="14"/>
        <v>12.1</v>
      </c>
      <c r="K75">
        <f t="shared" si="15"/>
        <v>0.40000000000000036</v>
      </c>
      <c r="L75">
        <f t="shared" si="24"/>
        <v>24.299999999999983</v>
      </c>
      <c r="M75">
        <f t="shared" si="25"/>
        <v>0.18032786885245897</v>
      </c>
      <c r="N75">
        <v>35</v>
      </c>
      <c r="O75">
        <f t="shared" si="16"/>
        <v>7.5</v>
      </c>
      <c r="P75">
        <f t="shared" si="17"/>
        <v>1575</v>
      </c>
      <c r="Q75">
        <f t="shared" si="18"/>
        <v>0.79967213114754099</v>
      </c>
      <c r="R75">
        <f t="shared" si="20"/>
        <v>19.041311475409834</v>
      </c>
    </row>
    <row r="76" spans="1:18" x14ac:dyDescent="0.3">
      <c r="A76" t="s">
        <v>1</v>
      </c>
      <c r="B76" s="1">
        <v>45108</v>
      </c>
      <c r="C76" t="s">
        <v>8</v>
      </c>
      <c r="D76" t="s">
        <v>10</v>
      </c>
      <c r="E76">
        <v>2</v>
      </c>
      <c r="F76">
        <v>11.7</v>
      </c>
      <c r="G76">
        <v>0</v>
      </c>
      <c r="H76">
        <f t="shared" si="26"/>
        <v>0.40000000000000036</v>
      </c>
      <c r="I76">
        <f t="shared" si="13"/>
        <v>0.40000000000000036</v>
      </c>
      <c r="J76">
        <f t="shared" si="14"/>
        <v>12.1</v>
      </c>
      <c r="K76">
        <f t="shared" si="15"/>
        <v>0.5</v>
      </c>
      <c r="L76">
        <f t="shared" si="24"/>
        <v>24.799999999999983</v>
      </c>
      <c r="M76">
        <f t="shared" si="25"/>
        <v>0.18032786885245897</v>
      </c>
      <c r="N76">
        <v>36</v>
      </c>
      <c r="O76">
        <f t="shared" si="16"/>
        <v>7.5</v>
      </c>
      <c r="P76">
        <f t="shared" si="17"/>
        <v>1575</v>
      </c>
      <c r="Q76">
        <f t="shared" si="18"/>
        <v>0.79967213114754099</v>
      </c>
      <c r="R76">
        <f t="shared" si="20"/>
        <v>19.840983606557376</v>
      </c>
    </row>
    <row r="77" spans="1:18" x14ac:dyDescent="0.3">
      <c r="A77" t="s">
        <v>2</v>
      </c>
      <c r="B77" s="1">
        <v>45109</v>
      </c>
      <c r="C77" t="s">
        <v>8</v>
      </c>
      <c r="D77" t="s">
        <v>10</v>
      </c>
      <c r="E77">
        <v>2</v>
      </c>
      <c r="F77">
        <v>11.6</v>
      </c>
      <c r="G77">
        <v>0</v>
      </c>
      <c r="H77">
        <f t="shared" si="26"/>
        <v>0.5</v>
      </c>
      <c r="I77">
        <f t="shared" si="13"/>
        <v>0.5</v>
      </c>
      <c r="J77">
        <f t="shared" si="14"/>
        <v>12.1</v>
      </c>
      <c r="K77">
        <f t="shared" si="15"/>
        <v>0.59999999999999964</v>
      </c>
      <c r="L77">
        <f t="shared" si="24"/>
        <v>25.399999999999984</v>
      </c>
      <c r="M77">
        <f t="shared" si="25"/>
        <v>0.18032786885245897</v>
      </c>
      <c r="N77">
        <v>37</v>
      </c>
      <c r="O77">
        <f t="shared" si="16"/>
        <v>7.5</v>
      </c>
      <c r="P77">
        <f t="shared" si="17"/>
        <v>1575</v>
      </c>
      <c r="Q77">
        <f t="shared" si="18"/>
        <v>0.79967213114754099</v>
      </c>
      <c r="R77">
        <f t="shared" si="20"/>
        <v>20.640655737704918</v>
      </c>
    </row>
    <row r="78" spans="1:18" x14ac:dyDescent="0.3">
      <c r="A78" t="s">
        <v>3</v>
      </c>
      <c r="B78" s="1">
        <v>45110</v>
      </c>
      <c r="C78" t="s">
        <v>8</v>
      </c>
      <c r="D78" t="s">
        <v>10</v>
      </c>
      <c r="E78">
        <v>2</v>
      </c>
      <c r="F78">
        <v>11.5</v>
      </c>
      <c r="G78">
        <v>0</v>
      </c>
      <c r="H78">
        <f t="shared" si="26"/>
        <v>0.59999999999999964</v>
      </c>
      <c r="I78">
        <f t="shared" si="13"/>
        <v>0.59999999999999964</v>
      </c>
      <c r="J78">
        <f t="shared" si="14"/>
        <v>12.1</v>
      </c>
      <c r="K78">
        <f t="shared" si="15"/>
        <v>0.79999999999999893</v>
      </c>
      <c r="L78">
        <f t="shared" si="24"/>
        <v>26.199999999999982</v>
      </c>
      <c r="M78">
        <f t="shared" si="25"/>
        <v>0.18032786885245897</v>
      </c>
      <c r="N78">
        <v>38</v>
      </c>
      <c r="O78">
        <f t="shared" si="16"/>
        <v>7.5</v>
      </c>
      <c r="P78">
        <f t="shared" si="17"/>
        <v>1575</v>
      </c>
      <c r="Q78">
        <f t="shared" si="18"/>
        <v>0.79967213114754099</v>
      </c>
      <c r="R78">
        <f t="shared" si="20"/>
        <v>21.44032786885246</v>
      </c>
    </row>
    <row r="79" spans="1:18" x14ac:dyDescent="0.3">
      <c r="A79" t="s">
        <v>4</v>
      </c>
      <c r="B79" s="1">
        <v>45111</v>
      </c>
      <c r="C79" t="s">
        <v>8</v>
      </c>
      <c r="D79" t="s">
        <v>10</v>
      </c>
      <c r="E79">
        <v>2</v>
      </c>
      <c r="F79">
        <v>11.3</v>
      </c>
      <c r="G79">
        <v>0</v>
      </c>
      <c r="H79">
        <f t="shared" si="26"/>
        <v>0.79999999999999893</v>
      </c>
      <c r="I79">
        <f t="shared" ref="I79" si="27">H79+G79</f>
        <v>0.79999999999999893</v>
      </c>
      <c r="J79">
        <f t="shared" ref="J79" si="28">I79+F79</f>
        <v>12.1</v>
      </c>
    </row>
    <row r="80" spans="1:18" x14ac:dyDescent="0.3">
      <c r="A80" t="s">
        <v>1</v>
      </c>
      <c r="B80" s="1">
        <v>45073</v>
      </c>
      <c r="C80" t="s">
        <v>8</v>
      </c>
      <c r="D80" t="s">
        <v>10</v>
      </c>
      <c r="E80">
        <v>3</v>
      </c>
      <c r="F80">
        <v>17</v>
      </c>
      <c r="G80">
        <v>0</v>
      </c>
      <c r="H80">
        <v>0</v>
      </c>
      <c r="I80">
        <f>H80+G80</f>
        <v>0</v>
      </c>
      <c r="J80">
        <f>I80+F80</f>
        <v>17</v>
      </c>
      <c r="K80">
        <f>J80-F81</f>
        <v>0.10000000000000142</v>
      </c>
      <c r="M80">
        <f t="shared" si="25"/>
        <v>0.98360655737704927</v>
      </c>
      <c r="N80">
        <v>1</v>
      </c>
      <c r="O80">
        <v>2.5</v>
      </c>
      <c r="P80">
        <f>O80*210</f>
        <v>525</v>
      </c>
    </row>
    <row r="81" spans="1:18" x14ac:dyDescent="0.3">
      <c r="A81" t="s">
        <v>2</v>
      </c>
      <c r="B81" s="1">
        <v>45074</v>
      </c>
      <c r="C81" t="s">
        <v>8</v>
      </c>
      <c r="D81" t="s">
        <v>10</v>
      </c>
      <c r="E81">
        <v>3</v>
      </c>
      <c r="F81">
        <v>16.899999999999999</v>
      </c>
      <c r="G81">
        <v>0</v>
      </c>
      <c r="H81">
        <v>0</v>
      </c>
      <c r="I81">
        <f t="shared" ref="I81:I118" si="29">H81+G81</f>
        <v>0</v>
      </c>
      <c r="J81">
        <f t="shared" ref="J81:J120" si="30">I81+F81</f>
        <v>16.899999999999999</v>
      </c>
      <c r="K81">
        <f t="shared" ref="K81:K117" si="31">J81-F82</f>
        <v>0.29999999999999716</v>
      </c>
      <c r="L81">
        <f>K80+K81</f>
        <v>0.39999999999999858</v>
      </c>
      <c r="M81">
        <f t="shared" si="25"/>
        <v>0.96721311475409821</v>
      </c>
      <c r="N81">
        <v>2</v>
      </c>
      <c r="O81">
        <f t="shared" ref="O81:O120" si="32">O80+G81</f>
        <v>2.5</v>
      </c>
      <c r="P81">
        <f t="shared" ref="P81:P120" si="33">O81*210</f>
        <v>525</v>
      </c>
      <c r="Q81">
        <f t="shared" ref="Q81:Q120" si="34">0.98-M81</f>
        <v>1.2786885245901769E-2</v>
      </c>
    </row>
    <row r="82" spans="1:18" x14ac:dyDescent="0.3">
      <c r="A82" t="s">
        <v>3</v>
      </c>
      <c r="B82" s="1">
        <v>45075</v>
      </c>
      <c r="C82" t="s">
        <v>8</v>
      </c>
      <c r="D82" t="s">
        <v>10</v>
      </c>
      <c r="E82">
        <v>3</v>
      </c>
      <c r="F82">
        <v>16.600000000000001</v>
      </c>
      <c r="G82">
        <v>0.25</v>
      </c>
      <c r="H82">
        <v>0</v>
      </c>
      <c r="I82">
        <f t="shared" si="29"/>
        <v>0.25</v>
      </c>
      <c r="J82">
        <f t="shared" si="30"/>
        <v>16.850000000000001</v>
      </c>
      <c r="K82">
        <f t="shared" si="31"/>
        <v>0.55000000000000071</v>
      </c>
      <c r="L82">
        <f>L81+K82</f>
        <v>0.94999999999999929</v>
      </c>
      <c r="M82">
        <f t="shared" si="25"/>
        <v>0.95901639344262324</v>
      </c>
      <c r="N82">
        <v>3</v>
      </c>
      <c r="O82">
        <f t="shared" si="32"/>
        <v>2.75</v>
      </c>
      <c r="P82">
        <f t="shared" si="33"/>
        <v>577.5</v>
      </c>
      <c r="Q82">
        <f t="shared" si="34"/>
        <v>2.0983606557376744E-2</v>
      </c>
      <c r="R82">
        <f>Q81+Q82</f>
        <v>3.3770491803278513E-2</v>
      </c>
    </row>
    <row r="83" spans="1:18" x14ac:dyDescent="0.3">
      <c r="A83" t="s">
        <v>4</v>
      </c>
      <c r="B83" s="1">
        <v>45076</v>
      </c>
      <c r="C83" t="s">
        <v>8</v>
      </c>
      <c r="D83" t="s">
        <v>10</v>
      </c>
      <c r="E83">
        <v>3</v>
      </c>
      <c r="F83">
        <v>16.3</v>
      </c>
      <c r="G83">
        <v>0.25</v>
      </c>
      <c r="H83">
        <v>0</v>
      </c>
      <c r="I83">
        <f t="shared" si="29"/>
        <v>0.25</v>
      </c>
      <c r="J83">
        <f t="shared" si="30"/>
        <v>16.55</v>
      </c>
      <c r="K83">
        <f t="shared" si="31"/>
        <v>0.65000000000000036</v>
      </c>
      <c r="L83">
        <f t="shared" ref="L83:L103" si="35">L82+K83</f>
        <v>1.5999999999999996</v>
      </c>
      <c r="M83">
        <f t="shared" si="25"/>
        <v>0.90983606557377061</v>
      </c>
      <c r="N83">
        <v>4</v>
      </c>
      <c r="O83">
        <f t="shared" si="32"/>
        <v>3</v>
      </c>
      <c r="P83">
        <f t="shared" si="33"/>
        <v>630</v>
      </c>
      <c r="Q83">
        <f t="shared" si="34"/>
        <v>7.0163934426229368E-2</v>
      </c>
      <c r="R83">
        <f>R82+Q83</f>
        <v>0.10393442622950788</v>
      </c>
    </row>
    <row r="84" spans="1:18" x14ac:dyDescent="0.3">
      <c r="A84" t="s">
        <v>5</v>
      </c>
      <c r="B84" s="1">
        <v>45077</v>
      </c>
      <c r="C84" t="s">
        <v>8</v>
      </c>
      <c r="D84" t="s">
        <v>10</v>
      </c>
      <c r="E84">
        <v>3</v>
      </c>
      <c r="F84">
        <v>15.9</v>
      </c>
      <c r="G84">
        <v>0</v>
      </c>
      <c r="H84">
        <v>0</v>
      </c>
      <c r="I84">
        <f t="shared" si="29"/>
        <v>0</v>
      </c>
      <c r="J84">
        <f t="shared" si="30"/>
        <v>15.9</v>
      </c>
      <c r="K84">
        <f t="shared" si="31"/>
        <v>0.40000000000000036</v>
      </c>
      <c r="L84">
        <f t="shared" si="35"/>
        <v>2</v>
      </c>
      <c r="M84">
        <f t="shared" si="25"/>
        <v>0.80327868852459028</v>
      </c>
      <c r="N84">
        <v>5</v>
      </c>
      <c r="O84">
        <f t="shared" si="32"/>
        <v>3</v>
      </c>
      <c r="P84">
        <f t="shared" si="33"/>
        <v>630</v>
      </c>
      <c r="Q84">
        <f t="shared" si="34"/>
        <v>0.1767213114754097</v>
      </c>
      <c r="R84">
        <f t="shared" ref="R84:R107" si="36">R83+Q84</f>
        <v>0.28065573770491758</v>
      </c>
    </row>
    <row r="85" spans="1:18" x14ac:dyDescent="0.3">
      <c r="A85" t="s">
        <v>6</v>
      </c>
      <c r="B85" s="1">
        <v>45078</v>
      </c>
      <c r="C85" t="s">
        <v>8</v>
      </c>
      <c r="D85" t="s">
        <v>10</v>
      </c>
      <c r="E85">
        <v>3</v>
      </c>
      <c r="F85">
        <v>15.5</v>
      </c>
      <c r="G85">
        <v>0.25</v>
      </c>
      <c r="H85">
        <v>0</v>
      </c>
      <c r="I85">
        <f t="shared" si="29"/>
        <v>0.25</v>
      </c>
      <c r="J85">
        <f t="shared" si="30"/>
        <v>15.75</v>
      </c>
      <c r="K85">
        <f t="shared" si="31"/>
        <v>0.34999999999999964</v>
      </c>
      <c r="L85">
        <f t="shared" si="35"/>
        <v>2.3499999999999996</v>
      </c>
      <c r="M85">
        <f t="shared" si="25"/>
        <v>0.77868852459016402</v>
      </c>
      <c r="N85">
        <v>6</v>
      </c>
      <c r="O85">
        <f t="shared" si="32"/>
        <v>3.25</v>
      </c>
      <c r="P85">
        <f t="shared" si="33"/>
        <v>682.5</v>
      </c>
      <c r="Q85">
        <f t="shared" si="34"/>
        <v>0.20131147540983596</v>
      </c>
      <c r="R85">
        <f t="shared" si="36"/>
        <v>0.48196721311475355</v>
      </c>
    </row>
    <row r="86" spans="1:18" x14ac:dyDescent="0.3">
      <c r="A86" t="s">
        <v>0</v>
      </c>
      <c r="B86" s="1">
        <v>45079</v>
      </c>
      <c r="C86" t="s">
        <v>8</v>
      </c>
      <c r="D86" t="s">
        <v>10</v>
      </c>
      <c r="E86">
        <v>3</v>
      </c>
      <c r="F86">
        <v>15.4</v>
      </c>
      <c r="G86">
        <v>0.25</v>
      </c>
      <c r="H86">
        <v>0</v>
      </c>
      <c r="I86">
        <f t="shared" si="29"/>
        <v>0.25</v>
      </c>
      <c r="J86">
        <f t="shared" si="30"/>
        <v>15.65</v>
      </c>
      <c r="K86">
        <f t="shared" si="31"/>
        <v>0.15000000000000036</v>
      </c>
      <c r="L86">
        <f t="shared" si="35"/>
        <v>2.5</v>
      </c>
      <c r="M86">
        <f t="shared" si="25"/>
        <v>0.76229508196721318</v>
      </c>
      <c r="N86">
        <v>7</v>
      </c>
      <c r="O86">
        <f t="shared" si="32"/>
        <v>3.5</v>
      </c>
      <c r="P86">
        <f t="shared" si="33"/>
        <v>735</v>
      </c>
      <c r="Q86">
        <f t="shared" si="34"/>
        <v>0.2177049180327868</v>
      </c>
      <c r="R86">
        <f t="shared" si="36"/>
        <v>0.69967213114754034</v>
      </c>
    </row>
    <row r="87" spans="1:18" x14ac:dyDescent="0.3">
      <c r="A87" t="s">
        <v>1</v>
      </c>
      <c r="B87" s="1">
        <v>45080</v>
      </c>
      <c r="C87" t="s">
        <v>8</v>
      </c>
      <c r="D87" t="s">
        <v>10</v>
      </c>
      <c r="E87">
        <v>3</v>
      </c>
      <c r="F87">
        <v>15.5</v>
      </c>
      <c r="G87">
        <v>0</v>
      </c>
      <c r="H87">
        <v>0</v>
      </c>
      <c r="I87">
        <f t="shared" si="29"/>
        <v>0</v>
      </c>
      <c r="J87">
        <f t="shared" si="30"/>
        <v>15.5</v>
      </c>
      <c r="K87">
        <f t="shared" si="31"/>
        <v>0.5</v>
      </c>
      <c r="L87">
        <f t="shared" si="35"/>
        <v>3</v>
      </c>
      <c r="M87">
        <f t="shared" si="25"/>
        <v>0.73770491803278693</v>
      </c>
      <c r="N87">
        <v>8</v>
      </c>
      <c r="O87">
        <f t="shared" si="32"/>
        <v>3.5</v>
      </c>
      <c r="P87">
        <f t="shared" si="33"/>
        <v>735</v>
      </c>
      <c r="Q87">
        <f t="shared" si="34"/>
        <v>0.24229508196721306</v>
      </c>
      <c r="R87">
        <f t="shared" si="36"/>
        <v>0.9419672131147534</v>
      </c>
    </row>
    <row r="88" spans="1:18" x14ac:dyDescent="0.3">
      <c r="A88" t="s">
        <v>2</v>
      </c>
      <c r="B88" s="1">
        <v>45081</v>
      </c>
      <c r="C88" t="s">
        <v>8</v>
      </c>
      <c r="D88" t="s">
        <v>10</v>
      </c>
      <c r="E88">
        <v>3</v>
      </c>
      <c r="F88">
        <v>15</v>
      </c>
      <c r="G88">
        <v>0</v>
      </c>
      <c r="H88">
        <v>0</v>
      </c>
      <c r="I88">
        <f t="shared" si="29"/>
        <v>0</v>
      </c>
      <c r="J88">
        <f t="shared" si="30"/>
        <v>15</v>
      </c>
      <c r="K88">
        <f t="shared" si="31"/>
        <v>0.40000000000000036</v>
      </c>
      <c r="L88">
        <f t="shared" si="35"/>
        <v>3.4000000000000004</v>
      </c>
      <c r="M88">
        <f t="shared" si="25"/>
        <v>0.65573770491803285</v>
      </c>
      <c r="N88">
        <v>9</v>
      </c>
      <c r="O88">
        <f t="shared" si="32"/>
        <v>3.5</v>
      </c>
      <c r="P88">
        <f t="shared" si="33"/>
        <v>735</v>
      </c>
      <c r="Q88">
        <f t="shared" si="34"/>
        <v>0.32426229508196713</v>
      </c>
      <c r="R88">
        <f t="shared" si="36"/>
        <v>1.2662295081967205</v>
      </c>
    </row>
    <row r="89" spans="1:18" x14ac:dyDescent="0.3">
      <c r="A89" t="s">
        <v>3</v>
      </c>
      <c r="B89" s="1">
        <v>45082</v>
      </c>
      <c r="C89" t="s">
        <v>8</v>
      </c>
      <c r="D89" t="s">
        <v>10</v>
      </c>
      <c r="E89">
        <v>3</v>
      </c>
      <c r="F89">
        <v>14.6</v>
      </c>
      <c r="G89">
        <v>0.25</v>
      </c>
      <c r="H89">
        <v>0</v>
      </c>
      <c r="I89">
        <f t="shared" si="29"/>
        <v>0.25</v>
      </c>
      <c r="J89">
        <f t="shared" si="30"/>
        <v>14.85</v>
      </c>
      <c r="K89">
        <f t="shared" si="31"/>
        <v>0.34999999999999964</v>
      </c>
      <c r="L89">
        <f t="shared" si="35"/>
        <v>3.75</v>
      </c>
      <c r="M89">
        <f t="shared" si="25"/>
        <v>0.63114754098360648</v>
      </c>
      <c r="N89">
        <v>10</v>
      </c>
      <c r="O89">
        <f t="shared" si="32"/>
        <v>3.75</v>
      </c>
      <c r="P89">
        <f t="shared" si="33"/>
        <v>787.5</v>
      </c>
      <c r="Q89">
        <f t="shared" si="34"/>
        <v>0.3488524590163935</v>
      </c>
      <c r="R89">
        <f t="shared" si="36"/>
        <v>1.615081967213114</v>
      </c>
    </row>
    <row r="90" spans="1:18" x14ac:dyDescent="0.3">
      <c r="A90" t="s">
        <v>4</v>
      </c>
      <c r="B90" s="1">
        <v>45083</v>
      </c>
      <c r="C90" t="s">
        <v>8</v>
      </c>
      <c r="D90" t="s">
        <v>10</v>
      </c>
      <c r="E90">
        <v>3</v>
      </c>
      <c r="F90">
        <v>14.5</v>
      </c>
      <c r="G90">
        <v>0.25</v>
      </c>
      <c r="H90">
        <v>0</v>
      </c>
      <c r="I90">
        <f t="shared" si="29"/>
        <v>0.25</v>
      </c>
      <c r="J90">
        <f t="shared" si="30"/>
        <v>14.75</v>
      </c>
      <c r="K90">
        <f t="shared" si="31"/>
        <v>0.44999999999999929</v>
      </c>
      <c r="L90">
        <f t="shared" si="35"/>
        <v>4.1999999999999993</v>
      </c>
      <c r="M90">
        <f t="shared" si="25"/>
        <v>0.61475409836065575</v>
      </c>
      <c r="N90">
        <v>11</v>
      </c>
      <c r="O90">
        <f t="shared" si="32"/>
        <v>4</v>
      </c>
      <c r="P90">
        <f t="shared" si="33"/>
        <v>840</v>
      </c>
      <c r="Q90">
        <f t="shared" si="34"/>
        <v>0.36524590163934423</v>
      </c>
      <c r="R90">
        <f t="shared" si="36"/>
        <v>1.9803278688524584</v>
      </c>
    </row>
    <row r="91" spans="1:18" x14ac:dyDescent="0.3">
      <c r="A91" t="s">
        <v>5</v>
      </c>
      <c r="B91" s="1">
        <v>45084</v>
      </c>
      <c r="C91" t="s">
        <v>8</v>
      </c>
      <c r="D91" t="s">
        <v>10</v>
      </c>
      <c r="E91">
        <v>3</v>
      </c>
      <c r="F91">
        <v>14.3</v>
      </c>
      <c r="G91">
        <v>0</v>
      </c>
      <c r="H91">
        <v>0</v>
      </c>
      <c r="I91">
        <f t="shared" si="29"/>
        <v>0</v>
      </c>
      <c r="J91">
        <f t="shared" si="30"/>
        <v>14.3</v>
      </c>
      <c r="K91">
        <f t="shared" si="31"/>
        <v>0.60000000000000142</v>
      </c>
      <c r="L91">
        <f t="shared" si="35"/>
        <v>4.8000000000000007</v>
      </c>
      <c r="M91">
        <f t="shared" si="25"/>
        <v>0.54098360655737721</v>
      </c>
      <c r="N91">
        <v>12</v>
      </c>
      <c r="O91">
        <f t="shared" si="32"/>
        <v>4</v>
      </c>
      <c r="P91">
        <f t="shared" si="33"/>
        <v>840</v>
      </c>
      <c r="Q91">
        <f t="shared" si="34"/>
        <v>0.43901639344262278</v>
      </c>
      <c r="R91">
        <f t="shared" si="36"/>
        <v>2.4193442622950814</v>
      </c>
    </row>
    <row r="92" spans="1:18" x14ac:dyDescent="0.3">
      <c r="A92" t="s">
        <v>6</v>
      </c>
      <c r="B92" s="1">
        <v>45085</v>
      </c>
      <c r="C92" t="s">
        <v>8</v>
      </c>
      <c r="D92" t="s">
        <v>10</v>
      </c>
      <c r="E92">
        <v>3</v>
      </c>
      <c r="F92">
        <v>13.7</v>
      </c>
      <c r="G92">
        <v>0.25</v>
      </c>
      <c r="H92">
        <v>0</v>
      </c>
      <c r="I92">
        <f t="shared" si="29"/>
        <v>0.25</v>
      </c>
      <c r="J92">
        <f t="shared" si="30"/>
        <v>13.95</v>
      </c>
      <c r="K92">
        <f t="shared" si="31"/>
        <v>0.44999999999999929</v>
      </c>
      <c r="L92">
        <f t="shared" si="35"/>
        <v>5.25</v>
      </c>
      <c r="M92">
        <f t="shared" si="25"/>
        <v>0.48360655737704911</v>
      </c>
      <c r="N92">
        <v>13</v>
      </c>
      <c r="O92">
        <f t="shared" si="32"/>
        <v>4.25</v>
      </c>
      <c r="P92">
        <f t="shared" si="33"/>
        <v>892.5</v>
      </c>
      <c r="Q92">
        <f t="shared" si="34"/>
        <v>0.49639344262295088</v>
      </c>
      <c r="R92">
        <f t="shared" si="36"/>
        <v>2.9157377049180324</v>
      </c>
    </row>
    <row r="93" spans="1:18" x14ac:dyDescent="0.3">
      <c r="A93" t="s">
        <v>0</v>
      </c>
      <c r="B93" s="1">
        <v>45086</v>
      </c>
      <c r="C93" t="s">
        <v>8</v>
      </c>
      <c r="D93" t="s">
        <v>10</v>
      </c>
      <c r="E93">
        <v>3</v>
      </c>
      <c r="F93">
        <v>13.5</v>
      </c>
      <c r="G93">
        <v>0.25</v>
      </c>
      <c r="H93">
        <v>0</v>
      </c>
      <c r="I93">
        <f t="shared" si="29"/>
        <v>0.25</v>
      </c>
      <c r="J93">
        <f t="shared" si="30"/>
        <v>13.75</v>
      </c>
      <c r="K93">
        <f t="shared" si="31"/>
        <v>0.84999999999999964</v>
      </c>
      <c r="L93">
        <f t="shared" si="35"/>
        <v>6.1</v>
      </c>
      <c r="M93">
        <f t="shared" si="25"/>
        <v>0.45081967213114754</v>
      </c>
      <c r="N93">
        <v>14</v>
      </c>
      <c r="O93">
        <f t="shared" si="32"/>
        <v>4.5</v>
      </c>
      <c r="P93">
        <f t="shared" si="33"/>
        <v>945</v>
      </c>
      <c r="Q93">
        <f t="shared" si="34"/>
        <v>0.5291803278688525</v>
      </c>
      <c r="R93">
        <f t="shared" si="36"/>
        <v>3.4449180327868847</v>
      </c>
    </row>
    <row r="94" spans="1:18" x14ac:dyDescent="0.3">
      <c r="A94" t="s">
        <v>1</v>
      </c>
      <c r="B94" s="1">
        <v>45087</v>
      </c>
      <c r="C94" t="s">
        <v>8</v>
      </c>
      <c r="D94" t="s">
        <v>10</v>
      </c>
      <c r="E94">
        <v>3</v>
      </c>
      <c r="F94">
        <v>12.9</v>
      </c>
      <c r="G94">
        <v>0</v>
      </c>
      <c r="H94">
        <f t="shared" ref="H94:H103" si="37">13-F94-G94</f>
        <v>9.9999999999999645E-2</v>
      </c>
      <c r="I94">
        <f t="shared" si="29"/>
        <v>9.9999999999999645E-2</v>
      </c>
      <c r="J94">
        <f t="shared" si="30"/>
        <v>13</v>
      </c>
      <c r="K94">
        <f t="shared" si="31"/>
        <v>0.5</v>
      </c>
      <c r="L94">
        <f t="shared" si="35"/>
        <v>6.6</v>
      </c>
      <c r="M94">
        <f t="shared" si="25"/>
        <v>0.32786885245901642</v>
      </c>
      <c r="N94">
        <v>15</v>
      </c>
      <c r="O94">
        <f t="shared" si="32"/>
        <v>4.5</v>
      </c>
      <c r="P94">
        <f t="shared" si="33"/>
        <v>945</v>
      </c>
      <c r="Q94">
        <f t="shared" si="34"/>
        <v>0.65213114754098356</v>
      </c>
      <c r="R94">
        <f t="shared" si="36"/>
        <v>4.0970491803278684</v>
      </c>
    </row>
    <row r="95" spans="1:18" x14ac:dyDescent="0.3">
      <c r="A95" t="s">
        <v>2</v>
      </c>
      <c r="B95" s="1">
        <v>45088</v>
      </c>
      <c r="C95" t="s">
        <v>8</v>
      </c>
      <c r="D95" t="s">
        <v>10</v>
      </c>
      <c r="E95">
        <v>3</v>
      </c>
      <c r="F95">
        <v>12.5</v>
      </c>
      <c r="G95">
        <v>0</v>
      </c>
      <c r="H95">
        <f t="shared" si="37"/>
        <v>0.5</v>
      </c>
      <c r="I95">
        <f t="shared" si="29"/>
        <v>0.5</v>
      </c>
      <c r="J95">
        <f t="shared" si="30"/>
        <v>13</v>
      </c>
      <c r="K95">
        <f t="shared" si="31"/>
        <v>0.59999999999999964</v>
      </c>
      <c r="L95">
        <f t="shared" si="35"/>
        <v>7.1999999999999993</v>
      </c>
      <c r="M95">
        <f t="shared" si="25"/>
        <v>0.32786885245901642</v>
      </c>
      <c r="N95">
        <v>16</v>
      </c>
      <c r="O95">
        <f t="shared" si="32"/>
        <v>4.5</v>
      </c>
      <c r="P95">
        <f t="shared" si="33"/>
        <v>945</v>
      </c>
      <c r="Q95">
        <f t="shared" si="34"/>
        <v>0.65213114754098356</v>
      </c>
      <c r="R95">
        <f t="shared" si="36"/>
        <v>4.749180327868852</v>
      </c>
    </row>
    <row r="96" spans="1:18" x14ac:dyDescent="0.3">
      <c r="A96" t="s">
        <v>3</v>
      </c>
      <c r="B96" s="1">
        <v>45089</v>
      </c>
      <c r="C96" t="s">
        <v>8</v>
      </c>
      <c r="D96" t="s">
        <v>10</v>
      </c>
      <c r="E96">
        <v>3</v>
      </c>
      <c r="F96">
        <v>12.4</v>
      </c>
      <c r="G96">
        <v>0.5</v>
      </c>
      <c r="H96">
        <f t="shared" si="37"/>
        <v>9.9999999999999645E-2</v>
      </c>
      <c r="I96">
        <f t="shared" si="29"/>
        <v>0.59999999999999964</v>
      </c>
      <c r="J96">
        <f t="shared" si="30"/>
        <v>13</v>
      </c>
      <c r="K96">
        <f t="shared" si="31"/>
        <v>0.30000000000000071</v>
      </c>
      <c r="L96">
        <f t="shared" si="35"/>
        <v>7.5</v>
      </c>
      <c r="M96">
        <f t="shared" si="25"/>
        <v>0.32786885245901642</v>
      </c>
      <c r="N96">
        <v>17</v>
      </c>
      <c r="O96">
        <f t="shared" si="32"/>
        <v>5</v>
      </c>
      <c r="P96">
        <f t="shared" si="33"/>
        <v>1050</v>
      </c>
      <c r="Q96">
        <f t="shared" si="34"/>
        <v>0.65213114754098356</v>
      </c>
      <c r="R96">
        <f t="shared" si="36"/>
        <v>5.4013114754098357</v>
      </c>
    </row>
    <row r="97" spans="1:18" x14ac:dyDescent="0.3">
      <c r="A97" t="s">
        <v>4</v>
      </c>
      <c r="B97" s="1">
        <v>45090</v>
      </c>
      <c r="C97" t="s">
        <v>8</v>
      </c>
      <c r="D97" t="s">
        <v>10</v>
      </c>
      <c r="E97">
        <v>3</v>
      </c>
      <c r="F97">
        <v>12.7</v>
      </c>
      <c r="G97">
        <v>0</v>
      </c>
      <c r="H97">
        <f t="shared" si="37"/>
        <v>0.30000000000000071</v>
      </c>
      <c r="I97">
        <f t="shared" si="29"/>
        <v>0.30000000000000071</v>
      </c>
      <c r="J97">
        <f t="shared" si="30"/>
        <v>13</v>
      </c>
      <c r="K97">
        <f t="shared" si="31"/>
        <v>0.59999999999999964</v>
      </c>
      <c r="L97">
        <f t="shared" si="35"/>
        <v>8.1</v>
      </c>
      <c r="M97">
        <f t="shared" si="25"/>
        <v>0.32786885245901642</v>
      </c>
      <c r="N97">
        <v>18</v>
      </c>
      <c r="O97">
        <f t="shared" si="32"/>
        <v>5</v>
      </c>
      <c r="P97">
        <f t="shared" si="33"/>
        <v>1050</v>
      </c>
      <c r="Q97">
        <f t="shared" si="34"/>
        <v>0.65213114754098356</v>
      </c>
      <c r="R97">
        <f t="shared" si="36"/>
        <v>6.0534426229508194</v>
      </c>
    </row>
    <row r="98" spans="1:18" x14ac:dyDescent="0.3">
      <c r="A98" t="s">
        <v>5</v>
      </c>
      <c r="B98" s="1">
        <v>45091</v>
      </c>
      <c r="C98" t="s">
        <v>8</v>
      </c>
      <c r="D98" t="s">
        <v>10</v>
      </c>
      <c r="E98">
        <v>3</v>
      </c>
      <c r="F98">
        <v>12.4</v>
      </c>
      <c r="G98">
        <v>0</v>
      </c>
      <c r="H98">
        <f t="shared" si="37"/>
        <v>0.59999999999999964</v>
      </c>
      <c r="I98">
        <f t="shared" si="29"/>
        <v>0.59999999999999964</v>
      </c>
      <c r="J98">
        <f t="shared" si="30"/>
        <v>13</v>
      </c>
      <c r="K98">
        <f t="shared" si="31"/>
        <v>0.69999999999999929</v>
      </c>
      <c r="L98">
        <f t="shared" si="35"/>
        <v>8.7999999999999989</v>
      </c>
      <c r="M98">
        <f t="shared" si="25"/>
        <v>0.32786885245901642</v>
      </c>
      <c r="N98">
        <v>19</v>
      </c>
      <c r="O98">
        <f t="shared" si="32"/>
        <v>5</v>
      </c>
      <c r="P98">
        <f t="shared" si="33"/>
        <v>1050</v>
      </c>
      <c r="Q98">
        <f t="shared" si="34"/>
        <v>0.65213114754098356</v>
      </c>
      <c r="R98">
        <f t="shared" si="36"/>
        <v>6.705573770491803</v>
      </c>
    </row>
    <row r="99" spans="1:18" x14ac:dyDescent="0.3">
      <c r="A99" t="s">
        <v>6</v>
      </c>
      <c r="B99" s="1">
        <v>45092</v>
      </c>
      <c r="C99" t="s">
        <v>8</v>
      </c>
      <c r="D99" t="s">
        <v>10</v>
      </c>
      <c r="E99">
        <v>3</v>
      </c>
      <c r="F99">
        <v>12.3</v>
      </c>
      <c r="G99">
        <v>0.5</v>
      </c>
      <c r="H99">
        <f>13-F99-G99</f>
        <v>0.19999999999999929</v>
      </c>
      <c r="I99">
        <f t="shared" si="29"/>
        <v>0.69999999999999929</v>
      </c>
      <c r="J99">
        <f t="shared" si="30"/>
        <v>13</v>
      </c>
      <c r="K99">
        <f t="shared" si="31"/>
        <v>0.80000000000000071</v>
      </c>
      <c r="L99">
        <f t="shared" si="35"/>
        <v>9.6</v>
      </c>
      <c r="M99">
        <f t="shared" si="25"/>
        <v>0.32786885245901642</v>
      </c>
      <c r="N99">
        <v>20</v>
      </c>
      <c r="O99">
        <f t="shared" si="32"/>
        <v>5.5</v>
      </c>
      <c r="P99">
        <f t="shared" si="33"/>
        <v>1155</v>
      </c>
      <c r="Q99">
        <f t="shared" si="34"/>
        <v>0.65213114754098356</v>
      </c>
      <c r="R99">
        <f t="shared" si="36"/>
        <v>7.3577049180327867</v>
      </c>
    </row>
    <row r="100" spans="1:18" x14ac:dyDescent="0.3">
      <c r="A100" t="s">
        <v>0</v>
      </c>
      <c r="B100" s="1">
        <v>45093</v>
      </c>
      <c r="C100" t="s">
        <v>8</v>
      </c>
      <c r="D100" t="s">
        <v>10</v>
      </c>
      <c r="E100">
        <v>3</v>
      </c>
      <c r="F100">
        <v>12.2</v>
      </c>
      <c r="G100">
        <v>0</v>
      </c>
      <c r="H100">
        <f t="shared" si="37"/>
        <v>0.80000000000000071</v>
      </c>
      <c r="I100">
        <f t="shared" si="29"/>
        <v>0.80000000000000071</v>
      </c>
      <c r="J100">
        <f t="shared" si="30"/>
        <v>13</v>
      </c>
      <c r="K100">
        <f t="shared" si="31"/>
        <v>0.90000000000000036</v>
      </c>
      <c r="L100">
        <f t="shared" si="35"/>
        <v>10.5</v>
      </c>
      <c r="M100">
        <f t="shared" si="25"/>
        <v>0.32786885245901642</v>
      </c>
      <c r="N100">
        <v>21</v>
      </c>
      <c r="O100">
        <f t="shared" si="32"/>
        <v>5.5</v>
      </c>
      <c r="P100">
        <f t="shared" si="33"/>
        <v>1155</v>
      </c>
      <c r="Q100">
        <f t="shared" si="34"/>
        <v>0.65213114754098356</v>
      </c>
      <c r="R100">
        <f t="shared" si="36"/>
        <v>8.0098360655737704</v>
      </c>
    </row>
    <row r="101" spans="1:18" x14ac:dyDescent="0.3">
      <c r="A101" t="s">
        <v>1</v>
      </c>
      <c r="B101" s="1">
        <v>45094</v>
      </c>
      <c r="C101" t="s">
        <v>8</v>
      </c>
      <c r="D101" t="s">
        <v>10</v>
      </c>
      <c r="E101">
        <v>3</v>
      </c>
      <c r="F101">
        <v>12.1</v>
      </c>
      <c r="G101">
        <v>0</v>
      </c>
      <c r="H101">
        <f t="shared" si="37"/>
        <v>0.90000000000000036</v>
      </c>
      <c r="I101">
        <f t="shared" si="29"/>
        <v>0.90000000000000036</v>
      </c>
      <c r="J101">
        <f t="shared" si="30"/>
        <v>13</v>
      </c>
      <c r="K101">
        <f t="shared" si="31"/>
        <v>0.5</v>
      </c>
      <c r="L101">
        <f t="shared" si="35"/>
        <v>11</v>
      </c>
      <c r="M101">
        <f t="shared" si="25"/>
        <v>0.32786885245901642</v>
      </c>
      <c r="N101">
        <v>22</v>
      </c>
      <c r="O101">
        <f t="shared" si="32"/>
        <v>5.5</v>
      </c>
      <c r="P101">
        <f t="shared" si="33"/>
        <v>1155</v>
      </c>
      <c r="Q101">
        <f t="shared" si="34"/>
        <v>0.65213114754098356</v>
      </c>
      <c r="R101">
        <f t="shared" si="36"/>
        <v>8.6619672131147532</v>
      </c>
    </row>
    <row r="102" spans="1:18" x14ac:dyDescent="0.3">
      <c r="A102" t="s">
        <v>2</v>
      </c>
      <c r="B102" s="1">
        <v>45095</v>
      </c>
      <c r="C102" t="s">
        <v>8</v>
      </c>
      <c r="D102" t="s">
        <v>10</v>
      </c>
      <c r="E102">
        <v>3</v>
      </c>
      <c r="F102">
        <v>12.5</v>
      </c>
      <c r="G102">
        <v>0</v>
      </c>
      <c r="H102">
        <f t="shared" si="37"/>
        <v>0.5</v>
      </c>
      <c r="I102">
        <f t="shared" si="29"/>
        <v>0.5</v>
      </c>
      <c r="J102">
        <f t="shared" si="30"/>
        <v>13</v>
      </c>
      <c r="K102">
        <f t="shared" si="31"/>
        <v>0.90000000000000036</v>
      </c>
      <c r="L102">
        <f t="shared" si="35"/>
        <v>11.9</v>
      </c>
      <c r="M102">
        <f t="shared" si="25"/>
        <v>0.32786885245901642</v>
      </c>
      <c r="N102">
        <v>23</v>
      </c>
      <c r="O102">
        <f t="shared" si="32"/>
        <v>5.5</v>
      </c>
      <c r="P102">
        <f t="shared" si="33"/>
        <v>1155</v>
      </c>
      <c r="Q102">
        <f t="shared" si="34"/>
        <v>0.65213114754098356</v>
      </c>
      <c r="R102">
        <f t="shared" si="36"/>
        <v>9.3140983606557359</v>
      </c>
    </row>
    <row r="103" spans="1:18" x14ac:dyDescent="0.3">
      <c r="A103" t="s">
        <v>3</v>
      </c>
      <c r="B103" s="1">
        <v>45096</v>
      </c>
      <c r="C103" t="s">
        <v>8</v>
      </c>
      <c r="D103" t="s">
        <v>10</v>
      </c>
      <c r="E103">
        <v>3</v>
      </c>
      <c r="F103">
        <v>12.1</v>
      </c>
      <c r="G103">
        <v>0.5</v>
      </c>
      <c r="H103">
        <f t="shared" si="37"/>
        <v>0.40000000000000036</v>
      </c>
      <c r="I103">
        <f t="shared" si="29"/>
        <v>0.90000000000000036</v>
      </c>
      <c r="J103">
        <f t="shared" si="30"/>
        <v>13</v>
      </c>
      <c r="K103">
        <f t="shared" si="31"/>
        <v>0.5</v>
      </c>
      <c r="L103">
        <f t="shared" si="35"/>
        <v>12.4</v>
      </c>
      <c r="M103">
        <f t="shared" si="25"/>
        <v>0.32786885245901642</v>
      </c>
      <c r="N103">
        <v>24</v>
      </c>
      <c r="O103">
        <f t="shared" si="32"/>
        <v>6</v>
      </c>
      <c r="P103">
        <f t="shared" si="33"/>
        <v>1260</v>
      </c>
      <c r="Q103">
        <f t="shared" si="34"/>
        <v>0.65213114754098356</v>
      </c>
      <c r="R103">
        <f t="shared" si="36"/>
        <v>9.9662295081967187</v>
      </c>
    </row>
    <row r="104" spans="1:18" x14ac:dyDescent="0.3">
      <c r="A104" t="s">
        <v>4</v>
      </c>
      <c r="B104" s="1">
        <v>45097</v>
      </c>
      <c r="C104" t="s">
        <v>8</v>
      </c>
      <c r="D104" t="s">
        <v>10</v>
      </c>
      <c r="E104">
        <v>3</v>
      </c>
      <c r="F104">
        <v>12.5</v>
      </c>
      <c r="G104">
        <v>0</v>
      </c>
      <c r="H104">
        <f>12.5-F104-G104</f>
        <v>0</v>
      </c>
      <c r="I104">
        <f t="shared" si="29"/>
        <v>0</v>
      </c>
      <c r="J104">
        <f t="shared" si="30"/>
        <v>12.5</v>
      </c>
      <c r="K104">
        <f t="shared" si="31"/>
        <v>0.69999999999999929</v>
      </c>
      <c r="L104">
        <f>L103+K104</f>
        <v>13.1</v>
      </c>
      <c r="M104">
        <f t="shared" si="25"/>
        <v>0.24590163934426232</v>
      </c>
      <c r="N104">
        <v>25</v>
      </c>
      <c r="O104">
        <f t="shared" si="32"/>
        <v>6</v>
      </c>
      <c r="P104">
        <f t="shared" si="33"/>
        <v>1260</v>
      </c>
      <c r="Q104">
        <f t="shared" si="34"/>
        <v>0.73409836065573764</v>
      </c>
      <c r="R104">
        <f t="shared" si="36"/>
        <v>10.700327868852456</v>
      </c>
    </row>
    <row r="105" spans="1:18" x14ac:dyDescent="0.3">
      <c r="A105" t="s">
        <v>5</v>
      </c>
      <c r="B105" s="1">
        <v>45098</v>
      </c>
      <c r="C105" t="s">
        <v>8</v>
      </c>
      <c r="D105" t="s">
        <v>10</v>
      </c>
      <c r="E105">
        <v>3</v>
      </c>
      <c r="F105">
        <v>11.8</v>
      </c>
      <c r="G105">
        <v>0</v>
      </c>
      <c r="H105">
        <f>12.1-F105-G105</f>
        <v>0.29999999999999893</v>
      </c>
      <c r="I105">
        <f t="shared" si="29"/>
        <v>0.29999999999999893</v>
      </c>
      <c r="J105">
        <f t="shared" si="30"/>
        <v>12.1</v>
      </c>
      <c r="K105">
        <f t="shared" si="31"/>
        <v>0.69999999999999929</v>
      </c>
      <c r="L105">
        <f t="shared" ref="L105:L117" si="38">L104+K105</f>
        <v>13.799999999999999</v>
      </c>
      <c r="M105">
        <f t="shared" si="25"/>
        <v>0.18032786885245897</v>
      </c>
      <c r="N105">
        <v>26</v>
      </c>
      <c r="O105">
        <f t="shared" si="32"/>
        <v>6</v>
      </c>
      <c r="P105">
        <f t="shared" si="33"/>
        <v>1260</v>
      </c>
      <c r="Q105">
        <f t="shared" si="34"/>
        <v>0.79967213114754099</v>
      </c>
      <c r="R105">
        <f t="shared" si="36"/>
        <v>11.499999999999996</v>
      </c>
    </row>
    <row r="106" spans="1:18" x14ac:dyDescent="0.3">
      <c r="A106" t="s">
        <v>6</v>
      </c>
      <c r="B106" s="1">
        <v>45099</v>
      </c>
      <c r="C106" t="s">
        <v>8</v>
      </c>
      <c r="D106" t="s">
        <v>10</v>
      </c>
      <c r="E106">
        <v>3</v>
      </c>
      <c r="F106">
        <v>11.4</v>
      </c>
      <c r="G106">
        <v>0.5</v>
      </c>
      <c r="H106">
        <f>12.1-F106-G106</f>
        <v>0.19999999999999929</v>
      </c>
      <c r="I106">
        <f t="shared" si="29"/>
        <v>0.69999999999999929</v>
      </c>
      <c r="J106">
        <f t="shared" si="30"/>
        <v>12.1</v>
      </c>
      <c r="K106">
        <f t="shared" si="31"/>
        <v>0.59999999999999964</v>
      </c>
      <c r="L106">
        <f t="shared" si="38"/>
        <v>14.399999999999999</v>
      </c>
      <c r="M106">
        <f t="shared" si="25"/>
        <v>0.18032786885245897</v>
      </c>
      <c r="N106">
        <v>27</v>
      </c>
      <c r="O106">
        <f t="shared" si="32"/>
        <v>6.5</v>
      </c>
      <c r="P106">
        <f t="shared" si="33"/>
        <v>1365</v>
      </c>
      <c r="Q106">
        <f t="shared" si="34"/>
        <v>0.79967213114754099</v>
      </c>
      <c r="R106">
        <f t="shared" si="36"/>
        <v>12.299672131147538</v>
      </c>
    </row>
    <row r="107" spans="1:18" x14ac:dyDescent="0.3">
      <c r="A107" t="s">
        <v>0</v>
      </c>
      <c r="B107" s="1">
        <v>45100</v>
      </c>
      <c r="C107" t="s">
        <v>8</v>
      </c>
      <c r="D107" t="s">
        <v>10</v>
      </c>
      <c r="E107">
        <v>3</v>
      </c>
      <c r="F107">
        <v>11.5</v>
      </c>
      <c r="G107">
        <v>0</v>
      </c>
      <c r="H107">
        <f>12.1-F107-G107</f>
        <v>0.59999999999999964</v>
      </c>
      <c r="I107">
        <f t="shared" si="29"/>
        <v>0.59999999999999964</v>
      </c>
      <c r="J107">
        <f t="shared" si="30"/>
        <v>12.1</v>
      </c>
      <c r="K107">
        <f t="shared" si="31"/>
        <v>0.59999999999999964</v>
      </c>
      <c r="L107">
        <f t="shared" si="38"/>
        <v>14.999999999999998</v>
      </c>
      <c r="M107">
        <f t="shared" si="25"/>
        <v>0.18032786885245897</v>
      </c>
      <c r="N107">
        <v>28</v>
      </c>
      <c r="O107">
        <f t="shared" si="32"/>
        <v>6.5</v>
      </c>
      <c r="P107">
        <f t="shared" si="33"/>
        <v>1365</v>
      </c>
      <c r="Q107">
        <f t="shared" si="34"/>
        <v>0.79967213114754099</v>
      </c>
      <c r="R107">
        <f t="shared" si="36"/>
        <v>13.09934426229508</v>
      </c>
    </row>
    <row r="108" spans="1:18" x14ac:dyDescent="0.3">
      <c r="A108" t="s">
        <v>1</v>
      </c>
      <c r="B108" s="1">
        <v>45101</v>
      </c>
      <c r="C108" t="s">
        <v>8</v>
      </c>
      <c r="D108" t="s">
        <v>10</v>
      </c>
      <c r="E108">
        <v>3</v>
      </c>
      <c r="F108">
        <v>11.5</v>
      </c>
      <c r="G108">
        <v>0</v>
      </c>
      <c r="H108">
        <f>12.2-F108-G108</f>
        <v>0.69999999999999929</v>
      </c>
      <c r="I108">
        <f t="shared" si="29"/>
        <v>0.69999999999999929</v>
      </c>
      <c r="J108">
        <f t="shared" si="30"/>
        <v>12.2</v>
      </c>
      <c r="K108">
        <f t="shared" si="31"/>
        <v>0.89999999999999858</v>
      </c>
      <c r="L108">
        <f t="shared" si="38"/>
        <v>15.899999999999997</v>
      </c>
      <c r="M108">
        <f t="shared" si="25"/>
        <v>0.19672131147540972</v>
      </c>
      <c r="N108">
        <v>29</v>
      </c>
      <c r="O108">
        <f t="shared" si="32"/>
        <v>6.5</v>
      </c>
      <c r="P108">
        <f t="shared" si="33"/>
        <v>1365</v>
      </c>
      <c r="Q108">
        <f t="shared" si="34"/>
        <v>0.78327868852459026</v>
      </c>
      <c r="R108">
        <f>R107+Q108</f>
        <v>13.88262295081967</v>
      </c>
    </row>
    <row r="109" spans="1:18" x14ac:dyDescent="0.3">
      <c r="A109" t="s">
        <v>2</v>
      </c>
      <c r="B109" s="1">
        <v>45102</v>
      </c>
      <c r="C109" t="s">
        <v>8</v>
      </c>
      <c r="D109" t="s">
        <v>10</v>
      </c>
      <c r="E109">
        <v>3</v>
      </c>
      <c r="F109">
        <v>11.3</v>
      </c>
      <c r="G109">
        <v>0</v>
      </c>
      <c r="H109">
        <f>12.2-F109-G109</f>
        <v>0.89999999999999858</v>
      </c>
      <c r="I109">
        <f t="shared" si="29"/>
        <v>0.89999999999999858</v>
      </c>
      <c r="J109">
        <f t="shared" si="30"/>
        <v>12.2</v>
      </c>
      <c r="K109">
        <f t="shared" si="31"/>
        <v>0.89999999999999858</v>
      </c>
      <c r="L109">
        <f t="shared" si="38"/>
        <v>16.799999999999997</v>
      </c>
      <c r="M109">
        <f t="shared" si="25"/>
        <v>0.19672131147540972</v>
      </c>
      <c r="N109">
        <v>30</v>
      </c>
      <c r="O109">
        <f t="shared" si="32"/>
        <v>6.5</v>
      </c>
      <c r="P109">
        <f t="shared" si="33"/>
        <v>1365</v>
      </c>
      <c r="Q109">
        <f t="shared" si="34"/>
        <v>0.78327868852459026</v>
      </c>
      <c r="R109">
        <f t="shared" ref="R109:R120" si="39">R108+Q109</f>
        <v>14.665901639344259</v>
      </c>
    </row>
    <row r="110" spans="1:18" x14ac:dyDescent="0.3">
      <c r="A110" t="s">
        <v>3</v>
      </c>
      <c r="B110" s="1">
        <v>45103</v>
      </c>
      <c r="C110" t="s">
        <v>8</v>
      </c>
      <c r="D110" t="s">
        <v>10</v>
      </c>
      <c r="E110">
        <v>3</v>
      </c>
      <c r="F110">
        <v>11.3</v>
      </c>
      <c r="G110">
        <v>0.5</v>
      </c>
      <c r="H110">
        <f t="shared" ref="H110:H113" si="40">12.1-F110-G110</f>
        <v>0.29999999999999893</v>
      </c>
      <c r="I110">
        <f t="shared" si="29"/>
        <v>0.79999999999999893</v>
      </c>
      <c r="J110">
        <f t="shared" si="30"/>
        <v>12.1</v>
      </c>
      <c r="K110">
        <f t="shared" si="31"/>
        <v>0.59999999999999964</v>
      </c>
      <c r="L110">
        <f t="shared" si="38"/>
        <v>17.399999999999999</v>
      </c>
      <c r="M110">
        <f t="shared" si="25"/>
        <v>0.18032786885245897</v>
      </c>
      <c r="N110">
        <v>31</v>
      </c>
      <c r="O110">
        <f t="shared" si="32"/>
        <v>7</v>
      </c>
      <c r="P110">
        <f t="shared" si="33"/>
        <v>1470</v>
      </c>
      <c r="Q110">
        <f t="shared" si="34"/>
        <v>0.79967213114754099</v>
      </c>
      <c r="R110">
        <f t="shared" si="39"/>
        <v>15.465573770491801</v>
      </c>
    </row>
    <row r="111" spans="1:18" x14ac:dyDescent="0.3">
      <c r="A111" t="s">
        <v>4</v>
      </c>
      <c r="B111" s="1">
        <v>45104</v>
      </c>
      <c r="C111" t="s">
        <v>8</v>
      </c>
      <c r="D111" t="s">
        <v>10</v>
      </c>
      <c r="E111">
        <v>3</v>
      </c>
      <c r="F111">
        <v>11.5</v>
      </c>
      <c r="G111">
        <v>0</v>
      </c>
      <c r="H111">
        <f t="shared" si="40"/>
        <v>0.59999999999999964</v>
      </c>
      <c r="I111">
        <f t="shared" si="29"/>
        <v>0.59999999999999964</v>
      </c>
      <c r="J111">
        <f t="shared" si="30"/>
        <v>12.1</v>
      </c>
      <c r="K111">
        <f t="shared" si="31"/>
        <v>0.79999999999999893</v>
      </c>
      <c r="L111">
        <f t="shared" si="38"/>
        <v>18.199999999999996</v>
      </c>
      <c r="M111">
        <f t="shared" si="25"/>
        <v>0.18032786885245897</v>
      </c>
      <c r="N111">
        <v>32</v>
      </c>
      <c r="O111">
        <f t="shared" si="32"/>
        <v>7</v>
      </c>
      <c r="P111">
        <f t="shared" si="33"/>
        <v>1470</v>
      </c>
      <c r="Q111">
        <f t="shared" si="34"/>
        <v>0.79967213114754099</v>
      </c>
      <c r="R111">
        <f t="shared" si="39"/>
        <v>16.265245901639343</v>
      </c>
    </row>
    <row r="112" spans="1:18" x14ac:dyDescent="0.3">
      <c r="A112" t="s">
        <v>5</v>
      </c>
      <c r="B112" s="1">
        <v>45105</v>
      </c>
      <c r="C112" t="s">
        <v>8</v>
      </c>
      <c r="D112" t="s">
        <v>10</v>
      </c>
      <c r="E112">
        <v>3</v>
      </c>
      <c r="F112">
        <v>11.3</v>
      </c>
      <c r="G112">
        <v>0</v>
      </c>
      <c r="H112">
        <f t="shared" si="40"/>
        <v>0.79999999999999893</v>
      </c>
      <c r="I112">
        <f t="shared" si="29"/>
        <v>0.79999999999999893</v>
      </c>
      <c r="J112">
        <f t="shared" si="30"/>
        <v>12.1</v>
      </c>
      <c r="K112">
        <f t="shared" si="31"/>
        <v>0.90000000000000036</v>
      </c>
      <c r="L112">
        <f t="shared" si="38"/>
        <v>19.099999999999994</v>
      </c>
      <c r="M112">
        <f t="shared" si="25"/>
        <v>0.18032786885245897</v>
      </c>
      <c r="N112">
        <v>33</v>
      </c>
      <c r="O112">
        <f t="shared" si="32"/>
        <v>7</v>
      </c>
      <c r="P112">
        <f t="shared" si="33"/>
        <v>1470</v>
      </c>
      <c r="Q112">
        <f t="shared" si="34"/>
        <v>0.79967213114754099</v>
      </c>
      <c r="R112">
        <f t="shared" si="39"/>
        <v>17.064918032786885</v>
      </c>
    </row>
    <row r="113" spans="1:18" x14ac:dyDescent="0.3">
      <c r="A113" t="s">
        <v>6</v>
      </c>
      <c r="B113" s="1">
        <v>45106</v>
      </c>
      <c r="C113" t="s">
        <v>8</v>
      </c>
      <c r="D113" t="s">
        <v>10</v>
      </c>
      <c r="E113">
        <v>3</v>
      </c>
      <c r="F113">
        <v>11.2</v>
      </c>
      <c r="G113">
        <v>0.5</v>
      </c>
      <c r="H113">
        <f t="shared" si="40"/>
        <v>0.40000000000000036</v>
      </c>
      <c r="I113">
        <f t="shared" si="29"/>
        <v>0.90000000000000036</v>
      </c>
      <c r="J113">
        <f t="shared" si="30"/>
        <v>12.1</v>
      </c>
      <c r="K113">
        <f t="shared" si="31"/>
        <v>0.90000000000000036</v>
      </c>
      <c r="L113">
        <f t="shared" si="38"/>
        <v>19.999999999999993</v>
      </c>
      <c r="M113">
        <f t="shared" si="25"/>
        <v>0.18032786885245897</v>
      </c>
      <c r="N113">
        <v>34</v>
      </c>
      <c r="O113">
        <f t="shared" si="32"/>
        <v>7.5</v>
      </c>
      <c r="P113">
        <f t="shared" si="33"/>
        <v>1575</v>
      </c>
      <c r="Q113">
        <f t="shared" si="34"/>
        <v>0.79967213114754099</v>
      </c>
      <c r="R113">
        <f t="shared" si="39"/>
        <v>17.864590163934427</v>
      </c>
    </row>
    <row r="114" spans="1:18" x14ac:dyDescent="0.3">
      <c r="A114" t="s">
        <v>0</v>
      </c>
      <c r="B114" s="1">
        <v>45107</v>
      </c>
      <c r="C114" t="s">
        <v>8</v>
      </c>
      <c r="D114" t="s">
        <v>10</v>
      </c>
      <c r="E114">
        <v>3</v>
      </c>
      <c r="F114">
        <v>11.2</v>
      </c>
      <c r="G114">
        <v>0</v>
      </c>
      <c r="H114">
        <v>5</v>
      </c>
      <c r="I114">
        <f t="shared" si="29"/>
        <v>5</v>
      </c>
      <c r="J114">
        <f t="shared" si="30"/>
        <v>16.2</v>
      </c>
      <c r="K114">
        <f t="shared" si="31"/>
        <v>0.29999999999999893</v>
      </c>
      <c r="L114">
        <f t="shared" si="38"/>
        <v>20.29999999999999</v>
      </c>
      <c r="M114">
        <f t="shared" si="25"/>
        <v>0.85245901639344257</v>
      </c>
      <c r="N114">
        <v>35</v>
      </c>
      <c r="O114">
        <f t="shared" si="32"/>
        <v>7.5</v>
      </c>
      <c r="P114">
        <f t="shared" si="33"/>
        <v>1575</v>
      </c>
      <c r="Q114">
        <f t="shared" si="34"/>
        <v>0.12754098360655741</v>
      </c>
      <c r="R114">
        <f t="shared" si="39"/>
        <v>17.992131147540984</v>
      </c>
    </row>
    <row r="115" spans="1:18" x14ac:dyDescent="0.3">
      <c r="A115" t="s">
        <v>1</v>
      </c>
      <c r="B115" s="1">
        <v>45108</v>
      </c>
      <c r="C115" t="s">
        <v>8</v>
      </c>
      <c r="D115" t="s">
        <v>10</v>
      </c>
      <c r="E115">
        <v>3</v>
      </c>
      <c r="F115">
        <v>15.9</v>
      </c>
      <c r="G115">
        <v>0</v>
      </c>
      <c r="H115">
        <v>0</v>
      </c>
      <c r="I115">
        <f t="shared" si="29"/>
        <v>0</v>
      </c>
      <c r="J115">
        <f t="shared" si="30"/>
        <v>15.9</v>
      </c>
      <c r="K115">
        <f t="shared" si="31"/>
        <v>0.30000000000000071</v>
      </c>
      <c r="L115">
        <f t="shared" si="38"/>
        <v>20.599999999999991</v>
      </c>
      <c r="M115">
        <f t="shared" si="25"/>
        <v>0.80327868852459028</v>
      </c>
      <c r="N115">
        <v>36</v>
      </c>
      <c r="O115">
        <f t="shared" si="32"/>
        <v>7.5</v>
      </c>
      <c r="P115">
        <f t="shared" si="33"/>
        <v>1575</v>
      </c>
      <c r="Q115">
        <f t="shared" si="34"/>
        <v>0.1767213114754097</v>
      </c>
      <c r="R115">
        <f t="shared" si="39"/>
        <v>18.168852459016396</v>
      </c>
    </row>
    <row r="116" spans="1:18" x14ac:dyDescent="0.3">
      <c r="A116" t="s">
        <v>2</v>
      </c>
      <c r="B116" s="1">
        <v>45109</v>
      </c>
      <c r="C116" t="s">
        <v>8</v>
      </c>
      <c r="D116" t="s">
        <v>10</v>
      </c>
      <c r="E116">
        <v>3</v>
      </c>
      <c r="F116">
        <v>15.6</v>
      </c>
      <c r="G116">
        <v>0</v>
      </c>
      <c r="H116">
        <v>0</v>
      </c>
      <c r="I116">
        <f t="shared" si="29"/>
        <v>0</v>
      </c>
      <c r="J116">
        <f t="shared" si="30"/>
        <v>15.6</v>
      </c>
      <c r="K116">
        <f t="shared" si="31"/>
        <v>0.90000000000000036</v>
      </c>
      <c r="L116">
        <f t="shared" si="38"/>
        <v>21.499999999999993</v>
      </c>
      <c r="M116">
        <f t="shared" si="25"/>
        <v>0.75409836065573765</v>
      </c>
      <c r="N116">
        <v>37</v>
      </c>
      <c r="O116">
        <f t="shared" si="32"/>
        <v>7.5</v>
      </c>
      <c r="P116">
        <f t="shared" si="33"/>
        <v>1575</v>
      </c>
      <c r="Q116">
        <f t="shared" si="34"/>
        <v>0.22590163934426233</v>
      </c>
      <c r="R116">
        <f t="shared" si="39"/>
        <v>18.394754098360657</v>
      </c>
    </row>
    <row r="117" spans="1:18" x14ac:dyDescent="0.3">
      <c r="A117" t="s">
        <v>3</v>
      </c>
      <c r="B117" s="1">
        <v>45110</v>
      </c>
      <c r="C117" t="s">
        <v>8</v>
      </c>
      <c r="D117" t="s">
        <v>10</v>
      </c>
      <c r="E117">
        <v>3</v>
      </c>
      <c r="F117">
        <v>14.7</v>
      </c>
      <c r="G117">
        <v>0.5</v>
      </c>
      <c r="H117">
        <v>0</v>
      </c>
      <c r="I117">
        <f t="shared" si="29"/>
        <v>0.5</v>
      </c>
      <c r="J117">
        <f t="shared" si="30"/>
        <v>15.2</v>
      </c>
      <c r="K117">
        <f t="shared" si="31"/>
        <v>0.89999999999999858</v>
      </c>
      <c r="L117">
        <f t="shared" si="38"/>
        <v>22.399999999999991</v>
      </c>
      <c r="M117">
        <f t="shared" si="25"/>
        <v>0.6885245901639343</v>
      </c>
      <c r="N117">
        <v>38</v>
      </c>
      <c r="O117">
        <f t="shared" si="32"/>
        <v>8</v>
      </c>
      <c r="P117">
        <f t="shared" si="33"/>
        <v>1680</v>
      </c>
      <c r="Q117">
        <f t="shared" si="34"/>
        <v>0.29147540983606568</v>
      </c>
      <c r="R117">
        <f t="shared" si="39"/>
        <v>18.686229508196725</v>
      </c>
    </row>
    <row r="118" spans="1:18" x14ac:dyDescent="0.3">
      <c r="A118" t="s">
        <v>4</v>
      </c>
      <c r="B118" s="1">
        <v>45111</v>
      </c>
      <c r="C118" t="s">
        <v>8</v>
      </c>
      <c r="D118" t="s">
        <v>10</v>
      </c>
      <c r="E118">
        <v>3</v>
      </c>
      <c r="F118">
        <v>14.3</v>
      </c>
      <c r="G118">
        <v>0</v>
      </c>
      <c r="H118">
        <v>0</v>
      </c>
      <c r="I118">
        <f t="shared" si="29"/>
        <v>0</v>
      </c>
      <c r="J118">
        <f t="shared" si="30"/>
        <v>14.3</v>
      </c>
      <c r="K118">
        <f t="shared" ref="K118:K120" si="41">J118-F119</f>
        <v>1.2000000000000011</v>
      </c>
      <c r="L118">
        <f t="shared" ref="L118:L120" si="42">L117+K118</f>
        <v>23.599999999999994</v>
      </c>
      <c r="M118">
        <f t="shared" si="25"/>
        <v>0.54098360655737721</v>
      </c>
      <c r="N118">
        <v>39</v>
      </c>
      <c r="O118">
        <f t="shared" si="32"/>
        <v>8</v>
      </c>
      <c r="P118">
        <f t="shared" si="33"/>
        <v>1680</v>
      </c>
      <c r="Q118">
        <f t="shared" si="34"/>
        <v>0.43901639344262278</v>
      </c>
      <c r="R118">
        <f t="shared" si="39"/>
        <v>19.125245901639346</v>
      </c>
    </row>
    <row r="119" spans="1:18" x14ac:dyDescent="0.3">
      <c r="A119" t="s">
        <v>5</v>
      </c>
      <c r="B119" s="1">
        <v>45112</v>
      </c>
      <c r="C119" t="s">
        <v>8</v>
      </c>
      <c r="D119" t="s">
        <v>10</v>
      </c>
      <c r="E119">
        <v>3</v>
      </c>
      <c r="F119">
        <v>13.1</v>
      </c>
      <c r="G119">
        <v>0</v>
      </c>
      <c r="H119">
        <v>0</v>
      </c>
      <c r="I119">
        <f t="shared" ref="I119:I120" si="43">H119+G119</f>
        <v>0</v>
      </c>
      <c r="J119">
        <f t="shared" si="30"/>
        <v>13.1</v>
      </c>
      <c r="K119">
        <f t="shared" si="41"/>
        <v>1.0999999999999996</v>
      </c>
      <c r="L119">
        <f t="shared" si="42"/>
        <v>24.699999999999996</v>
      </c>
      <c r="M119">
        <f t="shared" si="25"/>
        <v>0.34426229508196715</v>
      </c>
      <c r="N119">
        <v>40</v>
      </c>
      <c r="O119">
        <f t="shared" si="32"/>
        <v>8</v>
      </c>
      <c r="P119">
        <f t="shared" si="33"/>
        <v>1680</v>
      </c>
      <c r="Q119">
        <f t="shared" si="34"/>
        <v>0.63573770491803283</v>
      </c>
      <c r="R119">
        <f t="shared" si="39"/>
        <v>19.760983606557378</v>
      </c>
    </row>
    <row r="120" spans="1:18" x14ac:dyDescent="0.3">
      <c r="A120" t="s">
        <v>6</v>
      </c>
      <c r="B120" s="1">
        <v>45113</v>
      </c>
      <c r="C120" t="s">
        <v>8</v>
      </c>
      <c r="D120" t="s">
        <v>10</v>
      </c>
      <c r="E120">
        <v>3</v>
      </c>
      <c r="F120">
        <v>12</v>
      </c>
      <c r="G120">
        <v>0</v>
      </c>
      <c r="H120">
        <v>0</v>
      </c>
      <c r="I120">
        <f t="shared" si="43"/>
        <v>0</v>
      </c>
      <c r="J120">
        <f t="shared" si="30"/>
        <v>12</v>
      </c>
      <c r="K120">
        <f t="shared" si="41"/>
        <v>0.59999999999999964</v>
      </c>
      <c r="L120">
        <f t="shared" si="42"/>
        <v>25.299999999999997</v>
      </c>
      <c r="M120">
        <f t="shared" si="25"/>
        <v>0.16393442622950821</v>
      </c>
      <c r="N120">
        <v>41</v>
      </c>
      <c r="O120">
        <f t="shared" si="32"/>
        <v>8</v>
      </c>
      <c r="P120">
        <f t="shared" si="33"/>
        <v>1680</v>
      </c>
      <c r="Q120">
        <f t="shared" si="34"/>
        <v>0.81606557377049183</v>
      </c>
      <c r="R120">
        <f t="shared" si="39"/>
        <v>20.577049180327869</v>
      </c>
    </row>
    <row r="121" spans="1:18" x14ac:dyDescent="0.3">
      <c r="A121" t="s">
        <v>0</v>
      </c>
      <c r="B121" s="1">
        <v>45114</v>
      </c>
      <c r="C121" t="s">
        <v>8</v>
      </c>
      <c r="D121" t="s">
        <v>10</v>
      </c>
      <c r="E121">
        <v>3</v>
      </c>
      <c r="F121">
        <v>11.4</v>
      </c>
      <c r="G121">
        <v>0</v>
      </c>
      <c r="H121">
        <v>0</v>
      </c>
      <c r="I121">
        <f t="shared" ref="I121" si="44">H121+G121</f>
        <v>0</v>
      </c>
    </row>
    <row r="122" spans="1:18" x14ac:dyDescent="0.3">
      <c r="A122" t="s">
        <v>1</v>
      </c>
      <c r="B122" s="1">
        <v>45073</v>
      </c>
      <c r="C122" t="s">
        <v>8</v>
      </c>
      <c r="D122" t="s">
        <v>10</v>
      </c>
      <c r="E122">
        <v>4</v>
      </c>
      <c r="F122">
        <v>17</v>
      </c>
      <c r="G122">
        <v>0</v>
      </c>
      <c r="H122">
        <v>0</v>
      </c>
      <c r="I122">
        <f>H122+G122</f>
        <v>0</v>
      </c>
      <c r="J122">
        <f>I122+F122</f>
        <v>17</v>
      </c>
      <c r="K122">
        <f>J122-F123</f>
        <v>0.80000000000000071</v>
      </c>
      <c r="M122">
        <f t="shared" si="25"/>
        <v>0.98360655737704927</v>
      </c>
      <c r="N122">
        <v>1</v>
      </c>
      <c r="O122">
        <v>2.5</v>
      </c>
      <c r="P122">
        <f>O122*210</f>
        <v>525</v>
      </c>
    </row>
    <row r="123" spans="1:18" x14ac:dyDescent="0.3">
      <c r="A123" t="s">
        <v>2</v>
      </c>
      <c r="B123" s="1">
        <v>45074</v>
      </c>
      <c r="C123" t="s">
        <v>8</v>
      </c>
      <c r="D123" t="s">
        <v>10</v>
      </c>
      <c r="E123">
        <v>4</v>
      </c>
      <c r="F123">
        <v>16.2</v>
      </c>
      <c r="G123">
        <v>0</v>
      </c>
      <c r="H123">
        <v>0</v>
      </c>
      <c r="I123">
        <f t="shared" ref="I123:I160" si="45">H123+G123</f>
        <v>0</v>
      </c>
      <c r="J123">
        <f t="shared" ref="J123:J160" si="46">I123+F123</f>
        <v>16.2</v>
      </c>
      <c r="K123">
        <f t="shared" ref="K123:K159" si="47">J123-F124</f>
        <v>0.69999999999999929</v>
      </c>
      <c r="L123">
        <f>K122+K123</f>
        <v>1.5</v>
      </c>
      <c r="M123">
        <f t="shared" si="25"/>
        <v>0.85245901639344257</v>
      </c>
      <c r="N123">
        <v>2</v>
      </c>
      <c r="O123">
        <f t="shared" ref="O123:O159" si="48">O122+G123</f>
        <v>2.5</v>
      </c>
      <c r="P123">
        <f t="shared" ref="P123:P159" si="49">O123*210</f>
        <v>525</v>
      </c>
      <c r="Q123">
        <f t="shared" ref="Q123:Q159" si="50">0.98-M123</f>
        <v>0.12754098360655741</v>
      </c>
    </row>
    <row r="124" spans="1:18" x14ac:dyDescent="0.3">
      <c r="A124" t="s">
        <v>3</v>
      </c>
      <c r="B124" s="1">
        <v>45075</v>
      </c>
      <c r="C124" t="s">
        <v>8</v>
      </c>
      <c r="D124" t="s">
        <v>10</v>
      </c>
      <c r="E124">
        <v>4</v>
      </c>
      <c r="F124">
        <v>15.5</v>
      </c>
      <c r="G124">
        <v>0.25</v>
      </c>
      <c r="H124">
        <v>0</v>
      </c>
      <c r="I124">
        <f t="shared" si="45"/>
        <v>0.25</v>
      </c>
      <c r="J124">
        <f t="shared" si="46"/>
        <v>15.75</v>
      </c>
      <c r="K124">
        <f t="shared" si="47"/>
        <v>0.84999999999999964</v>
      </c>
      <c r="L124">
        <f>L123+K124</f>
        <v>2.3499999999999996</v>
      </c>
      <c r="M124">
        <f t="shared" si="25"/>
        <v>0.77868852459016402</v>
      </c>
      <c r="N124">
        <v>3</v>
      </c>
      <c r="O124">
        <f t="shared" si="48"/>
        <v>2.75</v>
      </c>
      <c r="P124">
        <f t="shared" si="49"/>
        <v>577.5</v>
      </c>
      <c r="Q124">
        <f t="shared" si="50"/>
        <v>0.20131147540983596</v>
      </c>
      <c r="R124">
        <f>Q123+Q124</f>
        <v>0.32885245901639337</v>
      </c>
    </row>
    <row r="125" spans="1:18" x14ac:dyDescent="0.3">
      <c r="A125" t="s">
        <v>4</v>
      </c>
      <c r="B125" s="1">
        <v>45076</v>
      </c>
      <c r="C125" t="s">
        <v>8</v>
      </c>
      <c r="D125" t="s">
        <v>10</v>
      </c>
      <c r="E125">
        <v>4</v>
      </c>
      <c r="F125">
        <v>14.9</v>
      </c>
      <c r="G125">
        <v>0.25</v>
      </c>
      <c r="H125">
        <v>0</v>
      </c>
      <c r="I125">
        <f t="shared" si="45"/>
        <v>0.25</v>
      </c>
      <c r="J125">
        <f t="shared" si="46"/>
        <v>15.15</v>
      </c>
      <c r="K125">
        <f t="shared" si="47"/>
        <v>1.3499999999999996</v>
      </c>
      <c r="L125">
        <f t="shared" ref="L125:L145" si="51">L124+K125</f>
        <v>3.6999999999999993</v>
      </c>
      <c r="M125">
        <f t="shared" si="25"/>
        <v>0.68032786885245911</v>
      </c>
      <c r="N125">
        <v>4</v>
      </c>
      <c r="O125">
        <f t="shared" si="48"/>
        <v>3</v>
      </c>
      <c r="P125">
        <f t="shared" si="49"/>
        <v>630</v>
      </c>
      <c r="Q125">
        <f t="shared" si="50"/>
        <v>0.29967213114754088</v>
      </c>
      <c r="R125">
        <f>R124+Q125</f>
        <v>0.62852459016393425</v>
      </c>
    </row>
    <row r="126" spans="1:18" x14ac:dyDescent="0.3">
      <c r="A126" t="s">
        <v>5</v>
      </c>
      <c r="B126" s="1">
        <v>45077</v>
      </c>
      <c r="C126" t="s">
        <v>8</v>
      </c>
      <c r="D126" t="s">
        <v>10</v>
      </c>
      <c r="E126">
        <v>4</v>
      </c>
      <c r="F126">
        <v>13.8</v>
      </c>
      <c r="G126">
        <v>0</v>
      </c>
      <c r="H126">
        <v>0</v>
      </c>
      <c r="I126">
        <f t="shared" si="45"/>
        <v>0</v>
      </c>
      <c r="J126">
        <f t="shared" si="46"/>
        <v>13.8</v>
      </c>
      <c r="K126">
        <f t="shared" si="47"/>
        <v>0.60000000000000142</v>
      </c>
      <c r="L126">
        <f t="shared" si="51"/>
        <v>4.3000000000000007</v>
      </c>
      <c r="M126">
        <f t="shared" si="25"/>
        <v>0.45901639344262307</v>
      </c>
      <c r="N126">
        <v>5</v>
      </c>
      <c r="O126">
        <f t="shared" si="48"/>
        <v>3</v>
      </c>
      <c r="P126">
        <f t="shared" si="49"/>
        <v>630</v>
      </c>
      <c r="Q126">
        <f t="shared" si="50"/>
        <v>0.52098360655737697</v>
      </c>
      <c r="R126">
        <f t="shared" ref="R126:R149" si="52">R125+Q126</f>
        <v>1.1495081967213112</v>
      </c>
    </row>
    <row r="127" spans="1:18" x14ac:dyDescent="0.3">
      <c r="A127" t="s">
        <v>6</v>
      </c>
      <c r="B127" s="1">
        <v>45078</v>
      </c>
      <c r="C127" t="s">
        <v>8</v>
      </c>
      <c r="D127" t="s">
        <v>10</v>
      </c>
      <c r="E127">
        <v>4</v>
      </c>
      <c r="F127">
        <v>13.2</v>
      </c>
      <c r="G127">
        <v>0.25</v>
      </c>
      <c r="H127">
        <v>0</v>
      </c>
      <c r="I127">
        <f t="shared" si="45"/>
        <v>0.25</v>
      </c>
      <c r="J127">
        <f t="shared" si="46"/>
        <v>13.45</v>
      </c>
      <c r="K127">
        <f t="shared" si="47"/>
        <v>0.44999999999999929</v>
      </c>
      <c r="L127">
        <f t="shared" si="51"/>
        <v>4.75</v>
      </c>
      <c r="M127">
        <f t="shared" si="25"/>
        <v>0.40163934426229497</v>
      </c>
      <c r="N127">
        <v>6</v>
      </c>
      <c r="O127">
        <f t="shared" si="48"/>
        <v>3.25</v>
      </c>
      <c r="P127">
        <f t="shared" si="49"/>
        <v>682.5</v>
      </c>
      <c r="Q127">
        <f t="shared" si="50"/>
        <v>0.57836065573770501</v>
      </c>
      <c r="R127">
        <f t="shared" si="52"/>
        <v>1.7278688524590162</v>
      </c>
    </row>
    <row r="128" spans="1:18" x14ac:dyDescent="0.3">
      <c r="A128" t="s">
        <v>0</v>
      </c>
      <c r="B128" s="1">
        <v>45079</v>
      </c>
      <c r="C128" t="s">
        <v>8</v>
      </c>
      <c r="D128" t="s">
        <v>10</v>
      </c>
      <c r="E128">
        <v>4</v>
      </c>
      <c r="F128">
        <v>13</v>
      </c>
      <c r="G128">
        <v>0.25</v>
      </c>
      <c r="H128">
        <v>0</v>
      </c>
      <c r="I128">
        <f t="shared" si="45"/>
        <v>0.25</v>
      </c>
      <c r="J128">
        <f t="shared" si="46"/>
        <v>13.25</v>
      </c>
      <c r="K128">
        <f t="shared" si="47"/>
        <v>0.34999999999999964</v>
      </c>
      <c r="L128">
        <f t="shared" si="51"/>
        <v>5.0999999999999996</v>
      </c>
      <c r="M128">
        <f t="shared" si="25"/>
        <v>0.36885245901639346</v>
      </c>
      <c r="N128">
        <v>7</v>
      </c>
      <c r="O128">
        <f t="shared" si="48"/>
        <v>3.5</v>
      </c>
      <c r="P128">
        <f t="shared" si="49"/>
        <v>735</v>
      </c>
      <c r="Q128">
        <f t="shared" si="50"/>
        <v>0.61114754098360646</v>
      </c>
      <c r="R128">
        <f t="shared" si="52"/>
        <v>2.3390163934426225</v>
      </c>
    </row>
    <row r="129" spans="1:18" x14ac:dyDescent="0.3">
      <c r="A129" t="s">
        <v>1</v>
      </c>
      <c r="B129" s="1">
        <v>45080</v>
      </c>
      <c r="C129" t="s">
        <v>8</v>
      </c>
      <c r="D129" t="s">
        <v>10</v>
      </c>
      <c r="E129">
        <v>4</v>
      </c>
      <c r="F129">
        <v>12.9</v>
      </c>
      <c r="G129">
        <v>0</v>
      </c>
      <c r="H129">
        <v>0.1</v>
      </c>
      <c r="I129">
        <f t="shared" si="45"/>
        <v>0.1</v>
      </c>
      <c r="J129">
        <f t="shared" si="46"/>
        <v>13</v>
      </c>
      <c r="K129">
        <f t="shared" si="47"/>
        <v>0.69999999999999929</v>
      </c>
      <c r="L129">
        <f t="shared" si="51"/>
        <v>5.7999999999999989</v>
      </c>
      <c r="M129">
        <f t="shared" si="25"/>
        <v>0.32786885245901642</v>
      </c>
      <c r="N129">
        <v>8</v>
      </c>
      <c r="O129">
        <f t="shared" si="48"/>
        <v>3.5</v>
      </c>
      <c r="P129">
        <f t="shared" si="49"/>
        <v>735</v>
      </c>
      <c r="Q129">
        <f t="shared" si="50"/>
        <v>0.65213114754098356</v>
      </c>
      <c r="R129">
        <f t="shared" si="52"/>
        <v>2.9911475409836061</v>
      </c>
    </row>
    <row r="130" spans="1:18" x14ac:dyDescent="0.3">
      <c r="A130" t="s">
        <v>2</v>
      </c>
      <c r="B130" s="1">
        <v>45081</v>
      </c>
      <c r="C130" t="s">
        <v>8</v>
      </c>
      <c r="D130" t="s">
        <v>10</v>
      </c>
      <c r="E130">
        <v>4</v>
      </c>
      <c r="F130">
        <v>12.3</v>
      </c>
      <c r="G130">
        <v>0</v>
      </c>
      <c r="H130">
        <v>0.7</v>
      </c>
      <c r="I130">
        <f t="shared" si="45"/>
        <v>0.7</v>
      </c>
      <c r="J130">
        <f t="shared" si="46"/>
        <v>13</v>
      </c>
      <c r="K130">
        <f t="shared" si="47"/>
        <v>0.80000000000000071</v>
      </c>
      <c r="L130">
        <f t="shared" si="51"/>
        <v>6.6</v>
      </c>
      <c r="M130">
        <f t="shared" si="25"/>
        <v>0.32786885245901642</v>
      </c>
      <c r="N130">
        <v>9</v>
      </c>
      <c r="O130">
        <f t="shared" si="48"/>
        <v>3.5</v>
      </c>
      <c r="P130">
        <f t="shared" si="49"/>
        <v>735</v>
      </c>
      <c r="Q130">
        <f t="shared" si="50"/>
        <v>0.65213114754098356</v>
      </c>
      <c r="R130">
        <f t="shared" si="52"/>
        <v>3.6432786885245898</v>
      </c>
    </row>
    <row r="131" spans="1:18" x14ac:dyDescent="0.3">
      <c r="A131" t="s">
        <v>3</v>
      </c>
      <c r="B131" s="1">
        <v>45082</v>
      </c>
      <c r="C131" t="s">
        <v>8</v>
      </c>
      <c r="D131" t="s">
        <v>10</v>
      </c>
      <c r="E131">
        <v>4</v>
      </c>
      <c r="F131">
        <v>12.2</v>
      </c>
      <c r="G131">
        <v>0.25</v>
      </c>
      <c r="H131">
        <f>13-F131-G131</f>
        <v>0.55000000000000071</v>
      </c>
      <c r="I131">
        <f t="shared" si="45"/>
        <v>0.80000000000000071</v>
      </c>
      <c r="J131">
        <f t="shared" si="46"/>
        <v>13</v>
      </c>
      <c r="K131">
        <f t="shared" si="47"/>
        <v>0.59999999999999964</v>
      </c>
      <c r="L131">
        <f t="shared" si="51"/>
        <v>7.1999999999999993</v>
      </c>
      <c r="M131">
        <f t="shared" ref="M131:M194" si="53">(J131-11)/6.1</f>
        <v>0.32786885245901642</v>
      </c>
      <c r="N131">
        <v>10</v>
      </c>
      <c r="O131">
        <f t="shared" si="48"/>
        <v>3.75</v>
      </c>
      <c r="P131">
        <f t="shared" si="49"/>
        <v>787.5</v>
      </c>
      <c r="Q131">
        <f t="shared" si="50"/>
        <v>0.65213114754098356</v>
      </c>
      <c r="R131">
        <f t="shared" si="52"/>
        <v>4.2954098360655735</v>
      </c>
    </row>
    <row r="132" spans="1:18" x14ac:dyDescent="0.3">
      <c r="A132" t="s">
        <v>4</v>
      </c>
      <c r="B132" s="1">
        <v>45083</v>
      </c>
      <c r="C132" t="s">
        <v>8</v>
      </c>
      <c r="D132" t="s">
        <v>10</v>
      </c>
      <c r="E132">
        <v>4</v>
      </c>
      <c r="F132">
        <v>12.4</v>
      </c>
      <c r="G132">
        <v>0.25</v>
      </c>
      <c r="H132">
        <f t="shared" ref="H132:H139" si="54">13-F132-G132</f>
        <v>0.34999999999999964</v>
      </c>
      <c r="I132">
        <f t="shared" si="45"/>
        <v>0.59999999999999964</v>
      </c>
      <c r="J132">
        <f t="shared" si="46"/>
        <v>13</v>
      </c>
      <c r="K132">
        <f t="shared" si="47"/>
        <v>1.0999999999999996</v>
      </c>
      <c r="L132">
        <f t="shared" si="51"/>
        <v>8.2999999999999989</v>
      </c>
      <c r="M132">
        <f t="shared" si="53"/>
        <v>0.32786885245901642</v>
      </c>
      <c r="N132">
        <v>11</v>
      </c>
      <c r="O132">
        <f t="shared" si="48"/>
        <v>4</v>
      </c>
      <c r="P132">
        <f t="shared" si="49"/>
        <v>840</v>
      </c>
      <c r="Q132">
        <f t="shared" si="50"/>
        <v>0.65213114754098356</v>
      </c>
      <c r="R132">
        <f t="shared" si="52"/>
        <v>4.9475409836065571</v>
      </c>
    </row>
    <row r="133" spans="1:18" x14ac:dyDescent="0.3">
      <c r="A133" t="s">
        <v>5</v>
      </c>
      <c r="B133" s="1">
        <v>45084</v>
      </c>
      <c r="C133" t="s">
        <v>8</v>
      </c>
      <c r="D133" t="s">
        <v>10</v>
      </c>
      <c r="E133">
        <v>4</v>
      </c>
      <c r="F133">
        <v>11.9</v>
      </c>
      <c r="G133">
        <v>0</v>
      </c>
      <c r="H133">
        <f t="shared" si="54"/>
        <v>1.0999999999999996</v>
      </c>
      <c r="I133">
        <f t="shared" si="45"/>
        <v>1.0999999999999996</v>
      </c>
      <c r="J133">
        <f t="shared" si="46"/>
        <v>13</v>
      </c>
      <c r="K133">
        <f t="shared" si="47"/>
        <v>0.90000000000000036</v>
      </c>
      <c r="L133">
        <f t="shared" si="51"/>
        <v>9.1999999999999993</v>
      </c>
      <c r="M133">
        <f t="shared" si="53"/>
        <v>0.32786885245901642</v>
      </c>
      <c r="N133">
        <v>12</v>
      </c>
      <c r="O133">
        <f t="shared" si="48"/>
        <v>4</v>
      </c>
      <c r="P133">
        <f t="shared" si="49"/>
        <v>840</v>
      </c>
      <c r="Q133">
        <f t="shared" si="50"/>
        <v>0.65213114754098356</v>
      </c>
      <c r="R133">
        <f t="shared" si="52"/>
        <v>5.5996721311475408</v>
      </c>
    </row>
    <row r="134" spans="1:18" x14ac:dyDescent="0.3">
      <c r="A134" t="s">
        <v>6</v>
      </c>
      <c r="B134" s="1">
        <v>45085</v>
      </c>
      <c r="C134" t="s">
        <v>8</v>
      </c>
      <c r="D134" t="s">
        <v>10</v>
      </c>
      <c r="E134">
        <v>4</v>
      </c>
      <c r="F134">
        <v>12.1</v>
      </c>
      <c r="G134">
        <v>0.25</v>
      </c>
      <c r="H134">
        <f t="shared" si="54"/>
        <v>0.65000000000000036</v>
      </c>
      <c r="I134">
        <f t="shared" si="45"/>
        <v>0.90000000000000036</v>
      </c>
      <c r="J134">
        <f t="shared" si="46"/>
        <v>13</v>
      </c>
      <c r="K134">
        <f t="shared" si="47"/>
        <v>1</v>
      </c>
      <c r="L134">
        <f t="shared" si="51"/>
        <v>10.199999999999999</v>
      </c>
      <c r="M134">
        <f t="shared" si="53"/>
        <v>0.32786885245901642</v>
      </c>
      <c r="N134">
        <v>13</v>
      </c>
      <c r="O134">
        <f t="shared" si="48"/>
        <v>4.25</v>
      </c>
      <c r="P134">
        <f t="shared" si="49"/>
        <v>892.5</v>
      </c>
      <c r="Q134">
        <f t="shared" si="50"/>
        <v>0.65213114754098356</v>
      </c>
      <c r="R134">
        <f t="shared" si="52"/>
        <v>6.2518032786885245</v>
      </c>
    </row>
    <row r="135" spans="1:18" x14ac:dyDescent="0.3">
      <c r="A135" t="s">
        <v>0</v>
      </c>
      <c r="B135" s="1">
        <v>45086</v>
      </c>
      <c r="C135" t="s">
        <v>8</v>
      </c>
      <c r="D135" t="s">
        <v>10</v>
      </c>
      <c r="E135">
        <v>4</v>
      </c>
      <c r="F135">
        <v>12</v>
      </c>
      <c r="G135">
        <v>0.25</v>
      </c>
      <c r="H135">
        <f t="shared" si="54"/>
        <v>0.75</v>
      </c>
      <c r="I135">
        <f t="shared" si="45"/>
        <v>1</v>
      </c>
      <c r="J135">
        <f t="shared" si="46"/>
        <v>13</v>
      </c>
      <c r="K135">
        <f t="shared" si="47"/>
        <v>1.1999999999999993</v>
      </c>
      <c r="L135">
        <f t="shared" si="51"/>
        <v>11.399999999999999</v>
      </c>
      <c r="M135">
        <f t="shared" si="53"/>
        <v>0.32786885245901642</v>
      </c>
      <c r="N135">
        <v>14</v>
      </c>
      <c r="O135">
        <f t="shared" si="48"/>
        <v>4.5</v>
      </c>
      <c r="P135">
        <f t="shared" si="49"/>
        <v>945</v>
      </c>
      <c r="Q135">
        <f t="shared" si="50"/>
        <v>0.65213114754098356</v>
      </c>
      <c r="R135">
        <f t="shared" si="52"/>
        <v>6.9039344262295081</v>
      </c>
    </row>
    <row r="136" spans="1:18" x14ac:dyDescent="0.3">
      <c r="A136" t="s">
        <v>1</v>
      </c>
      <c r="B136" s="1">
        <v>45087</v>
      </c>
      <c r="C136" t="s">
        <v>8</v>
      </c>
      <c r="D136" t="s">
        <v>10</v>
      </c>
      <c r="E136">
        <v>4</v>
      </c>
      <c r="F136">
        <v>11.8</v>
      </c>
      <c r="G136">
        <v>0</v>
      </c>
      <c r="H136">
        <f t="shared" si="54"/>
        <v>1.1999999999999993</v>
      </c>
      <c r="I136">
        <f t="shared" si="45"/>
        <v>1.1999999999999993</v>
      </c>
      <c r="J136">
        <f t="shared" si="46"/>
        <v>13</v>
      </c>
      <c r="K136">
        <f t="shared" si="47"/>
        <v>1</v>
      </c>
      <c r="L136">
        <f t="shared" si="51"/>
        <v>12.399999999999999</v>
      </c>
      <c r="M136">
        <f t="shared" si="53"/>
        <v>0.32786885245901642</v>
      </c>
      <c r="N136">
        <v>15</v>
      </c>
      <c r="O136">
        <f t="shared" si="48"/>
        <v>4.5</v>
      </c>
      <c r="P136">
        <f t="shared" si="49"/>
        <v>945</v>
      </c>
      <c r="Q136">
        <f t="shared" si="50"/>
        <v>0.65213114754098356</v>
      </c>
      <c r="R136">
        <f t="shared" si="52"/>
        <v>7.5560655737704918</v>
      </c>
    </row>
    <row r="137" spans="1:18" x14ac:dyDescent="0.3">
      <c r="A137" t="s">
        <v>2</v>
      </c>
      <c r="B137" s="1">
        <v>45088</v>
      </c>
      <c r="C137" t="s">
        <v>8</v>
      </c>
      <c r="D137" t="s">
        <v>10</v>
      </c>
      <c r="E137">
        <v>4</v>
      </c>
      <c r="F137">
        <v>12</v>
      </c>
      <c r="G137">
        <v>0</v>
      </c>
      <c r="H137">
        <f t="shared" si="54"/>
        <v>1</v>
      </c>
      <c r="I137">
        <f t="shared" si="45"/>
        <v>1</v>
      </c>
      <c r="J137">
        <f t="shared" si="46"/>
        <v>13</v>
      </c>
      <c r="K137">
        <f t="shared" si="47"/>
        <v>1</v>
      </c>
      <c r="L137">
        <f t="shared" si="51"/>
        <v>13.399999999999999</v>
      </c>
      <c r="M137">
        <f t="shared" si="53"/>
        <v>0.32786885245901642</v>
      </c>
      <c r="N137">
        <v>16</v>
      </c>
      <c r="O137">
        <f t="shared" si="48"/>
        <v>4.5</v>
      </c>
      <c r="P137">
        <f t="shared" si="49"/>
        <v>945</v>
      </c>
      <c r="Q137">
        <f t="shared" si="50"/>
        <v>0.65213114754098356</v>
      </c>
      <c r="R137">
        <f t="shared" si="52"/>
        <v>8.2081967213114755</v>
      </c>
    </row>
    <row r="138" spans="1:18" x14ac:dyDescent="0.3">
      <c r="A138" t="s">
        <v>3</v>
      </c>
      <c r="B138" s="1">
        <v>45089</v>
      </c>
      <c r="C138" t="s">
        <v>8</v>
      </c>
      <c r="D138" t="s">
        <v>10</v>
      </c>
      <c r="E138">
        <v>4</v>
      </c>
      <c r="F138">
        <v>12</v>
      </c>
      <c r="G138">
        <v>0.5</v>
      </c>
      <c r="H138">
        <f t="shared" si="54"/>
        <v>0.5</v>
      </c>
      <c r="I138">
        <f t="shared" si="45"/>
        <v>1</v>
      </c>
      <c r="J138">
        <f t="shared" si="46"/>
        <v>13</v>
      </c>
      <c r="K138">
        <f t="shared" si="47"/>
        <v>0.40000000000000036</v>
      </c>
      <c r="L138">
        <f t="shared" si="51"/>
        <v>13.799999999999999</v>
      </c>
      <c r="M138">
        <f t="shared" si="53"/>
        <v>0.32786885245901642</v>
      </c>
      <c r="N138">
        <v>17</v>
      </c>
      <c r="O138">
        <f t="shared" si="48"/>
        <v>5</v>
      </c>
      <c r="P138">
        <f t="shared" si="49"/>
        <v>1050</v>
      </c>
      <c r="Q138">
        <f t="shared" si="50"/>
        <v>0.65213114754098356</v>
      </c>
      <c r="R138">
        <f t="shared" si="52"/>
        <v>8.8603278688524583</v>
      </c>
    </row>
    <row r="139" spans="1:18" x14ac:dyDescent="0.3">
      <c r="A139" t="s">
        <v>4</v>
      </c>
      <c r="B139" s="1">
        <v>45090</v>
      </c>
      <c r="C139" t="s">
        <v>8</v>
      </c>
      <c r="D139" t="s">
        <v>10</v>
      </c>
      <c r="E139">
        <v>4</v>
      </c>
      <c r="F139">
        <v>12.6</v>
      </c>
      <c r="G139">
        <v>0</v>
      </c>
      <c r="H139">
        <f t="shared" si="54"/>
        <v>0.40000000000000036</v>
      </c>
      <c r="I139">
        <f t="shared" si="45"/>
        <v>0.40000000000000036</v>
      </c>
      <c r="J139">
        <f t="shared" si="46"/>
        <v>13</v>
      </c>
      <c r="K139">
        <f t="shared" si="47"/>
        <v>0.69999999999999929</v>
      </c>
      <c r="L139">
        <f t="shared" si="51"/>
        <v>14.499999999999998</v>
      </c>
      <c r="M139">
        <f t="shared" si="53"/>
        <v>0.32786885245901642</v>
      </c>
      <c r="N139">
        <v>18</v>
      </c>
      <c r="O139">
        <f t="shared" si="48"/>
        <v>5</v>
      </c>
      <c r="P139">
        <f t="shared" si="49"/>
        <v>1050</v>
      </c>
      <c r="Q139">
        <f t="shared" si="50"/>
        <v>0.65213114754098356</v>
      </c>
      <c r="R139">
        <f t="shared" si="52"/>
        <v>9.512459016393441</v>
      </c>
    </row>
    <row r="140" spans="1:18" x14ac:dyDescent="0.3">
      <c r="A140" t="s">
        <v>5</v>
      </c>
      <c r="B140" s="1">
        <v>45091</v>
      </c>
      <c r="C140" t="s">
        <v>8</v>
      </c>
      <c r="D140" t="s">
        <v>10</v>
      </c>
      <c r="E140">
        <v>4</v>
      </c>
      <c r="F140">
        <v>12.3</v>
      </c>
      <c r="G140">
        <v>0</v>
      </c>
      <c r="H140">
        <v>0</v>
      </c>
      <c r="I140">
        <f t="shared" si="45"/>
        <v>0</v>
      </c>
      <c r="J140">
        <f t="shared" si="46"/>
        <v>12.3</v>
      </c>
      <c r="K140">
        <f t="shared" si="47"/>
        <v>0.90000000000000036</v>
      </c>
      <c r="L140">
        <f t="shared" si="51"/>
        <v>15.399999999999999</v>
      </c>
      <c r="M140">
        <f t="shared" si="53"/>
        <v>0.21311475409836078</v>
      </c>
      <c r="N140">
        <v>19</v>
      </c>
      <c r="O140">
        <f t="shared" si="48"/>
        <v>5</v>
      </c>
      <c r="P140">
        <f t="shared" si="49"/>
        <v>1050</v>
      </c>
      <c r="Q140">
        <f t="shared" si="50"/>
        <v>0.7668852459016392</v>
      </c>
      <c r="R140">
        <f t="shared" si="52"/>
        <v>10.27934426229508</v>
      </c>
    </row>
    <row r="141" spans="1:18" x14ac:dyDescent="0.3">
      <c r="A141" t="s">
        <v>6</v>
      </c>
      <c r="B141" s="1">
        <v>45092</v>
      </c>
      <c r="C141" t="s">
        <v>8</v>
      </c>
      <c r="D141" t="s">
        <v>10</v>
      </c>
      <c r="E141">
        <v>4</v>
      </c>
      <c r="F141">
        <v>11.4</v>
      </c>
      <c r="G141">
        <v>0.5</v>
      </c>
      <c r="H141">
        <f>12.2-F141-G141</f>
        <v>0.29999999999999893</v>
      </c>
      <c r="I141">
        <f t="shared" si="45"/>
        <v>0.79999999999999893</v>
      </c>
      <c r="J141">
        <f t="shared" si="46"/>
        <v>12.2</v>
      </c>
      <c r="K141">
        <f t="shared" si="47"/>
        <v>0.89999999999999858</v>
      </c>
      <c r="L141">
        <f t="shared" si="51"/>
        <v>16.299999999999997</v>
      </c>
      <c r="M141">
        <f t="shared" si="53"/>
        <v>0.19672131147540972</v>
      </c>
      <c r="N141">
        <v>20</v>
      </c>
      <c r="O141">
        <f t="shared" si="48"/>
        <v>5.5</v>
      </c>
      <c r="P141">
        <f t="shared" si="49"/>
        <v>1155</v>
      </c>
      <c r="Q141">
        <f t="shared" si="50"/>
        <v>0.78327868852459026</v>
      </c>
      <c r="R141">
        <f t="shared" si="52"/>
        <v>11.062622950819669</v>
      </c>
    </row>
    <row r="142" spans="1:18" x14ac:dyDescent="0.3">
      <c r="A142" t="s">
        <v>0</v>
      </c>
      <c r="B142" s="1">
        <v>45093</v>
      </c>
      <c r="C142" t="s">
        <v>8</v>
      </c>
      <c r="D142" t="s">
        <v>10</v>
      </c>
      <c r="E142">
        <v>4</v>
      </c>
      <c r="F142">
        <v>11.3</v>
      </c>
      <c r="G142">
        <v>0</v>
      </c>
      <c r="H142">
        <f>12.2-F142-G142</f>
        <v>0.89999999999999858</v>
      </c>
      <c r="I142">
        <f t="shared" si="45"/>
        <v>0.89999999999999858</v>
      </c>
      <c r="J142">
        <f t="shared" si="46"/>
        <v>12.2</v>
      </c>
      <c r="K142">
        <f t="shared" si="47"/>
        <v>1</v>
      </c>
      <c r="L142">
        <f t="shared" si="51"/>
        <v>17.299999999999997</v>
      </c>
      <c r="M142">
        <f t="shared" si="53"/>
        <v>0.19672131147540972</v>
      </c>
      <c r="N142">
        <v>21</v>
      </c>
      <c r="O142">
        <f t="shared" si="48"/>
        <v>5.5</v>
      </c>
      <c r="P142">
        <f t="shared" si="49"/>
        <v>1155</v>
      </c>
      <c r="Q142">
        <f t="shared" si="50"/>
        <v>0.78327868852459026</v>
      </c>
      <c r="R142">
        <f t="shared" si="52"/>
        <v>11.845901639344259</v>
      </c>
    </row>
    <row r="143" spans="1:18" x14ac:dyDescent="0.3">
      <c r="A143" t="s">
        <v>1</v>
      </c>
      <c r="B143" s="1">
        <v>45094</v>
      </c>
      <c r="C143" t="s">
        <v>8</v>
      </c>
      <c r="D143" t="s">
        <v>10</v>
      </c>
      <c r="E143">
        <v>4</v>
      </c>
      <c r="F143">
        <v>11.2</v>
      </c>
      <c r="G143">
        <v>0</v>
      </c>
      <c r="H143">
        <f>12.2-F143-G143</f>
        <v>1</v>
      </c>
      <c r="I143">
        <f t="shared" si="45"/>
        <v>1</v>
      </c>
      <c r="J143">
        <f t="shared" si="46"/>
        <v>12.2</v>
      </c>
      <c r="K143">
        <f t="shared" si="47"/>
        <v>0.89999999999999858</v>
      </c>
      <c r="L143">
        <f t="shared" si="51"/>
        <v>18.199999999999996</v>
      </c>
      <c r="M143">
        <f t="shared" si="53"/>
        <v>0.19672131147540972</v>
      </c>
      <c r="N143">
        <v>22</v>
      </c>
      <c r="O143">
        <f t="shared" si="48"/>
        <v>5.5</v>
      </c>
      <c r="P143">
        <f t="shared" si="49"/>
        <v>1155</v>
      </c>
      <c r="Q143">
        <f t="shared" si="50"/>
        <v>0.78327868852459026</v>
      </c>
      <c r="R143">
        <f t="shared" si="52"/>
        <v>12.629180327868848</v>
      </c>
    </row>
    <row r="144" spans="1:18" x14ac:dyDescent="0.3">
      <c r="A144" t="s">
        <v>2</v>
      </c>
      <c r="B144" s="1">
        <v>45095</v>
      </c>
      <c r="C144" t="s">
        <v>8</v>
      </c>
      <c r="D144" t="s">
        <v>10</v>
      </c>
      <c r="E144">
        <v>4</v>
      </c>
      <c r="F144">
        <v>11.3</v>
      </c>
      <c r="G144">
        <v>0</v>
      </c>
      <c r="H144">
        <f t="shared" ref="H144:H145" si="55">12.2-F144-G144</f>
        <v>0.89999999999999858</v>
      </c>
      <c r="I144">
        <f t="shared" si="45"/>
        <v>0.89999999999999858</v>
      </c>
      <c r="J144">
        <f t="shared" si="46"/>
        <v>12.2</v>
      </c>
      <c r="K144">
        <f t="shared" si="47"/>
        <v>0.89999999999999858</v>
      </c>
      <c r="L144">
        <f t="shared" si="51"/>
        <v>19.099999999999994</v>
      </c>
      <c r="M144">
        <f t="shared" si="53"/>
        <v>0.19672131147540972</v>
      </c>
      <c r="N144">
        <v>23</v>
      </c>
      <c r="O144">
        <f t="shared" si="48"/>
        <v>5.5</v>
      </c>
      <c r="P144">
        <f t="shared" si="49"/>
        <v>1155</v>
      </c>
      <c r="Q144">
        <f t="shared" si="50"/>
        <v>0.78327868852459026</v>
      </c>
      <c r="R144">
        <f t="shared" si="52"/>
        <v>13.412459016393438</v>
      </c>
    </row>
    <row r="145" spans="1:18" x14ac:dyDescent="0.3">
      <c r="A145" t="s">
        <v>3</v>
      </c>
      <c r="B145" s="1">
        <v>45096</v>
      </c>
      <c r="C145" t="s">
        <v>8</v>
      </c>
      <c r="D145" t="s">
        <v>10</v>
      </c>
      <c r="E145">
        <v>4</v>
      </c>
      <c r="F145">
        <v>11.3</v>
      </c>
      <c r="G145">
        <v>0.5</v>
      </c>
      <c r="H145">
        <f t="shared" si="55"/>
        <v>0.39999999999999858</v>
      </c>
      <c r="I145">
        <f t="shared" si="45"/>
        <v>0.89999999999999858</v>
      </c>
      <c r="J145">
        <f t="shared" si="46"/>
        <v>12.2</v>
      </c>
      <c r="K145">
        <f t="shared" si="47"/>
        <v>1</v>
      </c>
      <c r="L145">
        <f t="shared" si="51"/>
        <v>20.099999999999994</v>
      </c>
      <c r="M145">
        <f t="shared" si="53"/>
        <v>0.19672131147540972</v>
      </c>
      <c r="N145">
        <v>24</v>
      </c>
      <c r="O145">
        <f t="shared" si="48"/>
        <v>6</v>
      </c>
      <c r="P145">
        <f t="shared" si="49"/>
        <v>1260</v>
      </c>
      <c r="Q145">
        <f t="shared" si="50"/>
        <v>0.78327868852459026</v>
      </c>
      <c r="R145">
        <f t="shared" si="52"/>
        <v>14.195737704918027</v>
      </c>
    </row>
    <row r="146" spans="1:18" x14ac:dyDescent="0.3">
      <c r="A146" t="s">
        <v>4</v>
      </c>
      <c r="B146" s="1">
        <v>45097</v>
      </c>
      <c r="C146" t="s">
        <v>8</v>
      </c>
      <c r="D146" t="s">
        <v>10</v>
      </c>
      <c r="E146">
        <v>4</v>
      </c>
      <c r="F146">
        <v>11.2</v>
      </c>
      <c r="G146">
        <v>0</v>
      </c>
      <c r="H146">
        <f>12.1-F146-G146</f>
        <v>0.90000000000000036</v>
      </c>
      <c r="I146">
        <f t="shared" si="45"/>
        <v>0.90000000000000036</v>
      </c>
      <c r="J146">
        <f t="shared" si="46"/>
        <v>12.1</v>
      </c>
      <c r="K146">
        <f t="shared" si="47"/>
        <v>0.79999999999999893</v>
      </c>
      <c r="L146">
        <f>L145+K146</f>
        <v>20.899999999999991</v>
      </c>
      <c r="M146">
        <f t="shared" si="53"/>
        <v>0.18032786885245897</v>
      </c>
      <c r="N146">
        <v>25</v>
      </c>
      <c r="O146">
        <f t="shared" si="48"/>
        <v>6</v>
      </c>
      <c r="P146">
        <f t="shared" si="49"/>
        <v>1260</v>
      </c>
      <c r="Q146">
        <f t="shared" si="50"/>
        <v>0.79967213114754099</v>
      </c>
      <c r="R146">
        <f t="shared" si="52"/>
        <v>14.995409836065569</v>
      </c>
    </row>
    <row r="147" spans="1:18" x14ac:dyDescent="0.3">
      <c r="A147" t="s">
        <v>5</v>
      </c>
      <c r="B147" s="1">
        <v>45098</v>
      </c>
      <c r="C147" t="s">
        <v>8</v>
      </c>
      <c r="D147" t="s">
        <v>10</v>
      </c>
      <c r="E147">
        <v>4</v>
      </c>
      <c r="F147">
        <v>11.3</v>
      </c>
      <c r="G147">
        <v>0</v>
      </c>
      <c r="H147">
        <f t="shared" ref="H147:H149" si="56">12.1-F147-G147</f>
        <v>0.79999999999999893</v>
      </c>
      <c r="I147">
        <f t="shared" si="45"/>
        <v>0.79999999999999893</v>
      </c>
      <c r="J147">
        <f t="shared" si="46"/>
        <v>12.1</v>
      </c>
      <c r="K147">
        <f t="shared" si="47"/>
        <v>0.90000000000000036</v>
      </c>
      <c r="L147">
        <f t="shared" ref="L147:L159" si="57">L146+K147</f>
        <v>21.79999999999999</v>
      </c>
      <c r="M147">
        <f t="shared" si="53"/>
        <v>0.18032786885245897</v>
      </c>
      <c r="N147">
        <v>26</v>
      </c>
      <c r="O147">
        <f t="shared" si="48"/>
        <v>6</v>
      </c>
      <c r="P147">
        <f t="shared" si="49"/>
        <v>1260</v>
      </c>
      <c r="Q147">
        <f t="shared" si="50"/>
        <v>0.79967213114754099</v>
      </c>
      <c r="R147">
        <f t="shared" si="52"/>
        <v>15.795081967213111</v>
      </c>
    </row>
    <row r="148" spans="1:18" x14ac:dyDescent="0.3">
      <c r="A148" t="s">
        <v>6</v>
      </c>
      <c r="B148" s="1">
        <v>45099</v>
      </c>
      <c r="C148" t="s">
        <v>8</v>
      </c>
      <c r="D148" t="s">
        <v>10</v>
      </c>
      <c r="E148">
        <v>4</v>
      </c>
      <c r="F148">
        <v>11.2</v>
      </c>
      <c r="G148">
        <v>0.5</v>
      </c>
      <c r="H148">
        <f t="shared" si="56"/>
        <v>0.40000000000000036</v>
      </c>
      <c r="I148">
        <f t="shared" si="45"/>
        <v>0.90000000000000036</v>
      </c>
      <c r="J148">
        <f t="shared" si="46"/>
        <v>12.1</v>
      </c>
      <c r="K148">
        <f t="shared" si="47"/>
        <v>0.79999999999999893</v>
      </c>
      <c r="L148">
        <f t="shared" si="57"/>
        <v>22.599999999999987</v>
      </c>
      <c r="M148">
        <f t="shared" si="53"/>
        <v>0.18032786885245897</v>
      </c>
      <c r="N148">
        <v>27</v>
      </c>
      <c r="O148">
        <f t="shared" si="48"/>
        <v>6.5</v>
      </c>
      <c r="P148">
        <f t="shared" si="49"/>
        <v>1365</v>
      </c>
      <c r="Q148">
        <f t="shared" si="50"/>
        <v>0.79967213114754099</v>
      </c>
      <c r="R148">
        <f t="shared" si="52"/>
        <v>16.594754098360653</v>
      </c>
    </row>
    <row r="149" spans="1:18" x14ac:dyDescent="0.3">
      <c r="A149" t="s">
        <v>0</v>
      </c>
      <c r="B149" s="1">
        <v>45100</v>
      </c>
      <c r="C149" t="s">
        <v>8</v>
      </c>
      <c r="D149" t="s">
        <v>10</v>
      </c>
      <c r="E149">
        <v>4</v>
      </c>
      <c r="F149">
        <v>11.3</v>
      </c>
      <c r="G149">
        <v>0</v>
      </c>
      <c r="H149">
        <f t="shared" si="56"/>
        <v>0.79999999999999893</v>
      </c>
      <c r="I149">
        <f t="shared" si="45"/>
        <v>0.79999999999999893</v>
      </c>
      <c r="J149">
        <f t="shared" si="46"/>
        <v>12.1</v>
      </c>
      <c r="K149">
        <f t="shared" si="47"/>
        <v>0.79999999999999893</v>
      </c>
      <c r="L149">
        <f t="shared" si="57"/>
        <v>23.399999999999984</v>
      </c>
      <c r="M149">
        <f t="shared" si="53"/>
        <v>0.18032786885245897</v>
      </c>
      <c r="N149">
        <v>28</v>
      </c>
      <c r="O149">
        <f t="shared" si="48"/>
        <v>6.5</v>
      </c>
      <c r="P149">
        <f t="shared" si="49"/>
        <v>1365</v>
      </c>
      <c r="Q149">
        <f t="shared" si="50"/>
        <v>0.79967213114754099</v>
      </c>
      <c r="R149">
        <f t="shared" si="52"/>
        <v>17.394426229508195</v>
      </c>
    </row>
    <row r="150" spans="1:18" x14ac:dyDescent="0.3">
      <c r="A150" t="s">
        <v>1</v>
      </c>
      <c r="B150" s="1">
        <v>45101</v>
      </c>
      <c r="C150" t="s">
        <v>8</v>
      </c>
      <c r="D150" t="s">
        <v>10</v>
      </c>
      <c r="E150">
        <v>4</v>
      </c>
      <c r="F150">
        <v>11.3</v>
      </c>
      <c r="G150">
        <v>0</v>
      </c>
      <c r="H150">
        <v>4.9000000000000004</v>
      </c>
      <c r="I150">
        <f t="shared" si="45"/>
        <v>4.9000000000000004</v>
      </c>
      <c r="J150">
        <f t="shared" si="46"/>
        <v>16.200000000000003</v>
      </c>
      <c r="K150">
        <f t="shared" si="47"/>
        <v>1.0000000000000036</v>
      </c>
      <c r="L150">
        <f t="shared" si="57"/>
        <v>24.399999999999988</v>
      </c>
      <c r="M150">
        <f t="shared" si="53"/>
        <v>0.85245901639344313</v>
      </c>
      <c r="N150">
        <v>29</v>
      </c>
      <c r="O150">
        <f t="shared" si="48"/>
        <v>6.5</v>
      </c>
      <c r="P150">
        <f t="shared" si="49"/>
        <v>1365</v>
      </c>
      <c r="Q150">
        <f t="shared" si="50"/>
        <v>0.12754098360655686</v>
      </c>
      <c r="R150">
        <f>R149+Q150</f>
        <v>17.521967213114753</v>
      </c>
    </row>
    <row r="151" spans="1:18" x14ac:dyDescent="0.3">
      <c r="A151" t="s">
        <v>2</v>
      </c>
      <c r="B151" s="1">
        <v>45102</v>
      </c>
      <c r="C151" t="s">
        <v>8</v>
      </c>
      <c r="D151" t="s">
        <v>10</v>
      </c>
      <c r="E151">
        <v>4</v>
      </c>
      <c r="F151">
        <v>15.2</v>
      </c>
      <c r="G151">
        <v>0</v>
      </c>
      <c r="H151">
        <v>0</v>
      </c>
      <c r="I151">
        <f t="shared" si="45"/>
        <v>0</v>
      </c>
      <c r="J151">
        <f t="shared" si="46"/>
        <v>15.2</v>
      </c>
      <c r="K151">
        <f t="shared" si="47"/>
        <v>1.1999999999999993</v>
      </c>
      <c r="L151">
        <f t="shared" si="57"/>
        <v>25.599999999999987</v>
      </c>
      <c r="M151">
        <f t="shared" si="53"/>
        <v>0.6885245901639343</v>
      </c>
      <c r="N151">
        <v>30</v>
      </c>
      <c r="O151">
        <f t="shared" si="48"/>
        <v>6.5</v>
      </c>
      <c r="P151">
        <f t="shared" si="49"/>
        <v>1365</v>
      </c>
      <c r="Q151">
        <f t="shared" si="50"/>
        <v>0.29147540983606568</v>
      </c>
      <c r="R151">
        <f t="shared" ref="R151:R159" si="58">R150+Q151</f>
        <v>17.813442622950816</v>
      </c>
    </row>
    <row r="152" spans="1:18" x14ac:dyDescent="0.3">
      <c r="A152" t="s">
        <v>3</v>
      </c>
      <c r="B152" s="1">
        <v>45103</v>
      </c>
      <c r="C152" t="s">
        <v>8</v>
      </c>
      <c r="D152" t="s">
        <v>10</v>
      </c>
      <c r="E152">
        <v>4</v>
      </c>
      <c r="F152">
        <v>14</v>
      </c>
      <c r="G152">
        <v>0.5</v>
      </c>
      <c r="H152">
        <v>0</v>
      </c>
      <c r="I152">
        <f t="shared" si="45"/>
        <v>0.5</v>
      </c>
      <c r="J152">
        <f t="shared" si="46"/>
        <v>14.5</v>
      </c>
      <c r="K152">
        <f t="shared" si="47"/>
        <v>0.69999999999999929</v>
      </c>
      <c r="L152">
        <f t="shared" si="57"/>
        <v>26.299999999999986</v>
      </c>
      <c r="M152">
        <f t="shared" si="53"/>
        <v>0.57377049180327877</v>
      </c>
      <c r="N152">
        <v>31</v>
      </c>
      <c r="O152">
        <f t="shared" si="48"/>
        <v>7</v>
      </c>
      <c r="P152">
        <f t="shared" si="49"/>
        <v>1470</v>
      </c>
      <c r="Q152">
        <f t="shared" si="50"/>
        <v>0.40622950819672121</v>
      </c>
      <c r="R152">
        <f t="shared" si="58"/>
        <v>18.219672131147536</v>
      </c>
    </row>
    <row r="153" spans="1:18" x14ac:dyDescent="0.3">
      <c r="A153" t="s">
        <v>4</v>
      </c>
      <c r="B153" s="1">
        <v>45104</v>
      </c>
      <c r="C153" t="s">
        <v>8</v>
      </c>
      <c r="D153" t="s">
        <v>10</v>
      </c>
      <c r="E153">
        <v>4</v>
      </c>
      <c r="F153">
        <v>13.8</v>
      </c>
      <c r="G153">
        <v>0</v>
      </c>
      <c r="H153">
        <v>0</v>
      </c>
      <c r="I153">
        <f t="shared" si="45"/>
        <v>0</v>
      </c>
      <c r="J153">
        <f t="shared" si="46"/>
        <v>13.8</v>
      </c>
      <c r="K153">
        <f t="shared" si="47"/>
        <v>0.90000000000000036</v>
      </c>
      <c r="L153">
        <f t="shared" si="57"/>
        <v>27.199999999999989</v>
      </c>
      <c r="M153">
        <f t="shared" si="53"/>
        <v>0.45901639344262307</v>
      </c>
      <c r="N153">
        <v>32</v>
      </c>
      <c r="O153">
        <f t="shared" si="48"/>
        <v>7</v>
      </c>
      <c r="P153">
        <f t="shared" si="49"/>
        <v>1470</v>
      </c>
      <c r="Q153">
        <f t="shared" si="50"/>
        <v>0.52098360655737697</v>
      </c>
      <c r="R153">
        <f t="shared" si="58"/>
        <v>18.740655737704913</v>
      </c>
    </row>
    <row r="154" spans="1:18" x14ac:dyDescent="0.3">
      <c r="A154" t="s">
        <v>5</v>
      </c>
      <c r="B154" s="1">
        <v>45105</v>
      </c>
      <c r="C154" t="s">
        <v>8</v>
      </c>
      <c r="D154" t="s">
        <v>10</v>
      </c>
      <c r="E154">
        <v>4</v>
      </c>
      <c r="F154">
        <v>12.9</v>
      </c>
      <c r="G154">
        <v>0</v>
      </c>
      <c r="H154">
        <v>0</v>
      </c>
      <c r="I154">
        <f t="shared" si="45"/>
        <v>0</v>
      </c>
      <c r="J154">
        <f t="shared" si="46"/>
        <v>12.9</v>
      </c>
      <c r="K154">
        <f t="shared" si="47"/>
        <v>0.90000000000000036</v>
      </c>
      <c r="L154">
        <f t="shared" si="57"/>
        <v>28.099999999999987</v>
      </c>
      <c r="M154">
        <f t="shared" si="53"/>
        <v>0.31147540983606564</v>
      </c>
      <c r="N154">
        <v>33</v>
      </c>
      <c r="O154">
        <f t="shared" si="48"/>
        <v>7</v>
      </c>
      <c r="P154">
        <f t="shared" si="49"/>
        <v>1470</v>
      </c>
      <c r="Q154">
        <f t="shared" si="50"/>
        <v>0.66852459016393428</v>
      </c>
      <c r="R154">
        <f t="shared" si="58"/>
        <v>19.409180327868846</v>
      </c>
    </row>
    <row r="155" spans="1:18" x14ac:dyDescent="0.3">
      <c r="A155" t="s">
        <v>6</v>
      </c>
      <c r="B155" s="1">
        <v>45106</v>
      </c>
      <c r="C155" t="s">
        <v>8</v>
      </c>
      <c r="D155" t="s">
        <v>10</v>
      </c>
      <c r="E155">
        <v>4</v>
      </c>
      <c r="F155">
        <v>12</v>
      </c>
      <c r="G155">
        <v>0.5</v>
      </c>
      <c r="H155">
        <v>0</v>
      </c>
      <c r="I155">
        <f t="shared" si="45"/>
        <v>0.5</v>
      </c>
      <c r="J155">
        <f t="shared" si="46"/>
        <v>12.5</v>
      </c>
      <c r="K155">
        <f t="shared" si="47"/>
        <v>0.90000000000000036</v>
      </c>
      <c r="L155">
        <f t="shared" si="57"/>
        <v>28.999999999999986</v>
      </c>
      <c r="M155">
        <f t="shared" si="53"/>
        <v>0.24590163934426232</v>
      </c>
      <c r="N155">
        <v>34</v>
      </c>
      <c r="O155">
        <f t="shared" si="48"/>
        <v>7.5</v>
      </c>
      <c r="P155">
        <f t="shared" si="49"/>
        <v>1575</v>
      </c>
      <c r="Q155">
        <f t="shared" si="50"/>
        <v>0.73409836065573764</v>
      </c>
      <c r="R155">
        <f t="shared" si="58"/>
        <v>20.143278688524582</v>
      </c>
    </row>
    <row r="156" spans="1:18" x14ac:dyDescent="0.3">
      <c r="A156" t="s">
        <v>0</v>
      </c>
      <c r="B156" s="1">
        <v>45107</v>
      </c>
      <c r="C156" t="s">
        <v>8</v>
      </c>
      <c r="D156" t="s">
        <v>10</v>
      </c>
      <c r="E156">
        <v>4</v>
      </c>
      <c r="F156">
        <v>11.6</v>
      </c>
      <c r="G156">
        <v>0</v>
      </c>
      <c r="H156">
        <f t="shared" ref="H156:H160" si="59">12.1-F156-G156</f>
        <v>0.5</v>
      </c>
      <c r="I156">
        <f t="shared" si="45"/>
        <v>0.5</v>
      </c>
      <c r="J156">
        <f t="shared" si="46"/>
        <v>12.1</v>
      </c>
      <c r="K156">
        <f t="shared" si="47"/>
        <v>0.29999999999999893</v>
      </c>
      <c r="L156">
        <f t="shared" si="57"/>
        <v>29.299999999999983</v>
      </c>
      <c r="M156">
        <f t="shared" si="53"/>
        <v>0.18032786885245897</v>
      </c>
      <c r="N156">
        <v>35</v>
      </c>
      <c r="O156">
        <f t="shared" si="48"/>
        <v>7.5</v>
      </c>
      <c r="P156">
        <f t="shared" si="49"/>
        <v>1575</v>
      </c>
      <c r="Q156">
        <f t="shared" si="50"/>
        <v>0.79967213114754099</v>
      </c>
      <c r="R156">
        <f t="shared" si="58"/>
        <v>20.942950819672124</v>
      </c>
    </row>
    <row r="157" spans="1:18" x14ac:dyDescent="0.3">
      <c r="A157" t="s">
        <v>1</v>
      </c>
      <c r="B157" s="1">
        <v>45108</v>
      </c>
      <c r="C157" t="s">
        <v>8</v>
      </c>
      <c r="D157" t="s">
        <v>10</v>
      </c>
      <c r="E157">
        <v>4</v>
      </c>
      <c r="F157">
        <v>11.8</v>
      </c>
      <c r="G157">
        <v>0</v>
      </c>
      <c r="H157">
        <f t="shared" si="59"/>
        <v>0.29999999999999893</v>
      </c>
      <c r="I157">
        <f t="shared" si="45"/>
        <v>0.29999999999999893</v>
      </c>
      <c r="J157">
        <f t="shared" si="46"/>
        <v>12.1</v>
      </c>
      <c r="K157">
        <f t="shared" si="47"/>
        <v>0.40000000000000036</v>
      </c>
      <c r="L157">
        <f t="shared" si="57"/>
        <v>29.699999999999982</v>
      </c>
      <c r="M157">
        <f t="shared" si="53"/>
        <v>0.18032786885245897</v>
      </c>
      <c r="N157">
        <v>36</v>
      </c>
      <c r="O157">
        <f t="shared" si="48"/>
        <v>7.5</v>
      </c>
      <c r="P157">
        <f t="shared" si="49"/>
        <v>1575</v>
      </c>
      <c r="Q157">
        <f t="shared" si="50"/>
        <v>0.79967213114754099</v>
      </c>
      <c r="R157">
        <f t="shared" si="58"/>
        <v>21.742622950819666</v>
      </c>
    </row>
    <row r="158" spans="1:18" x14ac:dyDescent="0.3">
      <c r="A158" t="s">
        <v>2</v>
      </c>
      <c r="B158" s="1">
        <v>45109</v>
      </c>
      <c r="C158" t="s">
        <v>8</v>
      </c>
      <c r="D158" t="s">
        <v>10</v>
      </c>
      <c r="E158">
        <v>4</v>
      </c>
      <c r="F158">
        <v>11.7</v>
      </c>
      <c r="G158">
        <v>0</v>
      </c>
      <c r="H158">
        <f t="shared" si="59"/>
        <v>0.40000000000000036</v>
      </c>
      <c r="I158">
        <f t="shared" si="45"/>
        <v>0.40000000000000036</v>
      </c>
      <c r="J158">
        <f t="shared" si="46"/>
        <v>12.1</v>
      </c>
      <c r="K158">
        <f t="shared" si="47"/>
        <v>0.90000000000000036</v>
      </c>
      <c r="L158">
        <f t="shared" si="57"/>
        <v>30.59999999999998</v>
      </c>
      <c r="M158">
        <f t="shared" si="53"/>
        <v>0.18032786885245897</v>
      </c>
      <c r="N158">
        <v>37</v>
      </c>
      <c r="O158">
        <f t="shared" si="48"/>
        <v>7.5</v>
      </c>
      <c r="P158">
        <f t="shared" si="49"/>
        <v>1575</v>
      </c>
      <c r="Q158">
        <f t="shared" si="50"/>
        <v>0.79967213114754099</v>
      </c>
      <c r="R158">
        <f t="shared" si="58"/>
        <v>22.542295081967207</v>
      </c>
    </row>
    <row r="159" spans="1:18" x14ac:dyDescent="0.3">
      <c r="A159" t="s">
        <v>3</v>
      </c>
      <c r="B159" s="1">
        <v>45110</v>
      </c>
      <c r="C159" t="s">
        <v>8</v>
      </c>
      <c r="D159" t="s">
        <v>10</v>
      </c>
      <c r="E159">
        <v>4</v>
      </c>
      <c r="F159">
        <v>11.2</v>
      </c>
      <c r="G159">
        <v>0</v>
      </c>
      <c r="H159">
        <f t="shared" si="59"/>
        <v>0.90000000000000036</v>
      </c>
      <c r="I159">
        <f t="shared" si="45"/>
        <v>0.90000000000000036</v>
      </c>
      <c r="J159">
        <f t="shared" si="46"/>
        <v>12.1</v>
      </c>
      <c r="K159">
        <f t="shared" si="47"/>
        <v>0.59999999999999964</v>
      </c>
      <c r="L159">
        <f t="shared" si="57"/>
        <v>31.199999999999982</v>
      </c>
      <c r="M159">
        <f t="shared" si="53"/>
        <v>0.18032786885245897</v>
      </c>
      <c r="N159">
        <v>38</v>
      </c>
      <c r="O159">
        <f t="shared" si="48"/>
        <v>7.5</v>
      </c>
      <c r="P159">
        <f t="shared" si="49"/>
        <v>1575</v>
      </c>
      <c r="Q159">
        <f t="shared" si="50"/>
        <v>0.79967213114754099</v>
      </c>
      <c r="R159">
        <f t="shared" si="58"/>
        <v>23.341967213114749</v>
      </c>
    </row>
    <row r="160" spans="1:18" x14ac:dyDescent="0.3">
      <c r="A160" t="s">
        <v>4</v>
      </c>
      <c r="B160" s="1">
        <v>45111</v>
      </c>
      <c r="C160" t="s">
        <v>8</v>
      </c>
      <c r="D160" t="s">
        <v>10</v>
      </c>
      <c r="E160">
        <v>4</v>
      </c>
      <c r="F160">
        <v>11.5</v>
      </c>
      <c r="G160">
        <v>0</v>
      </c>
      <c r="H160">
        <f t="shared" si="59"/>
        <v>0.59999999999999964</v>
      </c>
      <c r="I160">
        <f t="shared" si="45"/>
        <v>0.59999999999999964</v>
      </c>
      <c r="J160">
        <f t="shared" si="46"/>
        <v>12.1</v>
      </c>
    </row>
    <row r="161" spans="1:18" x14ac:dyDescent="0.3">
      <c r="A161" t="s">
        <v>1</v>
      </c>
      <c r="B161" s="1">
        <v>45073</v>
      </c>
      <c r="C161" t="s">
        <v>8</v>
      </c>
      <c r="D161" t="s">
        <v>10</v>
      </c>
      <c r="E161">
        <v>5</v>
      </c>
      <c r="F161">
        <v>17</v>
      </c>
      <c r="G161">
        <v>0</v>
      </c>
      <c r="H161">
        <v>0</v>
      </c>
      <c r="I161">
        <f>H161+G161</f>
        <v>0</v>
      </c>
      <c r="J161">
        <f>I161+F161</f>
        <v>17</v>
      </c>
      <c r="K161">
        <f>J161-F162</f>
        <v>0.30000000000000071</v>
      </c>
      <c r="M161">
        <f t="shared" si="53"/>
        <v>0.98360655737704927</v>
      </c>
      <c r="N161">
        <v>1</v>
      </c>
      <c r="O161">
        <v>2.5</v>
      </c>
      <c r="P161">
        <f>O161*210</f>
        <v>525</v>
      </c>
    </row>
    <row r="162" spans="1:18" x14ac:dyDescent="0.3">
      <c r="A162" t="s">
        <v>2</v>
      </c>
      <c r="B162" s="1">
        <v>45074</v>
      </c>
      <c r="C162" t="s">
        <v>8</v>
      </c>
      <c r="D162" t="s">
        <v>10</v>
      </c>
      <c r="E162">
        <v>5</v>
      </c>
      <c r="F162">
        <v>16.7</v>
      </c>
      <c r="G162">
        <v>0</v>
      </c>
      <c r="H162">
        <v>0</v>
      </c>
      <c r="I162">
        <f t="shared" ref="I162:I199" si="60">H162+G162</f>
        <v>0</v>
      </c>
      <c r="J162">
        <f t="shared" ref="J162:J199" si="61">I162+F162</f>
        <v>16.7</v>
      </c>
      <c r="K162">
        <f t="shared" ref="K162:K198" si="62">J162-F163</f>
        <v>0.39999999999999858</v>
      </c>
      <c r="L162">
        <f>K161+K162</f>
        <v>0.69999999999999929</v>
      </c>
      <c r="M162">
        <f t="shared" si="53"/>
        <v>0.93442622950819665</v>
      </c>
      <c r="N162">
        <v>2</v>
      </c>
      <c r="O162">
        <f t="shared" ref="O162:O198" si="63">O161+G162</f>
        <v>2.5</v>
      </c>
      <c r="P162">
        <f t="shared" ref="P162:P198" si="64">O162*210</f>
        <v>525</v>
      </c>
      <c r="Q162">
        <f t="shared" ref="Q162:Q198" si="65">0.98-M162</f>
        <v>4.5573770491803334E-2</v>
      </c>
    </row>
    <row r="163" spans="1:18" x14ac:dyDescent="0.3">
      <c r="A163" t="s">
        <v>3</v>
      </c>
      <c r="B163" s="1">
        <v>45075</v>
      </c>
      <c r="C163" t="s">
        <v>8</v>
      </c>
      <c r="D163" t="s">
        <v>10</v>
      </c>
      <c r="E163">
        <v>5</v>
      </c>
      <c r="F163">
        <v>16.3</v>
      </c>
      <c r="G163">
        <v>0.25</v>
      </c>
      <c r="H163">
        <v>0</v>
      </c>
      <c r="I163">
        <f t="shared" si="60"/>
        <v>0.25</v>
      </c>
      <c r="J163">
        <f t="shared" si="61"/>
        <v>16.55</v>
      </c>
      <c r="K163">
        <f t="shared" si="62"/>
        <v>0.65000000000000036</v>
      </c>
      <c r="L163">
        <f>L162+K163</f>
        <v>1.3499999999999996</v>
      </c>
      <c r="M163">
        <f t="shared" si="53"/>
        <v>0.90983606557377061</v>
      </c>
      <c r="N163">
        <v>3</v>
      </c>
      <c r="O163">
        <f t="shared" si="63"/>
        <v>2.75</v>
      </c>
      <c r="P163">
        <f t="shared" si="64"/>
        <v>577.5</v>
      </c>
      <c r="Q163">
        <f t="shared" si="65"/>
        <v>7.0163934426229368E-2</v>
      </c>
      <c r="R163">
        <f>Q162+Q163</f>
        <v>0.1157377049180327</v>
      </c>
    </row>
    <row r="164" spans="1:18" x14ac:dyDescent="0.3">
      <c r="A164" t="s">
        <v>4</v>
      </c>
      <c r="B164" s="1">
        <v>45076</v>
      </c>
      <c r="C164" t="s">
        <v>8</v>
      </c>
      <c r="D164" t="s">
        <v>10</v>
      </c>
      <c r="E164">
        <v>5</v>
      </c>
      <c r="F164">
        <v>15.9</v>
      </c>
      <c r="G164">
        <v>0.25</v>
      </c>
      <c r="H164">
        <v>0</v>
      </c>
      <c r="I164">
        <f t="shared" si="60"/>
        <v>0.25</v>
      </c>
      <c r="J164">
        <f t="shared" si="61"/>
        <v>16.149999999999999</v>
      </c>
      <c r="K164">
        <f t="shared" si="62"/>
        <v>0.54999999999999893</v>
      </c>
      <c r="L164">
        <f t="shared" ref="L164:L184" si="66">L163+K164</f>
        <v>1.8999999999999986</v>
      </c>
      <c r="M164">
        <f t="shared" si="53"/>
        <v>0.84426229508196704</v>
      </c>
      <c r="N164">
        <v>4</v>
      </c>
      <c r="O164">
        <f t="shared" si="63"/>
        <v>3</v>
      </c>
      <c r="P164">
        <f t="shared" si="64"/>
        <v>630</v>
      </c>
      <c r="Q164">
        <f t="shared" si="65"/>
        <v>0.13573770491803294</v>
      </c>
      <c r="R164">
        <f>R163+Q164</f>
        <v>0.25147540983606564</v>
      </c>
    </row>
    <row r="165" spans="1:18" x14ac:dyDescent="0.3">
      <c r="A165" t="s">
        <v>5</v>
      </c>
      <c r="B165" s="1">
        <v>45077</v>
      </c>
      <c r="C165" t="s">
        <v>8</v>
      </c>
      <c r="D165" t="s">
        <v>10</v>
      </c>
      <c r="E165">
        <v>5</v>
      </c>
      <c r="F165">
        <v>15.6</v>
      </c>
      <c r="G165">
        <v>0</v>
      </c>
      <c r="H165">
        <v>0</v>
      </c>
      <c r="I165">
        <f t="shared" si="60"/>
        <v>0</v>
      </c>
      <c r="J165">
        <f t="shared" si="61"/>
        <v>15.6</v>
      </c>
      <c r="K165">
        <f t="shared" si="62"/>
        <v>0.5</v>
      </c>
      <c r="L165">
        <f t="shared" si="66"/>
        <v>2.3999999999999986</v>
      </c>
      <c r="M165">
        <f t="shared" si="53"/>
        <v>0.75409836065573765</v>
      </c>
      <c r="N165">
        <v>5</v>
      </c>
      <c r="O165">
        <f t="shared" si="63"/>
        <v>3</v>
      </c>
      <c r="P165">
        <f t="shared" si="64"/>
        <v>630</v>
      </c>
      <c r="Q165">
        <f t="shared" si="65"/>
        <v>0.22590163934426233</v>
      </c>
      <c r="R165">
        <f t="shared" ref="R165:R188" si="67">R164+Q165</f>
        <v>0.47737704918032797</v>
      </c>
    </row>
    <row r="166" spans="1:18" x14ac:dyDescent="0.3">
      <c r="A166" t="s">
        <v>6</v>
      </c>
      <c r="B166" s="1">
        <v>45078</v>
      </c>
      <c r="C166" t="s">
        <v>8</v>
      </c>
      <c r="D166" t="s">
        <v>10</v>
      </c>
      <c r="E166">
        <v>5</v>
      </c>
      <c r="F166">
        <v>15.1</v>
      </c>
      <c r="G166">
        <v>0.25</v>
      </c>
      <c r="H166">
        <v>0</v>
      </c>
      <c r="I166">
        <f t="shared" si="60"/>
        <v>0.25</v>
      </c>
      <c r="J166">
        <f t="shared" si="61"/>
        <v>15.35</v>
      </c>
      <c r="K166">
        <f t="shared" si="62"/>
        <v>0.34999999999999964</v>
      </c>
      <c r="L166">
        <f t="shared" si="66"/>
        <v>2.7499999999999982</v>
      </c>
      <c r="M166">
        <f t="shared" si="53"/>
        <v>0.71311475409836067</v>
      </c>
      <c r="N166">
        <v>6</v>
      </c>
      <c r="O166">
        <f t="shared" si="63"/>
        <v>3.25</v>
      </c>
      <c r="P166">
        <f t="shared" si="64"/>
        <v>682.5</v>
      </c>
      <c r="Q166">
        <f t="shared" si="65"/>
        <v>0.26688524590163931</v>
      </c>
      <c r="R166">
        <f t="shared" si="67"/>
        <v>0.74426229508196728</v>
      </c>
    </row>
    <row r="167" spans="1:18" x14ac:dyDescent="0.3">
      <c r="A167" t="s">
        <v>0</v>
      </c>
      <c r="B167" s="1">
        <v>45079</v>
      </c>
      <c r="C167" t="s">
        <v>8</v>
      </c>
      <c r="D167" t="s">
        <v>10</v>
      </c>
      <c r="E167">
        <v>5</v>
      </c>
      <c r="F167">
        <v>15</v>
      </c>
      <c r="G167">
        <v>0.25</v>
      </c>
      <c r="H167">
        <v>0</v>
      </c>
      <c r="I167">
        <f t="shared" si="60"/>
        <v>0.25</v>
      </c>
      <c r="J167">
        <f t="shared" si="61"/>
        <v>15.25</v>
      </c>
      <c r="K167">
        <f t="shared" si="62"/>
        <v>0.34999999999999964</v>
      </c>
      <c r="L167">
        <f t="shared" si="66"/>
        <v>3.0999999999999979</v>
      </c>
      <c r="M167">
        <f t="shared" si="53"/>
        <v>0.69672131147540983</v>
      </c>
      <c r="N167">
        <v>7</v>
      </c>
      <c r="O167">
        <f t="shared" si="63"/>
        <v>3.5</v>
      </c>
      <c r="P167">
        <f t="shared" si="64"/>
        <v>735</v>
      </c>
      <c r="Q167">
        <f t="shared" si="65"/>
        <v>0.28327868852459015</v>
      </c>
      <c r="R167">
        <f t="shared" si="67"/>
        <v>1.0275409836065574</v>
      </c>
    </row>
    <row r="168" spans="1:18" x14ac:dyDescent="0.3">
      <c r="A168" t="s">
        <v>1</v>
      </c>
      <c r="B168" s="1">
        <v>45080</v>
      </c>
      <c r="C168" t="s">
        <v>8</v>
      </c>
      <c r="D168" t="s">
        <v>10</v>
      </c>
      <c r="E168">
        <v>5</v>
      </c>
      <c r="F168">
        <v>14.9</v>
      </c>
      <c r="G168">
        <v>0</v>
      </c>
      <c r="H168">
        <v>0</v>
      </c>
      <c r="I168">
        <f t="shared" si="60"/>
        <v>0</v>
      </c>
      <c r="J168">
        <f t="shared" si="61"/>
        <v>14.9</v>
      </c>
      <c r="K168">
        <f t="shared" si="62"/>
        <v>0.5</v>
      </c>
      <c r="L168">
        <f t="shared" si="66"/>
        <v>3.5999999999999979</v>
      </c>
      <c r="M168">
        <f t="shared" si="53"/>
        <v>0.63934426229508201</v>
      </c>
      <c r="N168">
        <v>8</v>
      </c>
      <c r="O168">
        <f t="shared" si="63"/>
        <v>3.5</v>
      </c>
      <c r="P168">
        <f t="shared" si="64"/>
        <v>735</v>
      </c>
      <c r="Q168">
        <f t="shared" si="65"/>
        <v>0.34065573770491797</v>
      </c>
      <c r="R168">
        <f t="shared" si="67"/>
        <v>1.3681967213114754</v>
      </c>
    </row>
    <row r="169" spans="1:18" x14ac:dyDescent="0.3">
      <c r="A169" t="s">
        <v>2</v>
      </c>
      <c r="B169" s="1">
        <v>45081</v>
      </c>
      <c r="C169" t="s">
        <v>8</v>
      </c>
      <c r="D169" t="s">
        <v>10</v>
      </c>
      <c r="E169">
        <v>5</v>
      </c>
      <c r="F169">
        <v>14.4</v>
      </c>
      <c r="G169">
        <v>0</v>
      </c>
      <c r="H169">
        <v>0</v>
      </c>
      <c r="I169">
        <f t="shared" si="60"/>
        <v>0</v>
      </c>
      <c r="J169">
        <f t="shared" si="61"/>
        <v>14.4</v>
      </c>
      <c r="K169">
        <f t="shared" si="62"/>
        <v>0.40000000000000036</v>
      </c>
      <c r="L169">
        <f t="shared" si="66"/>
        <v>3.9999999999999982</v>
      </c>
      <c r="M169">
        <f t="shared" si="53"/>
        <v>0.55737704918032793</v>
      </c>
      <c r="N169">
        <v>9</v>
      </c>
      <c r="O169">
        <f t="shared" si="63"/>
        <v>3.5</v>
      </c>
      <c r="P169">
        <f t="shared" si="64"/>
        <v>735</v>
      </c>
      <c r="Q169">
        <f t="shared" si="65"/>
        <v>0.42262295081967205</v>
      </c>
      <c r="R169">
        <f t="shared" si="67"/>
        <v>1.7908196721311476</v>
      </c>
    </row>
    <row r="170" spans="1:18" x14ac:dyDescent="0.3">
      <c r="A170" t="s">
        <v>3</v>
      </c>
      <c r="B170" s="1">
        <v>45082</v>
      </c>
      <c r="C170" t="s">
        <v>8</v>
      </c>
      <c r="D170" t="s">
        <v>10</v>
      </c>
      <c r="E170">
        <v>5</v>
      </c>
      <c r="F170">
        <v>14</v>
      </c>
      <c r="G170">
        <v>0.25</v>
      </c>
      <c r="H170">
        <v>0</v>
      </c>
      <c r="I170">
        <f t="shared" si="60"/>
        <v>0.25</v>
      </c>
      <c r="J170">
        <f t="shared" si="61"/>
        <v>14.25</v>
      </c>
      <c r="K170">
        <f t="shared" si="62"/>
        <v>0.44999999999999929</v>
      </c>
      <c r="L170">
        <f t="shared" si="66"/>
        <v>4.4499999999999975</v>
      </c>
      <c r="M170">
        <f t="shared" si="53"/>
        <v>0.53278688524590168</v>
      </c>
      <c r="N170">
        <v>10</v>
      </c>
      <c r="O170">
        <f t="shared" si="63"/>
        <v>3.75</v>
      </c>
      <c r="P170">
        <f t="shared" si="64"/>
        <v>787.5</v>
      </c>
      <c r="Q170">
        <f t="shared" si="65"/>
        <v>0.44721311475409831</v>
      </c>
      <c r="R170">
        <f t="shared" si="67"/>
        <v>2.2380327868852459</v>
      </c>
    </row>
    <row r="171" spans="1:18" x14ac:dyDescent="0.3">
      <c r="A171" t="s">
        <v>4</v>
      </c>
      <c r="B171" s="1">
        <v>45083</v>
      </c>
      <c r="C171" t="s">
        <v>8</v>
      </c>
      <c r="D171" t="s">
        <v>10</v>
      </c>
      <c r="E171">
        <v>5</v>
      </c>
      <c r="F171">
        <v>13.8</v>
      </c>
      <c r="G171">
        <v>0.25</v>
      </c>
      <c r="H171">
        <v>0</v>
      </c>
      <c r="I171">
        <f t="shared" si="60"/>
        <v>0.25</v>
      </c>
      <c r="J171">
        <f t="shared" si="61"/>
        <v>14.05</v>
      </c>
      <c r="K171">
        <f t="shared" si="62"/>
        <v>0.65000000000000036</v>
      </c>
      <c r="L171">
        <f t="shared" si="66"/>
        <v>5.0999999999999979</v>
      </c>
      <c r="M171">
        <f t="shared" si="53"/>
        <v>0.50000000000000011</v>
      </c>
      <c r="N171">
        <v>11</v>
      </c>
      <c r="O171">
        <f t="shared" si="63"/>
        <v>4</v>
      </c>
      <c r="P171">
        <f t="shared" si="64"/>
        <v>840</v>
      </c>
      <c r="Q171">
        <f t="shared" si="65"/>
        <v>0.47999999999999987</v>
      </c>
      <c r="R171">
        <f t="shared" si="67"/>
        <v>2.7180327868852459</v>
      </c>
    </row>
    <row r="172" spans="1:18" x14ac:dyDescent="0.3">
      <c r="A172" t="s">
        <v>5</v>
      </c>
      <c r="B172" s="1">
        <v>45084</v>
      </c>
      <c r="C172" t="s">
        <v>8</v>
      </c>
      <c r="D172" t="s">
        <v>10</v>
      </c>
      <c r="E172">
        <v>5</v>
      </c>
      <c r="F172">
        <v>13.4</v>
      </c>
      <c r="G172">
        <v>0</v>
      </c>
      <c r="H172">
        <v>0</v>
      </c>
      <c r="I172">
        <f t="shared" si="60"/>
        <v>0</v>
      </c>
      <c r="J172">
        <f t="shared" si="61"/>
        <v>13.4</v>
      </c>
      <c r="K172">
        <f t="shared" si="62"/>
        <v>0.70000000000000107</v>
      </c>
      <c r="L172">
        <f t="shared" si="66"/>
        <v>5.7999999999999989</v>
      </c>
      <c r="M172">
        <f t="shared" si="53"/>
        <v>0.39344262295081978</v>
      </c>
      <c r="N172">
        <v>12</v>
      </c>
      <c r="O172">
        <f t="shared" si="63"/>
        <v>4</v>
      </c>
      <c r="P172">
        <f t="shared" si="64"/>
        <v>840</v>
      </c>
      <c r="Q172">
        <f t="shared" si="65"/>
        <v>0.58655737704918021</v>
      </c>
      <c r="R172">
        <f t="shared" si="67"/>
        <v>3.3045901639344262</v>
      </c>
    </row>
    <row r="173" spans="1:18" x14ac:dyDescent="0.3">
      <c r="A173" t="s">
        <v>6</v>
      </c>
      <c r="B173" s="1">
        <v>45085</v>
      </c>
      <c r="C173" t="s">
        <v>8</v>
      </c>
      <c r="D173" t="s">
        <v>10</v>
      </c>
      <c r="E173">
        <v>5</v>
      </c>
      <c r="F173">
        <v>12.7</v>
      </c>
      <c r="G173">
        <v>0.25</v>
      </c>
      <c r="H173">
        <f t="shared" ref="H173:H183" si="68">13-F173-G173</f>
        <v>5.0000000000000711E-2</v>
      </c>
      <c r="I173">
        <f t="shared" si="60"/>
        <v>0.30000000000000071</v>
      </c>
      <c r="J173">
        <f t="shared" si="61"/>
        <v>13</v>
      </c>
      <c r="K173">
        <f t="shared" si="62"/>
        <v>0.5</v>
      </c>
      <c r="L173">
        <f t="shared" si="66"/>
        <v>6.2999999999999989</v>
      </c>
      <c r="M173">
        <f t="shared" si="53"/>
        <v>0.32786885245901642</v>
      </c>
      <c r="N173">
        <v>13</v>
      </c>
      <c r="O173">
        <f t="shared" si="63"/>
        <v>4.25</v>
      </c>
      <c r="P173">
        <f t="shared" si="64"/>
        <v>892.5</v>
      </c>
      <c r="Q173">
        <f t="shared" si="65"/>
        <v>0.65213114754098356</v>
      </c>
      <c r="R173">
        <f t="shared" si="67"/>
        <v>3.9567213114754098</v>
      </c>
    </row>
    <row r="174" spans="1:18" x14ac:dyDescent="0.3">
      <c r="A174" t="s">
        <v>0</v>
      </c>
      <c r="B174" s="1">
        <v>45086</v>
      </c>
      <c r="C174" t="s">
        <v>8</v>
      </c>
      <c r="D174" t="s">
        <v>10</v>
      </c>
      <c r="E174">
        <v>5</v>
      </c>
      <c r="F174">
        <v>12.5</v>
      </c>
      <c r="G174">
        <v>0.25</v>
      </c>
      <c r="H174">
        <f t="shared" si="68"/>
        <v>0.25</v>
      </c>
      <c r="I174">
        <f t="shared" si="60"/>
        <v>0.5</v>
      </c>
      <c r="J174">
        <f t="shared" si="61"/>
        <v>13</v>
      </c>
      <c r="K174">
        <f t="shared" si="62"/>
        <v>0.80000000000000071</v>
      </c>
      <c r="L174">
        <f t="shared" si="66"/>
        <v>7.1</v>
      </c>
      <c r="M174">
        <f t="shared" si="53"/>
        <v>0.32786885245901642</v>
      </c>
      <c r="N174">
        <v>14</v>
      </c>
      <c r="O174">
        <f t="shared" si="63"/>
        <v>4.5</v>
      </c>
      <c r="P174">
        <f t="shared" si="64"/>
        <v>945</v>
      </c>
      <c r="Q174">
        <f t="shared" si="65"/>
        <v>0.65213114754098356</v>
      </c>
      <c r="R174">
        <f t="shared" si="67"/>
        <v>4.6088524590163935</v>
      </c>
    </row>
    <row r="175" spans="1:18" x14ac:dyDescent="0.3">
      <c r="A175" t="s">
        <v>1</v>
      </c>
      <c r="B175" s="1">
        <v>45087</v>
      </c>
      <c r="C175" t="s">
        <v>8</v>
      </c>
      <c r="D175" t="s">
        <v>10</v>
      </c>
      <c r="E175">
        <v>5</v>
      </c>
      <c r="F175">
        <v>12.2</v>
      </c>
      <c r="G175">
        <v>0</v>
      </c>
      <c r="H175">
        <f t="shared" si="68"/>
        <v>0.80000000000000071</v>
      </c>
      <c r="I175">
        <f t="shared" si="60"/>
        <v>0.80000000000000071</v>
      </c>
      <c r="J175">
        <f t="shared" si="61"/>
        <v>13</v>
      </c>
      <c r="K175">
        <f t="shared" si="62"/>
        <v>0.90000000000000036</v>
      </c>
      <c r="L175">
        <f t="shared" si="66"/>
        <v>8</v>
      </c>
      <c r="M175">
        <f t="shared" si="53"/>
        <v>0.32786885245901642</v>
      </c>
      <c r="N175">
        <v>15</v>
      </c>
      <c r="O175">
        <f t="shared" si="63"/>
        <v>4.5</v>
      </c>
      <c r="P175">
        <f t="shared" si="64"/>
        <v>945</v>
      </c>
      <c r="Q175">
        <f t="shared" si="65"/>
        <v>0.65213114754098356</v>
      </c>
      <c r="R175">
        <f t="shared" si="67"/>
        <v>5.2609836065573772</v>
      </c>
    </row>
    <row r="176" spans="1:18" x14ac:dyDescent="0.3">
      <c r="A176" t="s">
        <v>2</v>
      </c>
      <c r="B176" s="1">
        <v>45088</v>
      </c>
      <c r="C176" t="s">
        <v>8</v>
      </c>
      <c r="D176" t="s">
        <v>10</v>
      </c>
      <c r="E176">
        <v>5</v>
      </c>
      <c r="F176">
        <v>12.1</v>
      </c>
      <c r="G176">
        <v>0</v>
      </c>
      <c r="H176">
        <f t="shared" si="68"/>
        <v>0.90000000000000036</v>
      </c>
      <c r="I176">
        <f t="shared" si="60"/>
        <v>0.90000000000000036</v>
      </c>
      <c r="J176">
        <f t="shared" si="61"/>
        <v>13</v>
      </c>
      <c r="K176">
        <f t="shared" si="62"/>
        <v>0.90000000000000036</v>
      </c>
      <c r="L176">
        <f t="shared" si="66"/>
        <v>8.9</v>
      </c>
      <c r="M176">
        <f t="shared" si="53"/>
        <v>0.32786885245901642</v>
      </c>
      <c r="N176">
        <v>16</v>
      </c>
      <c r="O176">
        <f t="shared" si="63"/>
        <v>4.5</v>
      </c>
      <c r="P176">
        <f t="shared" si="64"/>
        <v>945</v>
      </c>
      <c r="Q176">
        <f t="shared" si="65"/>
        <v>0.65213114754098356</v>
      </c>
      <c r="R176">
        <f t="shared" si="67"/>
        <v>5.9131147540983608</v>
      </c>
    </row>
    <row r="177" spans="1:18" x14ac:dyDescent="0.3">
      <c r="A177" t="s">
        <v>3</v>
      </c>
      <c r="B177" s="1">
        <v>45089</v>
      </c>
      <c r="C177" t="s">
        <v>8</v>
      </c>
      <c r="D177" t="s">
        <v>10</v>
      </c>
      <c r="E177">
        <v>5</v>
      </c>
      <c r="F177">
        <v>12.1</v>
      </c>
      <c r="G177">
        <v>0.5</v>
      </c>
      <c r="H177">
        <f t="shared" si="68"/>
        <v>0.40000000000000036</v>
      </c>
      <c r="I177">
        <f t="shared" si="60"/>
        <v>0.90000000000000036</v>
      </c>
      <c r="J177">
        <f t="shared" si="61"/>
        <v>13</v>
      </c>
      <c r="K177">
        <f t="shared" si="62"/>
        <v>0.40000000000000036</v>
      </c>
      <c r="L177">
        <f t="shared" si="66"/>
        <v>9.3000000000000007</v>
      </c>
      <c r="M177">
        <f t="shared" si="53"/>
        <v>0.32786885245901642</v>
      </c>
      <c r="N177">
        <v>17</v>
      </c>
      <c r="O177">
        <f t="shared" si="63"/>
        <v>5</v>
      </c>
      <c r="P177">
        <f t="shared" si="64"/>
        <v>1050</v>
      </c>
      <c r="Q177">
        <f t="shared" si="65"/>
        <v>0.65213114754098356</v>
      </c>
      <c r="R177">
        <f t="shared" si="67"/>
        <v>6.5652459016393445</v>
      </c>
    </row>
    <row r="178" spans="1:18" x14ac:dyDescent="0.3">
      <c r="A178" t="s">
        <v>4</v>
      </c>
      <c r="B178" s="1">
        <v>45090</v>
      </c>
      <c r="C178" t="s">
        <v>8</v>
      </c>
      <c r="D178" t="s">
        <v>10</v>
      </c>
      <c r="E178">
        <v>5</v>
      </c>
      <c r="F178">
        <v>12.6</v>
      </c>
      <c r="G178">
        <v>0</v>
      </c>
      <c r="H178">
        <f t="shared" si="68"/>
        <v>0.40000000000000036</v>
      </c>
      <c r="I178">
        <f t="shared" si="60"/>
        <v>0.40000000000000036</v>
      </c>
      <c r="J178">
        <f t="shared" si="61"/>
        <v>13</v>
      </c>
      <c r="K178">
        <f t="shared" si="62"/>
        <v>0.69999999999999929</v>
      </c>
      <c r="L178">
        <f t="shared" si="66"/>
        <v>10</v>
      </c>
      <c r="M178">
        <f t="shared" si="53"/>
        <v>0.32786885245901642</v>
      </c>
      <c r="N178">
        <v>18</v>
      </c>
      <c r="O178">
        <f t="shared" si="63"/>
        <v>5</v>
      </c>
      <c r="P178">
        <f t="shared" si="64"/>
        <v>1050</v>
      </c>
      <c r="Q178">
        <f t="shared" si="65"/>
        <v>0.65213114754098356</v>
      </c>
      <c r="R178">
        <f t="shared" si="67"/>
        <v>7.2173770491803282</v>
      </c>
    </row>
    <row r="179" spans="1:18" x14ac:dyDescent="0.3">
      <c r="A179" t="s">
        <v>5</v>
      </c>
      <c r="B179" s="1">
        <v>45091</v>
      </c>
      <c r="C179" t="s">
        <v>8</v>
      </c>
      <c r="D179" t="s">
        <v>10</v>
      </c>
      <c r="E179">
        <v>5</v>
      </c>
      <c r="F179">
        <v>12.3</v>
      </c>
      <c r="G179">
        <v>0</v>
      </c>
      <c r="H179">
        <f t="shared" si="68"/>
        <v>0.69999999999999929</v>
      </c>
      <c r="I179">
        <f t="shared" si="60"/>
        <v>0.69999999999999929</v>
      </c>
      <c r="J179">
        <f t="shared" si="61"/>
        <v>13</v>
      </c>
      <c r="K179">
        <f t="shared" si="62"/>
        <v>1.0999999999999996</v>
      </c>
      <c r="L179">
        <f t="shared" si="66"/>
        <v>11.1</v>
      </c>
      <c r="M179">
        <f t="shared" si="53"/>
        <v>0.32786885245901642</v>
      </c>
      <c r="N179">
        <v>19</v>
      </c>
      <c r="O179">
        <f t="shared" si="63"/>
        <v>5</v>
      </c>
      <c r="P179">
        <f t="shared" si="64"/>
        <v>1050</v>
      </c>
      <c r="Q179">
        <f t="shared" si="65"/>
        <v>0.65213114754098356</v>
      </c>
      <c r="R179">
        <f t="shared" si="67"/>
        <v>7.8695081967213119</v>
      </c>
    </row>
    <row r="180" spans="1:18" x14ac:dyDescent="0.3">
      <c r="A180" t="s">
        <v>6</v>
      </c>
      <c r="B180" s="1">
        <v>45092</v>
      </c>
      <c r="C180" t="s">
        <v>8</v>
      </c>
      <c r="D180" t="s">
        <v>10</v>
      </c>
      <c r="E180">
        <v>5</v>
      </c>
      <c r="F180">
        <v>11.9</v>
      </c>
      <c r="G180">
        <v>0.5</v>
      </c>
      <c r="H180">
        <v>0</v>
      </c>
      <c r="I180">
        <f t="shared" si="60"/>
        <v>0.5</v>
      </c>
      <c r="J180">
        <f t="shared" si="61"/>
        <v>12.4</v>
      </c>
      <c r="K180">
        <f t="shared" si="62"/>
        <v>0.70000000000000107</v>
      </c>
      <c r="L180">
        <f t="shared" si="66"/>
        <v>11.8</v>
      </c>
      <c r="M180">
        <f t="shared" si="53"/>
        <v>0.22950819672131154</v>
      </c>
      <c r="N180">
        <v>20</v>
      </c>
      <c r="O180">
        <f t="shared" si="63"/>
        <v>5.5</v>
      </c>
      <c r="P180">
        <f t="shared" si="64"/>
        <v>1155</v>
      </c>
      <c r="Q180">
        <f t="shared" si="65"/>
        <v>0.75049180327868847</v>
      </c>
      <c r="R180">
        <f t="shared" si="67"/>
        <v>8.620000000000001</v>
      </c>
    </row>
    <row r="181" spans="1:18" x14ac:dyDescent="0.3">
      <c r="A181" t="s">
        <v>0</v>
      </c>
      <c r="B181" s="1">
        <v>45093</v>
      </c>
      <c r="C181" t="s">
        <v>8</v>
      </c>
      <c r="D181" t="s">
        <v>10</v>
      </c>
      <c r="E181">
        <v>5</v>
      </c>
      <c r="F181">
        <v>11.7</v>
      </c>
      <c r="G181">
        <v>0</v>
      </c>
      <c r="H181">
        <f>12.2-F181-G181</f>
        <v>0.5</v>
      </c>
      <c r="I181">
        <f t="shared" si="60"/>
        <v>0.5</v>
      </c>
      <c r="J181">
        <f t="shared" si="61"/>
        <v>12.2</v>
      </c>
      <c r="K181">
        <f t="shared" si="62"/>
        <v>0.89999999999999858</v>
      </c>
      <c r="L181">
        <f t="shared" si="66"/>
        <v>12.7</v>
      </c>
      <c r="M181">
        <f t="shared" si="53"/>
        <v>0.19672131147540972</v>
      </c>
      <c r="N181">
        <v>21</v>
      </c>
      <c r="O181">
        <f t="shared" si="63"/>
        <v>5.5</v>
      </c>
      <c r="P181">
        <f t="shared" si="64"/>
        <v>1155</v>
      </c>
      <c r="Q181">
        <f t="shared" si="65"/>
        <v>0.78327868852459026</v>
      </c>
      <c r="R181">
        <f t="shared" si="67"/>
        <v>9.4032786885245905</v>
      </c>
    </row>
    <row r="182" spans="1:18" x14ac:dyDescent="0.3">
      <c r="A182" t="s">
        <v>1</v>
      </c>
      <c r="B182" s="1">
        <v>45094</v>
      </c>
      <c r="C182" t="s">
        <v>8</v>
      </c>
      <c r="D182" t="s">
        <v>10</v>
      </c>
      <c r="E182">
        <v>5</v>
      </c>
      <c r="F182">
        <v>11.3</v>
      </c>
      <c r="G182">
        <v>0</v>
      </c>
      <c r="H182">
        <f>12.2-F182-G182</f>
        <v>0.89999999999999858</v>
      </c>
      <c r="I182">
        <f t="shared" si="60"/>
        <v>0.89999999999999858</v>
      </c>
      <c r="J182">
        <f t="shared" si="61"/>
        <v>12.2</v>
      </c>
      <c r="K182">
        <f t="shared" si="62"/>
        <v>0.59999999999999964</v>
      </c>
      <c r="L182">
        <f t="shared" si="66"/>
        <v>13.299999999999999</v>
      </c>
      <c r="M182">
        <f t="shared" si="53"/>
        <v>0.19672131147540972</v>
      </c>
      <c r="N182">
        <v>22</v>
      </c>
      <c r="O182">
        <f t="shared" si="63"/>
        <v>5.5</v>
      </c>
      <c r="P182">
        <f t="shared" si="64"/>
        <v>1155</v>
      </c>
      <c r="Q182">
        <f t="shared" si="65"/>
        <v>0.78327868852459026</v>
      </c>
      <c r="R182">
        <f t="shared" si="67"/>
        <v>10.18655737704918</v>
      </c>
    </row>
    <row r="183" spans="1:18" x14ac:dyDescent="0.3">
      <c r="A183" t="s">
        <v>2</v>
      </c>
      <c r="B183" s="1">
        <v>45095</v>
      </c>
      <c r="C183" t="s">
        <v>8</v>
      </c>
      <c r="D183" t="s">
        <v>10</v>
      </c>
      <c r="E183">
        <v>5</v>
      </c>
      <c r="F183">
        <v>11.6</v>
      </c>
      <c r="G183">
        <v>0</v>
      </c>
      <c r="H183">
        <f t="shared" si="68"/>
        <v>1.4000000000000004</v>
      </c>
      <c r="I183">
        <f t="shared" si="60"/>
        <v>1.4000000000000004</v>
      </c>
      <c r="J183">
        <f t="shared" si="61"/>
        <v>13</v>
      </c>
      <c r="K183">
        <f t="shared" si="62"/>
        <v>1.8000000000000007</v>
      </c>
      <c r="L183">
        <f t="shared" si="66"/>
        <v>15.1</v>
      </c>
      <c r="M183">
        <f t="shared" si="53"/>
        <v>0.32786885245901642</v>
      </c>
      <c r="N183">
        <v>23</v>
      </c>
      <c r="O183">
        <f t="shared" si="63"/>
        <v>5.5</v>
      </c>
      <c r="P183">
        <f t="shared" si="64"/>
        <v>1155</v>
      </c>
      <c r="Q183">
        <f t="shared" si="65"/>
        <v>0.65213114754098356</v>
      </c>
      <c r="R183">
        <f t="shared" si="67"/>
        <v>10.838688524590163</v>
      </c>
    </row>
    <row r="184" spans="1:18" x14ac:dyDescent="0.3">
      <c r="A184" t="s">
        <v>3</v>
      </c>
      <c r="B184" s="1">
        <v>45096</v>
      </c>
      <c r="C184" t="s">
        <v>8</v>
      </c>
      <c r="D184" t="s">
        <v>10</v>
      </c>
      <c r="E184">
        <v>5</v>
      </c>
      <c r="F184">
        <v>11.2</v>
      </c>
      <c r="G184">
        <v>0.5</v>
      </c>
      <c r="H184">
        <f>12.2-F184-G184</f>
        <v>0.5</v>
      </c>
      <c r="I184">
        <f t="shared" si="60"/>
        <v>1</v>
      </c>
      <c r="J184">
        <f t="shared" si="61"/>
        <v>12.2</v>
      </c>
      <c r="K184">
        <f t="shared" si="62"/>
        <v>1.0999999999999996</v>
      </c>
      <c r="L184">
        <f t="shared" si="66"/>
        <v>16.2</v>
      </c>
      <c r="M184">
        <f t="shared" si="53"/>
        <v>0.19672131147540972</v>
      </c>
      <c r="N184">
        <v>24</v>
      </c>
      <c r="O184">
        <f t="shared" si="63"/>
        <v>6</v>
      </c>
      <c r="P184">
        <f t="shared" si="64"/>
        <v>1260</v>
      </c>
      <c r="Q184">
        <f t="shared" si="65"/>
        <v>0.78327868852459026</v>
      </c>
      <c r="R184">
        <f t="shared" si="67"/>
        <v>11.621967213114752</v>
      </c>
    </row>
    <row r="185" spans="1:18" x14ac:dyDescent="0.3">
      <c r="A185" t="s">
        <v>4</v>
      </c>
      <c r="B185" s="1">
        <v>45097</v>
      </c>
      <c r="C185" t="s">
        <v>8</v>
      </c>
      <c r="D185" t="s">
        <v>10</v>
      </c>
      <c r="E185">
        <v>5</v>
      </c>
      <c r="F185">
        <v>11.1</v>
      </c>
      <c r="G185">
        <v>0</v>
      </c>
      <c r="H185">
        <f>12.1-F185-G185</f>
        <v>1</v>
      </c>
      <c r="I185">
        <f t="shared" si="60"/>
        <v>1</v>
      </c>
      <c r="J185">
        <f t="shared" si="61"/>
        <v>12.1</v>
      </c>
      <c r="K185">
        <f t="shared" si="62"/>
        <v>0.90000000000000036</v>
      </c>
      <c r="L185">
        <f>L184+K185</f>
        <v>17.100000000000001</v>
      </c>
      <c r="M185">
        <f t="shared" si="53"/>
        <v>0.18032786885245897</v>
      </c>
      <c r="N185">
        <v>25</v>
      </c>
      <c r="O185">
        <f t="shared" si="63"/>
        <v>6</v>
      </c>
      <c r="P185">
        <f t="shared" si="64"/>
        <v>1260</v>
      </c>
      <c r="Q185">
        <f t="shared" si="65"/>
        <v>0.79967213114754099</v>
      </c>
      <c r="R185">
        <f t="shared" si="67"/>
        <v>12.421639344262292</v>
      </c>
    </row>
    <row r="186" spans="1:18" x14ac:dyDescent="0.3">
      <c r="A186" t="s">
        <v>5</v>
      </c>
      <c r="B186" s="1">
        <v>45098</v>
      </c>
      <c r="C186" t="s">
        <v>8</v>
      </c>
      <c r="D186" t="s">
        <v>10</v>
      </c>
      <c r="E186">
        <v>5</v>
      </c>
      <c r="F186">
        <v>11.2</v>
      </c>
      <c r="G186">
        <v>0</v>
      </c>
      <c r="H186">
        <f t="shared" ref="H186:H188" si="69">12.1-F186-G186</f>
        <v>0.90000000000000036</v>
      </c>
      <c r="I186">
        <f t="shared" si="60"/>
        <v>0.90000000000000036</v>
      </c>
      <c r="J186">
        <f t="shared" si="61"/>
        <v>12.1</v>
      </c>
      <c r="K186">
        <f t="shared" si="62"/>
        <v>1</v>
      </c>
      <c r="L186">
        <f t="shared" ref="L186:L198" si="70">L185+K186</f>
        <v>18.100000000000001</v>
      </c>
      <c r="M186">
        <f t="shared" si="53"/>
        <v>0.18032786885245897</v>
      </c>
      <c r="N186">
        <v>26</v>
      </c>
      <c r="O186">
        <f t="shared" si="63"/>
        <v>6</v>
      </c>
      <c r="P186">
        <f t="shared" si="64"/>
        <v>1260</v>
      </c>
      <c r="Q186">
        <f t="shared" si="65"/>
        <v>0.79967213114754099</v>
      </c>
      <c r="R186">
        <f t="shared" si="67"/>
        <v>13.221311475409834</v>
      </c>
    </row>
    <row r="187" spans="1:18" x14ac:dyDescent="0.3">
      <c r="A187" t="s">
        <v>6</v>
      </c>
      <c r="B187" s="1">
        <v>45099</v>
      </c>
      <c r="C187" t="s">
        <v>8</v>
      </c>
      <c r="D187" t="s">
        <v>10</v>
      </c>
      <c r="E187">
        <v>5</v>
      </c>
      <c r="F187">
        <v>11.1</v>
      </c>
      <c r="G187">
        <v>0.5</v>
      </c>
      <c r="H187">
        <f t="shared" si="69"/>
        <v>0.5</v>
      </c>
      <c r="I187">
        <f t="shared" si="60"/>
        <v>1</v>
      </c>
      <c r="J187">
        <f t="shared" si="61"/>
        <v>12.1</v>
      </c>
      <c r="K187">
        <f t="shared" si="62"/>
        <v>0.90000000000000036</v>
      </c>
      <c r="L187">
        <f t="shared" si="70"/>
        <v>19</v>
      </c>
      <c r="M187">
        <f t="shared" si="53"/>
        <v>0.18032786885245897</v>
      </c>
      <c r="N187">
        <v>27</v>
      </c>
      <c r="O187">
        <f t="shared" si="63"/>
        <v>6.5</v>
      </c>
      <c r="P187">
        <f t="shared" si="64"/>
        <v>1365</v>
      </c>
      <c r="Q187">
        <f t="shared" si="65"/>
        <v>0.79967213114754099</v>
      </c>
      <c r="R187">
        <f t="shared" si="67"/>
        <v>14.020983606557376</v>
      </c>
    </row>
    <row r="188" spans="1:18" x14ac:dyDescent="0.3">
      <c r="A188" t="s">
        <v>0</v>
      </c>
      <c r="B188" s="1">
        <v>45100</v>
      </c>
      <c r="C188" t="s">
        <v>8</v>
      </c>
      <c r="D188" t="s">
        <v>10</v>
      </c>
      <c r="E188">
        <v>5</v>
      </c>
      <c r="F188">
        <v>11.2</v>
      </c>
      <c r="G188">
        <v>0</v>
      </c>
      <c r="H188">
        <f t="shared" si="69"/>
        <v>0.90000000000000036</v>
      </c>
      <c r="I188">
        <f t="shared" si="60"/>
        <v>0.90000000000000036</v>
      </c>
      <c r="J188">
        <f t="shared" si="61"/>
        <v>12.1</v>
      </c>
      <c r="K188">
        <f t="shared" si="62"/>
        <v>0.79999999999999893</v>
      </c>
      <c r="L188">
        <f t="shared" si="70"/>
        <v>19.799999999999997</v>
      </c>
      <c r="M188">
        <f t="shared" si="53"/>
        <v>0.18032786885245897</v>
      </c>
      <c r="N188">
        <v>28</v>
      </c>
      <c r="O188">
        <f t="shared" si="63"/>
        <v>6.5</v>
      </c>
      <c r="P188">
        <f t="shared" si="64"/>
        <v>1365</v>
      </c>
      <c r="Q188">
        <f t="shared" si="65"/>
        <v>0.79967213114754099</v>
      </c>
      <c r="R188">
        <f t="shared" si="67"/>
        <v>14.820655737704918</v>
      </c>
    </row>
    <row r="189" spans="1:18" x14ac:dyDescent="0.3">
      <c r="A189" t="s">
        <v>1</v>
      </c>
      <c r="B189" s="1">
        <v>45101</v>
      </c>
      <c r="C189" t="s">
        <v>8</v>
      </c>
      <c r="D189" t="s">
        <v>10</v>
      </c>
      <c r="E189">
        <v>5</v>
      </c>
      <c r="F189">
        <v>11.3</v>
      </c>
      <c r="G189">
        <v>0</v>
      </c>
      <c r="H189">
        <v>4.9000000000000004</v>
      </c>
      <c r="I189">
        <f t="shared" si="60"/>
        <v>4.9000000000000004</v>
      </c>
      <c r="J189">
        <f t="shared" si="61"/>
        <v>16.200000000000003</v>
      </c>
      <c r="K189">
        <f t="shared" si="62"/>
        <v>1.0000000000000036</v>
      </c>
      <c r="L189">
        <f t="shared" si="70"/>
        <v>20.8</v>
      </c>
      <c r="M189">
        <f t="shared" si="53"/>
        <v>0.85245901639344313</v>
      </c>
      <c r="N189">
        <v>29</v>
      </c>
      <c r="O189">
        <f t="shared" si="63"/>
        <v>6.5</v>
      </c>
      <c r="P189">
        <f t="shared" si="64"/>
        <v>1365</v>
      </c>
      <c r="Q189">
        <f t="shared" si="65"/>
        <v>0.12754098360655686</v>
      </c>
      <c r="R189">
        <f>R188+Q189</f>
        <v>14.948196721311476</v>
      </c>
    </row>
    <row r="190" spans="1:18" x14ac:dyDescent="0.3">
      <c r="A190" t="s">
        <v>2</v>
      </c>
      <c r="B190" s="1">
        <v>45102</v>
      </c>
      <c r="C190" t="s">
        <v>8</v>
      </c>
      <c r="D190" t="s">
        <v>10</v>
      </c>
      <c r="E190">
        <v>5</v>
      </c>
      <c r="F190">
        <v>15.2</v>
      </c>
      <c r="G190">
        <v>0</v>
      </c>
      <c r="H190">
        <v>0</v>
      </c>
      <c r="I190">
        <f t="shared" si="60"/>
        <v>0</v>
      </c>
      <c r="J190">
        <f t="shared" si="61"/>
        <v>15.2</v>
      </c>
      <c r="K190">
        <f t="shared" si="62"/>
        <v>1.0999999999999996</v>
      </c>
      <c r="L190">
        <f t="shared" si="70"/>
        <v>21.9</v>
      </c>
      <c r="M190">
        <f t="shared" si="53"/>
        <v>0.6885245901639343</v>
      </c>
      <c r="N190">
        <v>30</v>
      </c>
      <c r="O190">
        <f t="shared" si="63"/>
        <v>6.5</v>
      </c>
      <c r="P190">
        <f t="shared" si="64"/>
        <v>1365</v>
      </c>
      <c r="Q190">
        <f t="shared" si="65"/>
        <v>0.29147540983606568</v>
      </c>
      <c r="R190">
        <f t="shared" ref="R190:R198" si="71">R189+Q190</f>
        <v>15.239672131147541</v>
      </c>
    </row>
    <row r="191" spans="1:18" x14ac:dyDescent="0.3">
      <c r="A191" t="s">
        <v>3</v>
      </c>
      <c r="B191" s="1">
        <v>45103</v>
      </c>
      <c r="C191" t="s">
        <v>8</v>
      </c>
      <c r="D191" t="s">
        <v>10</v>
      </c>
      <c r="E191">
        <v>5</v>
      </c>
      <c r="F191">
        <v>14.1</v>
      </c>
      <c r="G191">
        <v>0.5</v>
      </c>
      <c r="H191">
        <v>0</v>
      </c>
      <c r="I191">
        <f t="shared" si="60"/>
        <v>0.5</v>
      </c>
      <c r="J191">
        <f t="shared" si="61"/>
        <v>14.6</v>
      </c>
      <c r="K191">
        <f t="shared" si="62"/>
        <v>0.79999999999999893</v>
      </c>
      <c r="L191">
        <f t="shared" si="70"/>
        <v>22.699999999999996</v>
      </c>
      <c r="M191">
        <f t="shared" si="53"/>
        <v>0.5901639344262295</v>
      </c>
      <c r="N191">
        <v>31</v>
      </c>
      <c r="O191">
        <f t="shared" si="63"/>
        <v>7</v>
      </c>
      <c r="P191">
        <f t="shared" si="64"/>
        <v>1470</v>
      </c>
      <c r="Q191">
        <f t="shared" si="65"/>
        <v>0.38983606557377048</v>
      </c>
      <c r="R191">
        <f t="shared" si="71"/>
        <v>15.629508196721313</v>
      </c>
    </row>
    <row r="192" spans="1:18" x14ac:dyDescent="0.3">
      <c r="A192" t="s">
        <v>4</v>
      </c>
      <c r="B192" s="1">
        <v>45104</v>
      </c>
      <c r="C192" t="s">
        <v>8</v>
      </c>
      <c r="D192" t="s">
        <v>10</v>
      </c>
      <c r="E192">
        <v>5</v>
      </c>
      <c r="F192">
        <v>13.8</v>
      </c>
      <c r="G192">
        <v>0</v>
      </c>
      <c r="H192">
        <v>0</v>
      </c>
      <c r="I192">
        <f t="shared" si="60"/>
        <v>0</v>
      </c>
      <c r="J192">
        <f t="shared" si="61"/>
        <v>13.8</v>
      </c>
      <c r="K192">
        <f t="shared" si="62"/>
        <v>1</v>
      </c>
      <c r="L192">
        <f t="shared" si="70"/>
        <v>23.699999999999996</v>
      </c>
      <c r="M192">
        <f t="shared" si="53"/>
        <v>0.45901639344262307</v>
      </c>
      <c r="N192">
        <v>32</v>
      </c>
      <c r="O192">
        <f t="shared" si="63"/>
        <v>7</v>
      </c>
      <c r="P192">
        <f t="shared" si="64"/>
        <v>1470</v>
      </c>
      <c r="Q192">
        <f t="shared" si="65"/>
        <v>0.52098360655737697</v>
      </c>
      <c r="R192">
        <f t="shared" si="71"/>
        <v>16.15049180327869</v>
      </c>
    </row>
    <row r="193" spans="1:18" x14ac:dyDescent="0.3">
      <c r="A193" t="s">
        <v>5</v>
      </c>
      <c r="B193" s="1">
        <v>45105</v>
      </c>
      <c r="C193" t="s">
        <v>8</v>
      </c>
      <c r="D193" t="s">
        <v>10</v>
      </c>
      <c r="E193">
        <v>5</v>
      </c>
      <c r="F193">
        <v>12.8</v>
      </c>
      <c r="G193">
        <v>0</v>
      </c>
      <c r="H193">
        <v>0</v>
      </c>
      <c r="I193">
        <f t="shared" si="60"/>
        <v>0</v>
      </c>
      <c r="J193">
        <f t="shared" si="61"/>
        <v>12.8</v>
      </c>
      <c r="K193">
        <f t="shared" si="62"/>
        <v>0.90000000000000036</v>
      </c>
      <c r="L193">
        <f t="shared" si="70"/>
        <v>24.599999999999994</v>
      </c>
      <c r="M193">
        <f t="shared" si="53"/>
        <v>0.29508196721311492</v>
      </c>
      <c r="N193">
        <v>33</v>
      </c>
      <c r="O193">
        <f t="shared" si="63"/>
        <v>7</v>
      </c>
      <c r="P193">
        <f t="shared" si="64"/>
        <v>1470</v>
      </c>
      <c r="Q193">
        <f t="shared" si="65"/>
        <v>0.68491803278688512</v>
      </c>
      <c r="R193">
        <f t="shared" si="71"/>
        <v>16.835409836065576</v>
      </c>
    </row>
    <row r="194" spans="1:18" x14ac:dyDescent="0.3">
      <c r="A194" t="s">
        <v>6</v>
      </c>
      <c r="B194" s="1">
        <v>45106</v>
      </c>
      <c r="C194" t="s">
        <v>8</v>
      </c>
      <c r="D194" t="s">
        <v>10</v>
      </c>
      <c r="E194">
        <v>5</v>
      </c>
      <c r="F194">
        <v>11.9</v>
      </c>
      <c r="G194">
        <v>0.5</v>
      </c>
      <c r="H194">
        <v>0</v>
      </c>
      <c r="I194">
        <f t="shared" si="60"/>
        <v>0.5</v>
      </c>
      <c r="J194">
        <f t="shared" si="61"/>
        <v>12.4</v>
      </c>
      <c r="K194">
        <f t="shared" si="62"/>
        <v>0.90000000000000036</v>
      </c>
      <c r="L194">
        <f t="shared" si="70"/>
        <v>25.499999999999993</v>
      </c>
      <c r="M194">
        <f t="shared" si="53"/>
        <v>0.22950819672131154</v>
      </c>
      <c r="N194">
        <v>34</v>
      </c>
      <c r="O194">
        <f t="shared" si="63"/>
        <v>7.5</v>
      </c>
      <c r="P194">
        <f t="shared" si="64"/>
        <v>1575</v>
      </c>
      <c r="Q194">
        <f t="shared" si="65"/>
        <v>0.75049180327868847</v>
      </c>
      <c r="R194">
        <f t="shared" si="71"/>
        <v>17.585901639344264</v>
      </c>
    </row>
    <row r="195" spans="1:18" x14ac:dyDescent="0.3">
      <c r="A195" t="s">
        <v>0</v>
      </c>
      <c r="B195" s="1">
        <v>45107</v>
      </c>
      <c r="C195" t="s">
        <v>8</v>
      </c>
      <c r="D195" t="s">
        <v>10</v>
      </c>
      <c r="E195">
        <v>5</v>
      </c>
      <c r="F195">
        <v>11.5</v>
      </c>
      <c r="G195">
        <v>0</v>
      </c>
      <c r="H195">
        <f t="shared" ref="H195:H199" si="72">12.1-F195-G195</f>
        <v>0.59999999999999964</v>
      </c>
      <c r="I195">
        <f t="shared" si="60"/>
        <v>0.59999999999999964</v>
      </c>
      <c r="J195">
        <f t="shared" si="61"/>
        <v>12.1</v>
      </c>
      <c r="K195">
        <f t="shared" si="62"/>
        <v>0.5</v>
      </c>
      <c r="L195">
        <f t="shared" si="70"/>
        <v>25.999999999999993</v>
      </c>
      <c r="M195">
        <f t="shared" ref="M195:M258" si="73">(J195-11)/6.1</f>
        <v>0.18032786885245897</v>
      </c>
      <c r="N195">
        <v>35</v>
      </c>
      <c r="O195">
        <f t="shared" si="63"/>
        <v>7.5</v>
      </c>
      <c r="P195">
        <f t="shared" si="64"/>
        <v>1575</v>
      </c>
      <c r="Q195">
        <f t="shared" si="65"/>
        <v>0.79967213114754099</v>
      </c>
      <c r="R195">
        <f t="shared" si="71"/>
        <v>18.385573770491806</v>
      </c>
    </row>
    <row r="196" spans="1:18" x14ac:dyDescent="0.3">
      <c r="A196" t="s">
        <v>1</v>
      </c>
      <c r="B196" s="1">
        <v>45108</v>
      </c>
      <c r="C196" t="s">
        <v>8</v>
      </c>
      <c r="D196" t="s">
        <v>10</v>
      </c>
      <c r="E196">
        <v>5</v>
      </c>
      <c r="F196">
        <v>11.6</v>
      </c>
      <c r="G196">
        <v>0</v>
      </c>
      <c r="H196">
        <f t="shared" si="72"/>
        <v>0.5</v>
      </c>
      <c r="I196">
        <f t="shared" si="60"/>
        <v>0.5</v>
      </c>
      <c r="J196">
        <f t="shared" si="61"/>
        <v>12.1</v>
      </c>
      <c r="K196">
        <f t="shared" si="62"/>
        <v>0.40000000000000036</v>
      </c>
      <c r="L196">
        <f t="shared" si="70"/>
        <v>26.399999999999991</v>
      </c>
      <c r="M196">
        <f t="shared" si="73"/>
        <v>0.18032786885245897</v>
      </c>
      <c r="N196">
        <v>36</v>
      </c>
      <c r="O196">
        <f t="shared" si="63"/>
        <v>7.5</v>
      </c>
      <c r="P196">
        <f t="shared" si="64"/>
        <v>1575</v>
      </c>
      <c r="Q196">
        <f t="shared" si="65"/>
        <v>0.79967213114754099</v>
      </c>
      <c r="R196">
        <f t="shared" si="71"/>
        <v>19.185245901639348</v>
      </c>
    </row>
    <row r="197" spans="1:18" x14ac:dyDescent="0.3">
      <c r="A197" t="s">
        <v>2</v>
      </c>
      <c r="B197" s="1">
        <v>45109</v>
      </c>
      <c r="C197" t="s">
        <v>8</v>
      </c>
      <c r="D197" t="s">
        <v>10</v>
      </c>
      <c r="E197">
        <v>5</v>
      </c>
      <c r="F197">
        <v>11.7</v>
      </c>
      <c r="G197">
        <v>0</v>
      </c>
      <c r="H197">
        <f t="shared" si="72"/>
        <v>0.40000000000000036</v>
      </c>
      <c r="I197">
        <f t="shared" si="60"/>
        <v>0.40000000000000036</v>
      </c>
      <c r="J197">
        <f t="shared" si="61"/>
        <v>12.1</v>
      </c>
      <c r="K197">
        <f t="shared" si="62"/>
        <v>0.79999999999999893</v>
      </c>
      <c r="L197">
        <f t="shared" si="70"/>
        <v>27.199999999999989</v>
      </c>
      <c r="M197">
        <f t="shared" si="73"/>
        <v>0.18032786885245897</v>
      </c>
      <c r="N197">
        <v>37</v>
      </c>
      <c r="O197">
        <f t="shared" si="63"/>
        <v>7.5</v>
      </c>
      <c r="P197">
        <f t="shared" si="64"/>
        <v>1575</v>
      </c>
      <c r="Q197">
        <f t="shared" si="65"/>
        <v>0.79967213114754099</v>
      </c>
      <c r="R197">
        <f t="shared" si="71"/>
        <v>19.98491803278689</v>
      </c>
    </row>
    <row r="198" spans="1:18" x14ac:dyDescent="0.3">
      <c r="A198" t="s">
        <v>3</v>
      </c>
      <c r="B198" s="1">
        <v>45110</v>
      </c>
      <c r="C198" t="s">
        <v>8</v>
      </c>
      <c r="D198" t="s">
        <v>10</v>
      </c>
      <c r="E198">
        <v>5</v>
      </c>
      <c r="F198">
        <v>11.3</v>
      </c>
      <c r="G198">
        <v>0</v>
      </c>
      <c r="H198">
        <f t="shared" si="72"/>
        <v>0.79999999999999893</v>
      </c>
      <c r="I198">
        <f t="shared" si="60"/>
        <v>0.79999999999999893</v>
      </c>
      <c r="J198">
        <f t="shared" si="61"/>
        <v>12.1</v>
      </c>
      <c r="K198">
        <f t="shared" si="62"/>
        <v>0.79999999999999893</v>
      </c>
      <c r="L198">
        <f t="shared" si="70"/>
        <v>27.999999999999986</v>
      </c>
      <c r="M198">
        <f t="shared" si="73"/>
        <v>0.18032786885245897</v>
      </c>
      <c r="N198">
        <v>38</v>
      </c>
      <c r="O198">
        <f t="shared" si="63"/>
        <v>7.5</v>
      </c>
      <c r="P198">
        <f t="shared" si="64"/>
        <v>1575</v>
      </c>
      <c r="Q198">
        <f t="shared" si="65"/>
        <v>0.79967213114754099</v>
      </c>
      <c r="R198">
        <f t="shared" si="71"/>
        <v>20.784590163934432</v>
      </c>
    </row>
    <row r="199" spans="1:18" x14ac:dyDescent="0.3">
      <c r="A199" t="s">
        <v>4</v>
      </c>
      <c r="B199" s="1">
        <v>45111</v>
      </c>
      <c r="C199" t="s">
        <v>8</v>
      </c>
      <c r="D199" t="s">
        <v>10</v>
      </c>
      <c r="E199">
        <v>5</v>
      </c>
      <c r="F199">
        <v>11.3</v>
      </c>
      <c r="G199">
        <v>0</v>
      </c>
      <c r="H199">
        <f t="shared" si="72"/>
        <v>0.79999999999999893</v>
      </c>
      <c r="I199">
        <f t="shared" si="60"/>
        <v>0.79999999999999893</v>
      </c>
      <c r="J199">
        <f t="shared" si="61"/>
        <v>12.1</v>
      </c>
    </row>
    <row r="200" spans="1:18" x14ac:dyDescent="0.3">
      <c r="A200" t="s">
        <v>1</v>
      </c>
      <c r="B200" s="1">
        <v>45073</v>
      </c>
      <c r="C200" t="s">
        <v>8</v>
      </c>
      <c r="D200" t="s">
        <v>10</v>
      </c>
      <c r="E200">
        <v>6</v>
      </c>
      <c r="F200">
        <v>17</v>
      </c>
      <c r="G200">
        <v>0</v>
      </c>
      <c r="H200">
        <v>0</v>
      </c>
      <c r="I200">
        <f>H200+G200</f>
        <v>0</v>
      </c>
      <c r="J200">
        <f>I200+F200</f>
        <v>17</v>
      </c>
      <c r="K200">
        <f>J200-F201</f>
        <v>0.89999999999999858</v>
      </c>
      <c r="M200">
        <f t="shared" si="73"/>
        <v>0.98360655737704927</v>
      </c>
      <c r="N200">
        <v>1</v>
      </c>
      <c r="O200">
        <v>2.5</v>
      </c>
      <c r="P200">
        <f>O200*210</f>
        <v>525</v>
      </c>
    </row>
    <row r="201" spans="1:18" x14ac:dyDescent="0.3">
      <c r="A201" t="s">
        <v>2</v>
      </c>
      <c r="B201" s="1">
        <v>45074</v>
      </c>
      <c r="C201" t="s">
        <v>8</v>
      </c>
      <c r="D201" t="s">
        <v>10</v>
      </c>
      <c r="E201">
        <v>6</v>
      </c>
      <c r="F201">
        <v>16.100000000000001</v>
      </c>
      <c r="G201">
        <v>0</v>
      </c>
      <c r="H201">
        <v>0</v>
      </c>
      <c r="I201">
        <f t="shared" ref="I201:I238" si="74">H201+G201</f>
        <v>0</v>
      </c>
      <c r="J201">
        <f t="shared" ref="J201:J238" si="75">I201+F201</f>
        <v>16.100000000000001</v>
      </c>
      <c r="K201">
        <f t="shared" ref="K201:K237" si="76">J201-F202</f>
        <v>0.60000000000000142</v>
      </c>
      <c r="L201">
        <f>K200+K201</f>
        <v>1.5</v>
      </c>
      <c r="M201">
        <f t="shared" si="73"/>
        <v>0.83606557377049207</v>
      </c>
      <c r="N201">
        <v>2</v>
      </c>
      <c r="O201">
        <f t="shared" ref="O201:O237" si="77">O200+G201</f>
        <v>2.5</v>
      </c>
      <c r="P201">
        <f t="shared" ref="P201:P237" si="78">O201*210</f>
        <v>525</v>
      </c>
      <c r="Q201">
        <f t="shared" ref="Q201:Q237" si="79">0.98-M201</f>
        <v>0.14393442622950792</v>
      </c>
    </row>
    <row r="202" spans="1:18" x14ac:dyDescent="0.3">
      <c r="A202" t="s">
        <v>3</v>
      </c>
      <c r="B202" s="1">
        <v>45075</v>
      </c>
      <c r="C202" t="s">
        <v>8</v>
      </c>
      <c r="D202" t="s">
        <v>10</v>
      </c>
      <c r="E202">
        <v>6</v>
      </c>
      <c r="F202">
        <v>15.5</v>
      </c>
      <c r="G202">
        <v>0.25</v>
      </c>
      <c r="H202">
        <v>0</v>
      </c>
      <c r="I202">
        <f t="shared" si="74"/>
        <v>0.25</v>
      </c>
      <c r="J202">
        <f t="shared" si="75"/>
        <v>15.75</v>
      </c>
      <c r="K202">
        <f t="shared" si="76"/>
        <v>0.65000000000000036</v>
      </c>
      <c r="L202">
        <f>L201+K202</f>
        <v>2.1500000000000004</v>
      </c>
      <c r="M202">
        <f t="shared" si="73"/>
        <v>0.77868852459016402</v>
      </c>
      <c r="N202">
        <v>3</v>
      </c>
      <c r="O202">
        <f t="shared" si="77"/>
        <v>2.75</v>
      </c>
      <c r="P202">
        <f t="shared" si="78"/>
        <v>577.5</v>
      </c>
      <c r="Q202">
        <f t="shared" si="79"/>
        <v>0.20131147540983596</v>
      </c>
      <c r="R202">
        <f>Q201+Q202</f>
        <v>0.34524590163934388</v>
      </c>
    </row>
    <row r="203" spans="1:18" x14ac:dyDescent="0.3">
      <c r="A203" t="s">
        <v>4</v>
      </c>
      <c r="B203" s="1">
        <v>45076</v>
      </c>
      <c r="C203" t="s">
        <v>8</v>
      </c>
      <c r="D203" t="s">
        <v>10</v>
      </c>
      <c r="E203">
        <v>6</v>
      </c>
      <c r="F203">
        <v>15.1</v>
      </c>
      <c r="G203">
        <v>0.25</v>
      </c>
      <c r="H203">
        <v>0</v>
      </c>
      <c r="I203">
        <f t="shared" si="74"/>
        <v>0.25</v>
      </c>
      <c r="J203">
        <f t="shared" si="75"/>
        <v>15.35</v>
      </c>
      <c r="K203">
        <f t="shared" si="76"/>
        <v>0.94999999999999929</v>
      </c>
      <c r="L203">
        <f t="shared" ref="L203:L223" si="80">L202+K203</f>
        <v>3.0999999999999996</v>
      </c>
      <c r="M203">
        <f t="shared" si="73"/>
        <v>0.71311475409836067</v>
      </c>
      <c r="N203">
        <v>4</v>
      </c>
      <c r="O203">
        <f t="shared" si="77"/>
        <v>3</v>
      </c>
      <c r="P203">
        <f t="shared" si="78"/>
        <v>630</v>
      </c>
      <c r="Q203">
        <f t="shared" si="79"/>
        <v>0.26688524590163931</v>
      </c>
      <c r="R203">
        <f>R202+Q203</f>
        <v>0.61213114754098319</v>
      </c>
    </row>
    <row r="204" spans="1:18" x14ac:dyDescent="0.3">
      <c r="A204" t="s">
        <v>5</v>
      </c>
      <c r="B204" s="1">
        <v>45077</v>
      </c>
      <c r="C204" t="s">
        <v>8</v>
      </c>
      <c r="D204" t="s">
        <v>10</v>
      </c>
      <c r="E204">
        <v>6</v>
      </c>
      <c r="F204">
        <v>14.4</v>
      </c>
      <c r="G204">
        <v>0</v>
      </c>
      <c r="H204">
        <v>0</v>
      </c>
      <c r="I204">
        <f t="shared" si="74"/>
        <v>0</v>
      </c>
      <c r="J204">
        <f t="shared" si="75"/>
        <v>14.4</v>
      </c>
      <c r="K204">
        <f t="shared" si="76"/>
        <v>0.59999999999999964</v>
      </c>
      <c r="L204">
        <f t="shared" si="80"/>
        <v>3.6999999999999993</v>
      </c>
      <c r="M204">
        <f t="shared" si="73"/>
        <v>0.55737704918032793</v>
      </c>
      <c r="N204">
        <v>5</v>
      </c>
      <c r="O204">
        <f t="shared" si="77"/>
        <v>3</v>
      </c>
      <c r="P204">
        <f t="shared" si="78"/>
        <v>630</v>
      </c>
      <c r="Q204">
        <f t="shared" si="79"/>
        <v>0.42262295081967205</v>
      </c>
      <c r="R204">
        <f t="shared" ref="R204:R227" si="81">R203+Q204</f>
        <v>1.0347540983606551</v>
      </c>
    </row>
    <row r="205" spans="1:18" x14ac:dyDescent="0.3">
      <c r="A205" t="s">
        <v>6</v>
      </c>
      <c r="B205" s="1">
        <v>45078</v>
      </c>
      <c r="C205" t="s">
        <v>8</v>
      </c>
      <c r="D205" t="s">
        <v>10</v>
      </c>
      <c r="E205">
        <v>6</v>
      </c>
      <c r="F205">
        <v>13.8</v>
      </c>
      <c r="G205">
        <v>0.25</v>
      </c>
      <c r="H205">
        <v>0</v>
      </c>
      <c r="I205">
        <f t="shared" si="74"/>
        <v>0.25</v>
      </c>
      <c r="J205">
        <f t="shared" si="75"/>
        <v>14.05</v>
      </c>
      <c r="K205">
        <f t="shared" si="76"/>
        <v>0.45000000000000107</v>
      </c>
      <c r="L205">
        <f t="shared" si="80"/>
        <v>4.1500000000000004</v>
      </c>
      <c r="M205">
        <f t="shared" si="73"/>
        <v>0.50000000000000011</v>
      </c>
      <c r="N205">
        <v>6</v>
      </c>
      <c r="O205">
        <f t="shared" si="77"/>
        <v>3.25</v>
      </c>
      <c r="P205">
        <f t="shared" si="78"/>
        <v>682.5</v>
      </c>
      <c r="Q205">
        <f t="shared" si="79"/>
        <v>0.47999999999999987</v>
      </c>
      <c r="R205">
        <f t="shared" si="81"/>
        <v>1.5147540983606551</v>
      </c>
    </row>
    <row r="206" spans="1:18" x14ac:dyDescent="0.3">
      <c r="A206" t="s">
        <v>0</v>
      </c>
      <c r="B206" s="1">
        <v>45079</v>
      </c>
      <c r="C206" t="s">
        <v>8</v>
      </c>
      <c r="D206" t="s">
        <v>10</v>
      </c>
      <c r="E206">
        <v>6</v>
      </c>
      <c r="F206">
        <v>13.6</v>
      </c>
      <c r="G206">
        <v>0.25</v>
      </c>
      <c r="H206">
        <v>0</v>
      </c>
      <c r="I206">
        <f t="shared" si="74"/>
        <v>0.25</v>
      </c>
      <c r="J206">
        <f t="shared" si="75"/>
        <v>13.85</v>
      </c>
      <c r="K206">
        <f t="shared" si="76"/>
        <v>0.34999999999999964</v>
      </c>
      <c r="L206">
        <f t="shared" si="80"/>
        <v>4.5</v>
      </c>
      <c r="M206">
        <f t="shared" si="73"/>
        <v>0.46721311475409832</v>
      </c>
      <c r="N206">
        <v>7</v>
      </c>
      <c r="O206">
        <f t="shared" si="77"/>
        <v>3.5</v>
      </c>
      <c r="P206">
        <f t="shared" si="78"/>
        <v>735</v>
      </c>
      <c r="Q206">
        <f t="shared" si="79"/>
        <v>0.51278688524590166</v>
      </c>
      <c r="R206">
        <f t="shared" si="81"/>
        <v>2.0275409836065568</v>
      </c>
    </row>
    <row r="207" spans="1:18" x14ac:dyDescent="0.3">
      <c r="A207" t="s">
        <v>1</v>
      </c>
      <c r="B207" s="1">
        <v>45080</v>
      </c>
      <c r="C207" t="s">
        <v>8</v>
      </c>
      <c r="D207" t="s">
        <v>10</v>
      </c>
      <c r="E207">
        <v>6</v>
      </c>
      <c r="F207">
        <v>13.5</v>
      </c>
      <c r="G207">
        <v>0</v>
      </c>
      <c r="H207">
        <v>0</v>
      </c>
      <c r="I207">
        <f t="shared" si="74"/>
        <v>0</v>
      </c>
      <c r="J207">
        <f t="shared" si="75"/>
        <v>13.5</v>
      </c>
      <c r="K207">
        <f t="shared" si="76"/>
        <v>0.59999999999999964</v>
      </c>
      <c r="L207">
        <f t="shared" si="80"/>
        <v>5.0999999999999996</v>
      </c>
      <c r="M207">
        <f t="shared" si="73"/>
        <v>0.4098360655737705</v>
      </c>
      <c r="N207">
        <v>8</v>
      </c>
      <c r="O207">
        <f t="shared" si="77"/>
        <v>3.5</v>
      </c>
      <c r="P207">
        <f t="shared" si="78"/>
        <v>735</v>
      </c>
      <c r="Q207">
        <f t="shared" si="79"/>
        <v>0.57016393442622948</v>
      </c>
      <c r="R207">
        <f t="shared" si="81"/>
        <v>2.597704918032786</v>
      </c>
    </row>
    <row r="208" spans="1:18" x14ac:dyDescent="0.3">
      <c r="A208" t="s">
        <v>2</v>
      </c>
      <c r="B208" s="1">
        <v>45081</v>
      </c>
      <c r="C208" t="s">
        <v>8</v>
      </c>
      <c r="D208" t="s">
        <v>10</v>
      </c>
      <c r="E208">
        <v>6</v>
      </c>
      <c r="F208">
        <v>12.9</v>
      </c>
      <c r="G208">
        <v>0</v>
      </c>
      <c r="H208">
        <f t="shared" ref="H208:H218" si="82">13-F208-G208</f>
        <v>9.9999999999999645E-2</v>
      </c>
      <c r="I208">
        <f t="shared" si="74"/>
        <v>9.9999999999999645E-2</v>
      </c>
      <c r="J208">
        <f t="shared" si="75"/>
        <v>13</v>
      </c>
      <c r="K208">
        <f t="shared" si="76"/>
        <v>0.59999999999999964</v>
      </c>
      <c r="L208">
        <f t="shared" si="80"/>
        <v>5.6999999999999993</v>
      </c>
      <c r="M208">
        <f t="shared" si="73"/>
        <v>0.32786885245901642</v>
      </c>
      <c r="N208">
        <v>9</v>
      </c>
      <c r="O208">
        <f t="shared" si="77"/>
        <v>3.5</v>
      </c>
      <c r="P208">
        <f t="shared" si="78"/>
        <v>735</v>
      </c>
      <c r="Q208">
        <f t="shared" si="79"/>
        <v>0.65213114754098356</v>
      </c>
      <c r="R208">
        <f t="shared" si="81"/>
        <v>3.2498360655737697</v>
      </c>
    </row>
    <row r="209" spans="1:18" x14ac:dyDescent="0.3">
      <c r="A209" t="s">
        <v>3</v>
      </c>
      <c r="B209" s="1">
        <v>45082</v>
      </c>
      <c r="C209" t="s">
        <v>8</v>
      </c>
      <c r="D209" t="s">
        <v>10</v>
      </c>
      <c r="E209">
        <v>6</v>
      </c>
      <c r="F209">
        <v>12.4</v>
      </c>
      <c r="G209">
        <v>0.25</v>
      </c>
      <c r="H209">
        <f t="shared" si="82"/>
        <v>0.34999999999999964</v>
      </c>
      <c r="I209">
        <f t="shared" si="74"/>
        <v>0.59999999999999964</v>
      </c>
      <c r="J209">
        <f t="shared" si="75"/>
        <v>13</v>
      </c>
      <c r="K209">
        <f t="shared" si="76"/>
        <v>0.80000000000000071</v>
      </c>
      <c r="L209">
        <f t="shared" si="80"/>
        <v>6.5</v>
      </c>
      <c r="M209">
        <f t="shared" si="73"/>
        <v>0.32786885245901642</v>
      </c>
      <c r="N209">
        <v>10</v>
      </c>
      <c r="O209">
        <f t="shared" si="77"/>
        <v>3.75</v>
      </c>
      <c r="P209">
        <f t="shared" si="78"/>
        <v>787.5</v>
      </c>
      <c r="Q209">
        <f t="shared" si="79"/>
        <v>0.65213114754098356</v>
      </c>
      <c r="R209">
        <f t="shared" si="81"/>
        <v>3.9019672131147534</v>
      </c>
    </row>
    <row r="210" spans="1:18" x14ac:dyDescent="0.3">
      <c r="A210" t="s">
        <v>4</v>
      </c>
      <c r="B210" s="1">
        <v>45083</v>
      </c>
      <c r="C210" t="s">
        <v>8</v>
      </c>
      <c r="D210" t="s">
        <v>10</v>
      </c>
      <c r="E210">
        <v>6</v>
      </c>
      <c r="F210">
        <v>12.2</v>
      </c>
      <c r="G210">
        <v>0.25</v>
      </c>
      <c r="H210">
        <f t="shared" si="82"/>
        <v>0.55000000000000071</v>
      </c>
      <c r="I210">
        <f t="shared" si="74"/>
        <v>0.80000000000000071</v>
      </c>
      <c r="J210">
        <f t="shared" si="75"/>
        <v>13</v>
      </c>
      <c r="K210">
        <f t="shared" si="76"/>
        <v>0.90000000000000036</v>
      </c>
      <c r="L210">
        <f t="shared" si="80"/>
        <v>7.4</v>
      </c>
      <c r="M210">
        <f t="shared" si="73"/>
        <v>0.32786885245901642</v>
      </c>
      <c r="N210">
        <v>11</v>
      </c>
      <c r="O210">
        <f t="shared" si="77"/>
        <v>4</v>
      </c>
      <c r="P210">
        <f t="shared" si="78"/>
        <v>840</v>
      </c>
      <c r="Q210">
        <f t="shared" si="79"/>
        <v>0.65213114754098356</v>
      </c>
      <c r="R210">
        <f t="shared" si="81"/>
        <v>4.554098360655737</v>
      </c>
    </row>
    <row r="211" spans="1:18" x14ac:dyDescent="0.3">
      <c r="A211" t="s">
        <v>5</v>
      </c>
      <c r="B211" s="1">
        <v>45084</v>
      </c>
      <c r="C211" t="s">
        <v>8</v>
      </c>
      <c r="D211" t="s">
        <v>10</v>
      </c>
      <c r="E211">
        <v>6</v>
      </c>
      <c r="F211">
        <v>12.1</v>
      </c>
      <c r="G211">
        <v>0</v>
      </c>
      <c r="H211">
        <f t="shared" si="82"/>
        <v>0.90000000000000036</v>
      </c>
      <c r="I211">
        <f t="shared" si="74"/>
        <v>0.90000000000000036</v>
      </c>
      <c r="J211">
        <f t="shared" si="75"/>
        <v>13</v>
      </c>
      <c r="K211">
        <f t="shared" si="76"/>
        <v>0.80000000000000071</v>
      </c>
      <c r="L211">
        <f t="shared" si="80"/>
        <v>8.2000000000000011</v>
      </c>
      <c r="M211">
        <f t="shared" si="73"/>
        <v>0.32786885245901642</v>
      </c>
      <c r="N211">
        <v>12</v>
      </c>
      <c r="O211">
        <f t="shared" si="77"/>
        <v>4</v>
      </c>
      <c r="P211">
        <f t="shared" si="78"/>
        <v>840</v>
      </c>
      <c r="Q211">
        <f t="shared" si="79"/>
        <v>0.65213114754098356</v>
      </c>
      <c r="R211">
        <f t="shared" si="81"/>
        <v>5.2062295081967207</v>
      </c>
    </row>
    <row r="212" spans="1:18" x14ac:dyDescent="0.3">
      <c r="A212" t="s">
        <v>6</v>
      </c>
      <c r="B212" s="1">
        <v>45085</v>
      </c>
      <c r="C212" t="s">
        <v>8</v>
      </c>
      <c r="D212" t="s">
        <v>10</v>
      </c>
      <c r="E212">
        <v>6</v>
      </c>
      <c r="F212">
        <v>12.2</v>
      </c>
      <c r="G212">
        <v>0.25</v>
      </c>
      <c r="H212">
        <f t="shared" si="82"/>
        <v>0.55000000000000071</v>
      </c>
      <c r="I212">
        <f t="shared" si="74"/>
        <v>0.80000000000000071</v>
      </c>
      <c r="J212">
        <f t="shared" si="75"/>
        <v>13</v>
      </c>
      <c r="K212">
        <f t="shared" si="76"/>
        <v>0.69999999999999929</v>
      </c>
      <c r="L212">
        <f t="shared" si="80"/>
        <v>8.9</v>
      </c>
      <c r="M212">
        <f t="shared" si="73"/>
        <v>0.32786885245901642</v>
      </c>
      <c r="N212">
        <v>13</v>
      </c>
      <c r="O212">
        <f t="shared" si="77"/>
        <v>4.25</v>
      </c>
      <c r="P212">
        <f t="shared" si="78"/>
        <v>892.5</v>
      </c>
      <c r="Q212">
        <f t="shared" si="79"/>
        <v>0.65213114754098356</v>
      </c>
      <c r="R212">
        <f t="shared" si="81"/>
        <v>5.8583606557377044</v>
      </c>
    </row>
    <row r="213" spans="1:18" x14ac:dyDescent="0.3">
      <c r="A213" t="s">
        <v>0</v>
      </c>
      <c r="B213" s="1">
        <v>45086</v>
      </c>
      <c r="C213" t="s">
        <v>8</v>
      </c>
      <c r="D213" t="s">
        <v>10</v>
      </c>
      <c r="E213">
        <v>6</v>
      </c>
      <c r="F213">
        <v>12.3</v>
      </c>
      <c r="G213">
        <v>0.25</v>
      </c>
      <c r="H213">
        <f t="shared" si="82"/>
        <v>0.44999999999999929</v>
      </c>
      <c r="I213">
        <f t="shared" si="74"/>
        <v>0.69999999999999929</v>
      </c>
      <c r="J213">
        <f t="shared" si="75"/>
        <v>13</v>
      </c>
      <c r="K213">
        <f t="shared" si="76"/>
        <v>1</v>
      </c>
      <c r="L213">
        <f t="shared" si="80"/>
        <v>9.9</v>
      </c>
      <c r="M213">
        <f t="shared" si="73"/>
        <v>0.32786885245901642</v>
      </c>
      <c r="N213">
        <v>14</v>
      </c>
      <c r="O213">
        <f t="shared" si="77"/>
        <v>4.5</v>
      </c>
      <c r="P213">
        <f t="shared" si="78"/>
        <v>945</v>
      </c>
      <c r="Q213">
        <f t="shared" si="79"/>
        <v>0.65213114754098356</v>
      </c>
      <c r="R213">
        <f t="shared" si="81"/>
        <v>6.510491803278688</v>
      </c>
    </row>
    <row r="214" spans="1:18" x14ac:dyDescent="0.3">
      <c r="A214" t="s">
        <v>1</v>
      </c>
      <c r="B214" s="1">
        <v>45087</v>
      </c>
      <c r="C214" t="s">
        <v>8</v>
      </c>
      <c r="D214" t="s">
        <v>10</v>
      </c>
      <c r="E214">
        <v>6</v>
      </c>
      <c r="F214">
        <v>12</v>
      </c>
      <c r="G214">
        <v>0</v>
      </c>
      <c r="H214">
        <f t="shared" si="82"/>
        <v>1</v>
      </c>
      <c r="I214">
        <f t="shared" si="74"/>
        <v>1</v>
      </c>
      <c r="J214">
        <f t="shared" si="75"/>
        <v>13</v>
      </c>
      <c r="K214">
        <f t="shared" si="76"/>
        <v>1</v>
      </c>
      <c r="L214">
        <f t="shared" si="80"/>
        <v>10.9</v>
      </c>
      <c r="M214">
        <f t="shared" si="73"/>
        <v>0.32786885245901642</v>
      </c>
      <c r="N214">
        <v>15</v>
      </c>
      <c r="O214">
        <f t="shared" si="77"/>
        <v>4.5</v>
      </c>
      <c r="P214">
        <f t="shared" si="78"/>
        <v>945</v>
      </c>
      <c r="Q214">
        <f t="shared" si="79"/>
        <v>0.65213114754098356</v>
      </c>
      <c r="R214">
        <f t="shared" si="81"/>
        <v>7.1626229508196717</v>
      </c>
    </row>
    <row r="215" spans="1:18" x14ac:dyDescent="0.3">
      <c r="A215" t="s">
        <v>2</v>
      </c>
      <c r="B215" s="1">
        <v>45088</v>
      </c>
      <c r="C215" t="s">
        <v>8</v>
      </c>
      <c r="D215" t="s">
        <v>10</v>
      </c>
      <c r="E215">
        <v>6</v>
      </c>
      <c r="F215">
        <v>12</v>
      </c>
      <c r="G215">
        <v>0</v>
      </c>
      <c r="H215">
        <f t="shared" si="82"/>
        <v>1</v>
      </c>
      <c r="I215">
        <f t="shared" si="74"/>
        <v>1</v>
      </c>
      <c r="J215">
        <f t="shared" si="75"/>
        <v>13</v>
      </c>
      <c r="K215">
        <f t="shared" si="76"/>
        <v>1</v>
      </c>
      <c r="L215">
        <f t="shared" si="80"/>
        <v>11.9</v>
      </c>
      <c r="M215">
        <f t="shared" si="73"/>
        <v>0.32786885245901642</v>
      </c>
      <c r="N215">
        <v>16</v>
      </c>
      <c r="O215">
        <f t="shared" si="77"/>
        <v>4.5</v>
      </c>
      <c r="P215">
        <f t="shared" si="78"/>
        <v>945</v>
      </c>
      <c r="Q215">
        <f t="shared" si="79"/>
        <v>0.65213114754098356</v>
      </c>
      <c r="R215">
        <f t="shared" si="81"/>
        <v>7.8147540983606554</v>
      </c>
    </row>
    <row r="216" spans="1:18" x14ac:dyDescent="0.3">
      <c r="A216" t="s">
        <v>3</v>
      </c>
      <c r="B216" s="1">
        <v>45089</v>
      </c>
      <c r="C216" t="s">
        <v>8</v>
      </c>
      <c r="D216" t="s">
        <v>10</v>
      </c>
      <c r="E216">
        <v>6</v>
      </c>
      <c r="F216">
        <v>12</v>
      </c>
      <c r="G216">
        <v>0.5</v>
      </c>
      <c r="H216">
        <f t="shared" si="82"/>
        <v>0.5</v>
      </c>
      <c r="I216">
        <f t="shared" si="74"/>
        <v>1</v>
      </c>
      <c r="J216">
        <f t="shared" si="75"/>
        <v>13</v>
      </c>
      <c r="K216">
        <f t="shared" si="76"/>
        <v>0.40000000000000036</v>
      </c>
      <c r="L216">
        <f t="shared" si="80"/>
        <v>12.3</v>
      </c>
      <c r="M216">
        <f t="shared" si="73"/>
        <v>0.32786885245901642</v>
      </c>
      <c r="N216">
        <v>17</v>
      </c>
      <c r="O216">
        <f t="shared" si="77"/>
        <v>5</v>
      </c>
      <c r="P216">
        <f t="shared" si="78"/>
        <v>1050</v>
      </c>
      <c r="Q216">
        <f t="shared" si="79"/>
        <v>0.65213114754098356</v>
      </c>
      <c r="R216">
        <f t="shared" si="81"/>
        <v>8.4668852459016382</v>
      </c>
    </row>
    <row r="217" spans="1:18" x14ac:dyDescent="0.3">
      <c r="A217" t="s">
        <v>4</v>
      </c>
      <c r="B217" s="1">
        <v>45090</v>
      </c>
      <c r="C217" t="s">
        <v>8</v>
      </c>
      <c r="D217" t="s">
        <v>10</v>
      </c>
      <c r="E217">
        <v>6</v>
      </c>
      <c r="F217">
        <v>12.6</v>
      </c>
      <c r="G217">
        <v>0</v>
      </c>
      <c r="H217">
        <f t="shared" si="82"/>
        <v>0.40000000000000036</v>
      </c>
      <c r="I217">
        <f t="shared" si="74"/>
        <v>0.40000000000000036</v>
      </c>
      <c r="J217">
        <f t="shared" si="75"/>
        <v>13</v>
      </c>
      <c r="K217">
        <f t="shared" si="76"/>
        <v>0.90000000000000036</v>
      </c>
      <c r="L217">
        <f t="shared" si="80"/>
        <v>13.200000000000001</v>
      </c>
      <c r="M217">
        <f t="shared" si="73"/>
        <v>0.32786885245901642</v>
      </c>
      <c r="N217">
        <v>18</v>
      </c>
      <c r="O217">
        <f t="shared" si="77"/>
        <v>5</v>
      </c>
      <c r="P217">
        <f t="shared" si="78"/>
        <v>1050</v>
      </c>
      <c r="Q217">
        <f t="shared" si="79"/>
        <v>0.65213114754098356</v>
      </c>
      <c r="R217">
        <f t="shared" si="81"/>
        <v>9.1190163934426209</v>
      </c>
    </row>
    <row r="218" spans="1:18" x14ac:dyDescent="0.3">
      <c r="A218" t="s">
        <v>5</v>
      </c>
      <c r="B218" s="1">
        <v>45091</v>
      </c>
      <c r="C218" t="s">
        <v>8</v>
      </c>
      <c r="D218" t="s">
        <v>10</v>
      </c>
      <c r="E218">
        <v>6</v>
      </c>
      <c r="F218">
        <v>12.1</v>
      </c>
      <c r="G218">
        <v>0</v>
      </c>
      <c r="H218">
        <f t="shared" si="82"/>
        <v>0.90000000000000036</v>
      </c>
      <c r="I218">
        <f t="shared" si="74"/>
        <v>0.90000000000000036</v>
      </c>
      <c r="J218">
        <f t="shared" si="75"/>
        <v>13</v>
      </c>
      <c r="K218">
        <f t="shared" si="76"/>
        <v>1.3000000000000007</v>
      </c>
      <c r="L218">
        <f t="shared" si="80"/>
        <v>14.500000000000002</v>
      </c>
      <c r="M218">
        <f t="shared" si="73"/>
        <v>0.32786885245901642</v>
      </c>
      <c r="N218">
        <v>19</v>
      </c>
      <c r="O218">
        <f t="shared" si="77"/>
        <v>5</v>
      </c>
      <c r="P218">
        <f t="shared" si="78"/>
        <v>1050</v>
      </c>
      <c r="Q218">
        <f t="shared" si="79"/>
        <v>0.65213114754098356</v>
      </c>
      <c r="R218">
        <f t="shared" si="81"/>
        <v>9.7711475409836037</v>
      </c>
    </row>
    <row r="219" spans="1:18" x14ac:dyDescent="0.3">
      <c r="A219" t="s">
        <v>6</v>
      </c>
      <c r="B219" s="1">
        <v>45092</v>
      </c>
      <c r="C219" t="s">
        <v>8</v>
      </c>
      <c r="D219" t="s">
        <v>10</v>
      </c>
      <c r="E219">
        <v>6</v>
      </c>
      <c r="F219">
        <v>11.7</v>
      </c>
      <c r="G219">
        <v>0.5</v>
      </c>
      <c r="H219">
        <f>12.2-F219-G219</f>
        <v>0</v>
      </c>
      <c r="I219">
        <f t="shared" si="74"/>
        <v>0.5</v>
      </c>
      <c r="J219">
        <f t="shared" si="75"/>
        <v>12.2</v>
      </c>
      <c r="K219">
        <f t="shared" si="76"/>
        <v>0.5</v>
      </c>
      <c r="L219">
        <f t="shared" si="80"/>
        <v>15.000000000000002</v>
      </c>
      <c r="M219">
        <f t="shared" si="73"/>
        <v>0.19672131147540972</v>
      </c>
      <c r="N219">
        <v>20</v>
      </c>
      <c r="O219">
        <f t="shared" si="77"/>
        <v>5.5</v>
      </c>
      <c r="P219">
        <f t="shared" si="78"/>
        <v>1155</v>
      </c>
      <c r="Q219">
        <f t="shared" si="79"/>
        <v>0.78327868852459026</v>
      </c>
      <c r="R219">
        <f t="shared" si="81"/>
        <v>10.554426229508193</v>
      </c>
    </row>
    <row r="220" spans="1:18" x14ac:dyDescent="0.3">
      <c r="A220" t="s">
        <v>0</v>
      </c>
      <c r="B220" s="1">
        <v>45093</v>
      </c>
      <c r="C220" t="s">
        <v>8</v>
      </c>
      <c r="D220" t="s">
        <v>10</v>
      </c>
      <c r="E220">
        <v>6</v>
      </c>
      <c r="F220">
        <v>11.7</v>
      </c>
      <c r="G220">
        <v>0</v>
      </c>
      <c r="H220">
        <f>12.2-F220-G220</f>
        <v>0.5</v>
      </c>
      <c r="I220">
        <f t="shared" si="74"/>
        <v>0.5</v>
      </c>
      <c r="J220">
        <f t="shared" si="75"/>
        <v>12.2</v>
      </c>
      <c r="K220">
        <f t="shared" si="76"/>
        <v>0.79999999999999893</v>
      </c>
      <c r="L220">
        <f t="shared" si="80"/>
        <v>15.8</v>
      </c>
      <c r="M220">
        <f t="shared" si="73"/>
        <v>0.19672131147540972</v>
      </c>
      <c r="N220">
        <v>21</v>
      </c>
      <c r="O220">
        <f t="shared" si="77"/>
        <v>5.5</v>
      </c>
      <c r="P220">
        <f t="shared" si="78"/>
        <v>1155</v>
      </c>
      <c r="Q220">
        <f t="shared" si="79"/>
        <v>0.78327868852459026</v>
      </c>
      <c r="R220">
        <f t="shared" si="81"/>
        <v>11.337704918032783</v>
      </c>
    </row>
    <row r="221" spans="1:18" x14ac:dyDescent="0.3">
      <c r="A221" t="s">
        <v>1</v>
      </c>
      <c r="B221" s="1">
        <v>45094</v>
      </c>
      <c r="C221" t="s">
        <v>8</v>
      </c>
      <c r="D221" t="s">
        <v>10</v>
      </c>
      <c r="E221">
        <v>6</v>
      </c>
      <c r="F221">
        <v>11.4</v>
      </c>
      <c r="G221">
        <v>0</v>
      </c>
      <c r="H221">
        <f>12.2-F221-G221</f>
        <v>0.79999999999999893</v>
      </c>
      <c r="I221">
        <f t="shared" si="74"/>
        <v>0.79999999999999893</v>
      </c>
      <c r="J221">
        <f t="shared" si="75"/>
        <v>12.2</v>
      </c>
      <c r="K221">
        <f t="shared" si="76"/>
        <v>0.69999999999999929</v>
      </c>
      <c r="L221">
        <f t="shared" si="80"/>
        <v>16.5</v>
      </c>
      <c r="M221">
        <f t="shared" si="73"/>
        <v>0.19672131147540972</v>
      </c>
      <c r="N221">
        <v>22</v>
      </c>
      <c r="O221">
        <f t="shared" si="77"/>
        <v>5.5</v>
      </c>
      <c r="P221">
        <f t="shared" si="78"/>
        <v>1155</v>
      </c>
      <c r="Q221">
        <f t="shared" si="79"/>
        <v>0.78327868852459026</v>
      </c>
      <c r="R221">
        <f t="shared" si="81"/>
        <v>12.120983606557372</v>
      </c>
    </row>
    <row r="222" spans="1:18" x14ac:dyDescent="0.3">
      <c r="A222" t="s">
        <v>2</v>
      </c>
      <c r="B222" s="1">
        <v>45095</v>
      </c>
      <c r="C222" t="s">
        <v>8</v>
      </c>
      <c r="D222" t="s">
        <v>10</v>
      </c>
      <c r="E222">
        <v>6</v>
      </c>
      <c r="F222">
        <v>11.5</v>
      </c>
      <c r="G222">
        <v>0</v>
      </c>
      <c r="H222">
        <f t="shared" ref="H222:H223" si="83">12.2-F222-G222</f>
        <v>0.69999999999999929</v>
      </c>
      <c r="I222">
        <f t="shared" si="74"/>
        <v>0.69999999999999929</v>
      </c>
      <c r="J222">
        <f t="shared" si="75"/>
        <v>12.2</v>
      </c>
      <c r="K222">
        <f t="shared" si="76"/>
        <v>0.89999999999999858</v>
      </c>
      <c r="L222">
        <f t="shared" si="80"/>
        <v>17.399999999999999</v>
      </c>
      <c r="M222">
        <f t="shared" si="73"/>
        <v>0.19672131147540972</v>
      </c>
      <c r="N222">
        <v>23</v>
      </c>
      <c r="O222">
        <f t="shared" si="77"/>
        <v>5.5</v>
      </c>
      <c r="P222">
        <f t="shared" si="78"/>
        <v>1155</v>
      </c>
      <c r="Q222">
        <f t="shared" si="79"/>
        <v>0.78327868852459026</v>
      </c>
      <c r="R222">
        <f t="shared" si="81"/>
        <v>12.904262295081962</v>
      </c>
    </row>
    <row r="223" spans="1:18" x14ac:dyDescent="0.3">
      <c r="A223" t="s">
        <v>3</v>
      </c>
      <c r="B223" s="1">
        <v>45096</v>
      </c>
      <c r="C223" t="s">
        <v>8</v>
      </c>
      <c r="D223" t="s">
        <v>10</v>
      </c>
      <c r="E223">
        <v>6</v>
      </c>
      <c r="F223">
        <v>11.3</v>
      </c>
      <c r="G223">
        <v>0.5</v>
      </c>
      <c r="H223">
        <f t="shared" si="83"/>
        <v>0.39999999999999858</v>
      </c>
      <c r="I223">
        <f t="shared" si="74"/>
        <v>0.89999999999999858</v>
      </c>
      <c r="J223">
        <f t="shared" si="75"/>
        <v>12.2</v>
      </c>
      <c r="K223">
        <f t="shared" si="76"/>
        <v>0.89999999999999858</v>
      </c>
      <c r="L223">
        <f t="shared" si="80"/>
        <v>18.299999999999997</v>
      </c>
      <c r="M223">
        <f t="shared" si="73"/>
        <v>0.19672131147540972</v>
      </c>
      <c r="N223">
        <v>24</v>
      </c>
      <c r="O223">
        <f t="shared" si="77"/>
        <v>6</v>
      </c>
      <c r="P223">
        <f t="shared" si="78"/>
        <v>1260</v>
      </c>
      <c r="Q223">
        <f t="shared" si="79"/>
        <v>0.78327868852459026</v>
      </c>
      <c r="R223">
        <f t="shared" si="81"/>
        <v>13.687540983606551</v>
      </c>
    </row>
    <row r="224" spans="1:18" x14ac:dyDescent="0.3">
      <c r="A224" t="s">
        <v>4</v>
      </c>
      <c r="B224" s="1">
        <v>45097</v>
      </c>
      <c r="C224" t="s">
        <v>8</v>
      </c>
      <c r="D224" t="s">
        <v>10</v>
      </c>
      <c r="E224">
        <v>6</v>
      </c>
      <c r="F224">
        <v>11.3</v>
      </c>
      <c r="G224">
        <v>0</v>
      </c>
      <c r="H224">
        <f>12.2-F224-G224</f>
        <v>0.89999999999999858</v>
      </c>
      <c r="I224">
        <f t="shared" si="74"/>
        <v>0.89999999999999858</v>
      </c>
      <c r="J224">
        <f t="shared" si="75"/>
        <v>12.2</v>
      </c>
      <c r="K224">
        <f t="shared" si="76"/>
        <v>0.89999999999999858</v>
      </c>
      <c r="L224">
        <f>L223+K224</f>
        <v>19.199999999999996</v>
      </c>
      <c r="M224">
        <f t="shared" si="73"/>
        <v>0.19672131147540972</v>
      </c>
      <c r="N224">
        <v>25</v>
      </c>
      <c r="O224">
        <f t="shared" si="77"/>
        <v>6</v>
      </c>
      <c r="P224">
        <f t="shared" si="78"/>
        <v>1260</v>
      </c>
      <c r="Q224">
        <f t="shared" si="79"/>
        <v>0.78327868852459026</v>
      </c>
      <c r="R224">
        <f t="shared" si="81"/>
        <v>14.470819672131141</v>
      </c>
    </row>
    <row r="225" spans="1:18" x14ac:dyDescent="0.3">
      <c r="A225" t="s">
        <v>5</v>
      </c>
      <c r="B225" s="1">
        <v>45098</v>
      </c>
      <c r="C225" t="s">
        <v>8</v>
      </c>
      <c r="D225" t="s">
        <v>10</v>
      </c>
      <c r="E225">
        <v>6</v>
      </c>
      <c r="F225">
        <v>11.3</v>
      </c>
      <c r="G225">
        <v>0</v>
      </c>
      <c r="H225">
        <f t="shared" ref="H225:H227" si="84">12.1-F225-G225</f>
        <v>0.79999999999999893</v>
      </c>
      <c r="I225">
        <f t="shared" si="74"/>
        <v>0.79999999999999893</v>
      </c>
      <c r="J225">
        <f t="shared" si="75"/>
        <v>12.1</v>
      </c>
      <c r="K225">
        <f t="shared" si="76"/>
        <v>0.90000000000000036</v>
      </c>
      <c r="L225">
        <f t="shared" ref="L225:L237" si="85">L224+K225</f>
        <v>20.099999999999994</v>
      </c>
      <c r="M225">
        <f t="shared" si="73"/>
        <v>0.18032786885245897</v>
      </c>
      <c r="N225">
        <v>26</v>
      </c>
      <c r="O225">
        <f t="shared" si="77"/>
        <v>6</v>
      </c>
      <c r="P225">
        <f t="shared" si="78"/>
        <v>1260</v>
      </c>
      <c r="Q225">
        <f t="shared" si="79"/>
        <v>0.79967213114754099</v>
      </c>
      <c r="R225">
        <f t="shared" si="81"/>
        <v>15.270491803278681</v>
      </c>
    </row>
    <row r="226" spans="1:18" x14ac:dyDescent="0.3">
      <c r="A226" t="s">
        <v>6</v>
      </c>
      <c r="B226" s="1">
        <v>45099</v>
      </c>
      <c r="C226" t="s">
        <v>8</v>
      </c>
      <c r="D226" t="s">
        <v>10</v>
      </c>
      <c r="E226">
        <v>6</v>
      </c>
      <c r="F226">
        <v>11.2</v>
      </c>
      <c r="G226">
        <v>0.5</v>
      </c>
      <c r="H226">
        <f t="shared" si="84"/>
        <v>0.40000000000000036</v>
      </c>
      <c r="I226">
        <f t="shared" si="74"/>
        <v>0.90000000000000036</v>
      </c>
      <c r="J226">
        <f t="shared" si="75"/>
        <v>12.1</v>
      </c>
      <c r="K226">
        <f t="shared" si="76"/>
        <v>0.79999999999999893</v>
      </c>
      <c r="L226">
        <f t="shared" si="85"/>
        <v>20.899999999999991</v>
      </c>
      <c r="M226">
        <f t="shared" si="73"/>
        <v>0.18032786885245897</v>
      </c>
      <c r="N226">
        <v>27</v>
      </c>
      <c r="O226">
        <f t="shared" si="77"/>
        <v>6.5</v>
      </c>
      <c r="P226">
        <f t="shared" si="78"/>
        <v>1365</v>
      </c>
      <c r="Q226">
        <f t="shared" si="79"/>
        <v>0.79967213114754099</v>
      </c>
      <c r="R226">
        <f t="shared" si="81"/>
        <v>16.070163934426223</v>
      </c>
    </row>
    <row r="227" spans="1:18" x14ac:dyDescent="0.3">
      <c r="A227" t="s">
        <v>0</v>
      </c>
      <c r="B227" s="1">
        <v>45100</v>
      </c>
      <c r="C227" t="s">
        <v>8</v>
      </c>
      <c r="D227" t="s">
        <v>10</v>
      </c>
      <c r="E227">
        <v>6</v>
      </c>
      <c r="F227">
        <v>11.3</v>
      </c>
      <c r="G227">
        <v>0</v>
      </c>
      <c r="H227">
        <f t="shared" si="84"/>
        <v>0.79999999999999893</v>
      </c>
      <c r="I227">
        <f t="shared" si="74"/>
        <v>0.79999999999999893</v>
      </c>
      <c r="J227">
        <f t="shared" si="75"/>
        <v>12.1</v>
      </c>
      <c r="K227">
        <f t="shared" si="76"/>
        <v>0.69999999999999929</v>
      </c>
      <c r="L227">
        <f t="shared" si="85"/>
        <v>21.599999999999991</v>
      </c>
      <c r="M227">
        <f t="shared" si="73"/>
        <v>0.18032786885245897</v>
      </c>
      <c r="N227">
        <v>28</v>
      </c>
      <c r="O227">
        <f t="shared" si="77"/>
        <v>6.5</v>
      </c>
      <c r="P227">
        <f t="shared" si="78"/>
        <v>1365</v>
      </c>
      <c r="Q227">
        <f t="shared" si="79"/>
        <v>0.79967213114754099</v>
      </c>
      <c r="R227">
        <f t="shared" si="81"/>
        <v>16.869836065573764</v>
      </c>
    </row>
    <row r="228" spans="1:18" x14ac:dyDescent="0.3">
      <c r="A228" t="s">
        <v>1</v>
      </c>
      <c r="B228" s="1">
        <v>45101</v>
      </c>
      <c r="C228" t="s">
        <v>8</v>
      </c>
      <c r="D228" t="s">
        <v>10</v>
      </c>
      <c r="E228">
        <v>6</v>
      </c>
      <c r="F228">
        <v>11.4</v>
      </c>
      <c r="G228">
        <v>0</v>
      </c>
      <c r="H228">
        <v>4.8</v>
      </c>
      <c r="I228">
        <f t="shared" si="74"/>
        <v>4.8</v>
      </c>
      <c r="J228">
        <f t="shared" si="75"/>
        <v>16.2</v>
      </c>
      <c r="K228">
        <f t="shared" si="76"/>
        <v>0.79999999999999893</v>
      </c>
      <c r="L228">
        <f t="shared" si="85"/>
        <v>22.399999999999991</v>
      </c>
      <c r="M228">
        <f t="shared" si="73"/>
        <v>0.85245901639344257</v>
      </c>
      <c r="N228">
        <v>29</v>
      </c>
      <c r="O228">
        <f t="shared" si="77"/>
        <v>6.5</v>
      </c>
      <c r="P228">
        <f t="shared" si="78"/>
        <v>1365</v>
      </c>
      <c r="Q228">
        <f t="shared" si="79"/>
        <v>0.12754098360655741</v>
      </c>
      <c r="R228">
        <f>R227+Q228</f>
        <v>16.997377049180322</v>
      </c>
    </row>
    <row r="229" spans="1:18" x14ac:dyDescent="0.3">
      <c r="A229" t="s">
        <v>2</v>
      </c>
      <c r="B229" s="1">
        <v>45102</v>
      </c>
      <c r="C229" t="s">
        <v>8</v>
      </c>
      <c r="D229" t="s">
        <v>10</v>
      </c>
      <c r="E229">
        <v>6</v>
      </c>
      <c r="F229">
        <v>15.4</v>
      </c>
      <c r="G229">
        <v>0</v>
      </c>
      <c r="H229">
        <v>0</v>
      </c>
      <c r="I229">
        <f t="shared" si="74"/>
        <v>0</v>
      </c>
      <c r="J229">
        <f t="shared" si="75"/>
        <v>15.4</v>
      </c>
      <c r="K229">
        <f t="shared" si="76"/>
        <v>1.3000000000000007</v>
      </c>
      <c r="L229">
        <f t="shared" si="85"/>
        <v>23.699999999999992</v>
      </c>
      <c r="M229">
        <f t="shared" si="73"/>
        <v>0.7213114754098362</v>
      </c>
      <c r="N229">
        <v>30</v>
      </c>
      <c r="O229">
        <f t="shared" si="77"/>
        <v>6.5</v>
      </c>
      <c r="P229">
        <f t="shared" si="78"/>
        <v>1365</v>
      </c>
      <c r="Q229">
        <f t="shared" si="79"/>
        <v>0.25868852459016378</v>
      </c>
      <c r="R229">
        <f t="shared" ref="R229:R237" si="86">R228+Q229</f>
        <v>17.256065573770485</v>
      </c>
    </row>
    <row r="230" spans="1:18" x14ac:dyDescent="0.3">
      <c r="A230" t="s">
        <v>3</v>
      </c>
      <c r="B230" s="1">
        <v>45103</v>
      </c>
      <c r="C230" t="s">
        <v>8</v>
      </c>
      <c r="D230" t="s">
        <v>10</v>
      </c>
      <c r="E230">
        <v>6</v>
      </c>
      <c r="F230">
        <v>14.1</v>
      </c>
      <c r="G230">
        <v>0.5</v>
      </c>
      <c r="H230">
        <v>0</v>
      </c>
      <c r="I230">
        <f t="shared" si="74"/>
        <v>0.5</v>
      </c>
      <c r="J230">
        <f t="shared" si="75"/>
        <v>14.6</v>
      </c>
      <c r="K230">
        <f t="shared" si="76"/>
        <v>0.69999999999999929</v>
      </c>
      <c r="L230">
        <f t="shared" si="85"/>
        <v>24.399999999999991</v>
      </c>
      <c r="M230">
        <f t="shared" si="73"/>
        <v>0.5901639344262295</v>
      </c>
      <c r="N230">
        <v>31</v>
      </c>
      <c r="O230">
        <f t="shared" si="77"/>
        <v>7</v>
      </c>
      <c r="P230">
        <f t="shared" si="78"/>
        <v>1470</v>
      </c>
      <c r="Q230">
        <f t="shared" si="79"/>
        <v>0.38983606557377048</v>
      </c>
      <c r="R230">
        <f t="shared" si="86"/>
        <v>17.645901639344256</v>
      </c>
    </row>
    <row r="231" spans="1:18" x14ac:dyDescent="0.3">
      <c r="A231" t="s">
        <v>4</v>
      </c>
      <c r="B231" s="1">
        <v>45104</v>
      </c>
      <c r="C231" t="s">
        <v>8</v>
      </c>
      <c r="D231" t="s">
        <v>10</v>
      </c>
      <c r="E231">
        <v>6</v>
      </c>
      <c r="F231">
        <v>13.9</v>
      </c>
      <c r="G231">
        <v>0</v>
      </c>
      <c r="H231">
        <v>0</v>
      </c>
      <c r="I231">
        <f t="shared" si="74"/>
        <v>0</v>
      </c>
      <c r="J231">
        <f t="shared" si="75"/>
        <v>13.9</v>
      </c>
      <c r="K231">
        <f t="shared" si="76"/>
        <v>1</v>
      </c>
      <c r="L231">
        <f t="shared" si="85"/>
        <v>25.399999999999991</v>
      </c>
      <c r="M231">
        <f t="shared" si="73"/>
        <v>0.47540983606557385</v>
      </c>
      <c r="N231">
        <v>32</v>
      </c>
      <c r="O231">
        <f t="shared" si="77"/>
        <v>7</v>
      </c>
      <c r="P231">
        <f t="shared" si="78"/>
        <v>1470</v>
      </c>
      <c r="Q231">
        <f t="shared" si="79"/>
        <v>0.50459016393442613</v>
      </c>
      <c r="R231">
        <f t="shared" si="86"/>
        <v>18.150491803278683</v>
      </c>
    </row>
    <row r="232" spans="1:18" x14ac:dyDescent="0.3">
      <c r="A232" t="s">
        <v>5</v>
      </c>
      <c r="B232" s="1">
        <v>45105</v>
      </c>
      <c r="C232" t="s">
        <v>8</v>
      </c>
      <c r="D232" t="s">
        <v>10</v>
      </c>
      <c r="E232">
        <v>6</v>
      </c>
      <c r="F232">
        <v>12.9</v>
      </c>
      <c r="G232">
        <v>0</v>
      </c>
      <c r="H232">
        <v>0</v>
      </c>
      <c r="I232">
        <f t="shared" si="74"/>
        <v>0</v>
      </c>
      <c r="J232">
        <f t="shared" si="75"/>
        <v>12.9</v>
      </c>
      <c r="K232">
        <f t="shared" si="76"/>
        <v>0.90000000000000036</v>
      </c>
      <c r="L232">
        <f t="shared" si="85"/>
        <v>26.29999999999999</v>
      </c>
      <c r="M232">
        <f t="shared" si="73"/>
        <v>0.31147540983606564</v>
      </c>
      <c r="N232">
        <v>33</v>
      </c>
      <c r="O232">
        <f t="shared" si="77"/>
        <v>7</v>
      </c>
      <c r="P232">
        <f t="shared" si="78"/>
        <v>1470</v>
      </c>
      <c r="Q232">
        <f t="shared" si="79"/>
        <v>0.66852459016393428</v>
      </c>
      <c r="R232">
        <f t="shared" si="86"/>
        <v>18.819016393442617</v>
      </c>
    </row>
    <row r="233" spans="1:18" x14ac:dyDescent="0.3">
      <c r="A233" t="s">
        <v>6</v>
      </c>
      <c r="B233" s="1">
        <v>45106</v>
      </c>
      <c r="C233" t="s">
        <v>8</v>
      </c>
      <c r="D233" t="s">
        <v>10</v>
      </c>
      <c r="E233">
        <v>6</v>
      </c>
      <c r="F233">
        <v>12</v>
      </c>
      <c r="G233">
        <v>0.5</v>
      </c>
      <c r="H233">
        <v>0</v>
      </c>
      <c r="I233">
        <f t="shared" si="74"/>
        <v>0.5</v>
      </c>
      <c r="J233">
        <f t="shared" si="75"/>
        <v>12.5</v>
      </c>
      <c r="K233">
        <f t="shared" si="76"/>
        <v>0.80000000000000071</v>
      </c>
      <c r="L233">
        <f t="shared" si="85"/>
        <v>27.099999999999991</v>
      </c>
      <c r="M233">
        <f t="shared" si="73"/>
        <v>0.24590163934426232</v>
      </c>
      <c r="N233">
        <v>34</v>
      </c>
      <c r="O233">
        <f t="shared" si="77"/>
        <v>7.5</v>
      </c>
      <c r="P233">
        <f t="shared" si="78"/>
        <v>1575</v>
      </c>
      <c r="Q233">
        <f t="shared" si="79"/>
        <v>0.73409836065573764</v>
      </c>
      <c r="R233">
        <f t="shared" si="86"/>
        <v>19.553114754098353</v>
      </c>
    </row>
    <row r="234" spans="1:18" x14ac:dyDescent="0.3">
      <c r="A234" t="s">
        <v>0</v>
      </c>
      <c r="B234" s="1">
        <v>45107</v>
      </c>
      <c r="C234" t="s">
        <v>8</v>
      </c>
      <c r="D234" t="s">
        <v>10</v>
      </c>
      <c r="E234">
        <v>6</v>
      </c>
      <c r="F234">
        <v>11.7</v>
      </c>
      <c r="G234">
        <v>0</v>
      </c>
      <c r="H234">
        <f t="shared" ref="H234:H238" si="87">12.1-F234-G234</f>
        <v>0.40000000000000036</v>
      </c>
      <c r="I234">
        <f t="shared" si="74"/>
        <v>0.40000000000000036</v>
      </c>
      <c r="J234">
        <f t="shared" si="75"/>
        <v>12.1</v>
      </c>
      <c r="K234">
        <f t="shared" si="76"/>
        <v>0.5</v>
      </c>
      <c r="L234">
        <f t="shared" si="85"/>
        <v>27.599999999999991</v>
      </c>
      <c r="M234">
        <f t="shared" si="73"/>
        <v>0.18032786885245897</v>
      </c>
      <c r="N234">
        <v>35</v>
      </c>
      <c r="O234">
        <f t="shared" si="77"/>
        <v>7.5</v>
      </c>
      <c r="P234">
        <f t="shared" si="78"/>
        <v>1575</v>
      </c>
      <c r="Q234">
        <f t="shared" si="79"/>
        <v>0.79967213114754099</v>
      </c>
      <c r="R234">
        <f t="shared" si="86"/>
        <v>20.352786885245894</v>
      </c>
    </row>
    <row r="235" spans="1:18" x14ac:dyDescent="0.3">
      <c r="A235" t="s">
        <v>1</v>
      </c>
      <c r="B235" s="1">
        <v>45108</v>
      </c>
      <c r="C235" t="s">
        <v>8</v>
      </c>
      <c r="D235" t="s">
        <v>10</v>
      </c>
      <c r="E235">
        <v>6</v>
      </c>
      <c r="F235">
        <v>11.6</v>
      </c>
      <c r="G235">
        <v>0</v>
      </c>
      <c r="H235">
        <f t="shared" si="87"/>
        <v>0.5</v>
      </c>
      <c r="I235">
        <f t="shared" si="74"/>
        <v>0.5</v>
      </c>
      <c r="J235">
        <f t="shared" si="75"/>
        <v>12.1</v>
      </c>
      <c r="K235">
        <f t="shared" si="76"/>
        <v>0.40000000000000036</v>
      </c>
      <c r="L235">
        <f t="shared" si="85"/>
        <v>27.999999999999993</v>
      </c>
      <c r="M235">
        <f t="shared" si="73"/>
        <v>0.18032786885245897</v>
      </c>
      <c r="N235">
        <v>36</v>
      </c>
      <c r="O235">
        <f t="shared" si="77"/>
        <v>7.5</v>
      </c>
      <c r="P235">
        <f t="shared" si="78"/>
        <v>1575</v>
      </c>
      <c r="Q235">
        <f t="shared" si="79"/>
        <v>0.79967213114754099</v>
      </c>
      <c r="R235">
        <f t="shared" si="86"/>
        <v>21.152459016393436</v>
      </c>
    </row>
    <row r="236" spans="1:18" x14ac:dyDescent="0.3">
      <c r="A236" t="s">
        <v>2</v>
      </c>
      <c r="B236" s="1">
        <v>45109</v>
      </c>
      <c r="C236" t="s">
        <v>8</v>
      </c>
      <c r="D236" t="s">
        <v>10</v>
      </c>
      <c r="E236">
        <v>6</v>
      </c>
      <c r="F236">
        <v>11.7</v>
      </c>
      <c r="G236">
        <v>0</v>
      </c>
      <c r="H236">
        <f t="shared" si="87"/>
        <v>0.40000000000000036</v>
      </c>
      <c r="I236">
        <f t="shared" si="74"/>
        <v>0.40000000000000036</v>
      </c>
      <c r="J236">
        <f t="shared" si="75"/>
        <v>12.1</v>
      </c>
      <c r="K236">
        <f t="shared" si="76"/>
        <v>0.79999999999999893</v>
      </c>
      <c r="L236">
        <f t="shared" si="85"/>
        <v>28.79999999999999</v>
      </c>
      <c r="M236">
        <f t="shared" si="73"/>
        <v>0.18032786885245897</v>
      </c>
      <c r="N236">
        <v>37</v>
      </c>
      <c r="O236">
        <f t="shared" si="77"/>
        <v>7.5</v>
      </c>
      <c r="P236">
        <f t="shared" si="78"/>
        <v>1575</v>
      </c>
      <c r="Q236">
        <f t="shared" si="79"/>
        <v>0.79967213114754099</v>
      </c>
      <c r="R236">
        <f t="shared" si="86"/>
        <v>21.952131147540978</v>
      </c>
    </row>
    <row r="237" spans="1:18" x14ac:dyDescent="0.3">
      <c r="A237" t="s">
        <v>3</v>
      </c>
      <c r="B237" s="1">
        <v>45110</v>
      </c>
      <c r="C237" t="s">
        <v>8</v>
      </c>
      <c r="D237" t="s">
        <v>10</v>
      </c>
      <c r="E237">
        <v>6</v>
      </c>
      <c r="F237">
        <v>11.3</v>
      </c>
      <c r="G237">
        <v>0</v>
      </c>
      <c r="H237">
        <f t="shared" si="87"/>
        <v>0.79999999999999893</v>
      </c>
      <c r="I237">
        <f t="shared" si="74"/>
        <v>0.79999999999999893</v>
      </c>
      <c r="J237">
        <f t="shared" si="75"/>
        <v>12.1</v>
      </c>
      <c r="K237">
        <f t="shared" si="76"/>
        <v>0.79999999999999893</v>
      </c>
      <c r="L237">
        <f t="shared" si="85"/>
        <v>29.599999999999987</v>
      </c>
      <c r="M237">
        <f t="shared" si="73"/>
        <v>0.18032786885245897</v>
      </c>
      <c r="N237">
        <v>38</v>
      </c>
      <c r="O237">
        <f t="shared" si="77"/>
        <v>7.5</v>
      </c>
      <c r="P237">
        <f t="shared" si="78"/>
        <v>1575</v>
      </c>
      <c r="Q237">
        <f t="shared" si="79"/>
        <v>0.79967213114754099</v>
      </c>
      <c r="R237">
        <f t="shared" si="86"/>
        <v>22.75180327868852</v>
      </c>
    </row>
    <row r="238" spans="1:18" x14ac:dyDescent="0.3">
      <c r="A238" t="s">
        <v>4</v>
      </c>
      <c r="B238" s="1">
        <v>45111</v>
      </c>
      <c r="C238" t="s">
        <v>8</v>
      </c>
      <c r="D238" t="s">
        <v>10</v>
      </c>
      <c r="E238">
        <v>6</v>
      </c>
      <c r="F238">
        <v>11.3</v>
      </c>
      <c r="G238">
        <v>0</v>
      </c>
      <c r="H238">
        <f t="shared" si="87"/>
        <v>0.79999999999999893</v>
      </c>
      <c r="I238">
        <f t="shared" si="74"/>
        <v>0.79999999999999893</v>
      </c>
      <c r="J238">
        <f t="shared" si="75"/>
        <v>12.1</v>
      </c>
    </row>
    <row r="239" spans="1:18" x14ac:dyDescent="0.3">
      <c r="A239" t="s">
        <v>1</v>
      </c>
      <c r="B239" s="1">
        <v>45073</v>
      </c>
      <c r="C239" t="s">
        <v>8</v>
      </c>
      <c r="D239" t="s">
        <v>10</v>
      </c>
      <c r="E239">
        <v>7</v>
      </c>
      <c r="F239">
        <v>17</v>
      </c>
      <c r="G239">
        <v>0</v>
      </c>
      <c r="H239">
        <v>0</v>
      </c>
      <c r="I239">
        <f>H239+G239</f>
        <v>0</v>
      </c>
      <c r="J239">
        <f>I239+F239</f>
        <v>17</v>
      </c>
      <c r="K239">
        <f>J239-F240</f>
        <v>0.89999999999999858</v>
      </c>
      <c r="M239">
        <f t="shared" si="73"/>
        <v>0.98360655737704927</v>
      </c>
      <c r="N239">
        <v>1</v>
      </c>
      <c r="O239">
        <v>2.5</v>
      </c>
      <c r="P239">
        <f>O239*210</f>
        <v>525</v>
      </c>
    </row>
    <row r="240" spans="1:18" x14ac:dyDescent="0.3">
      <c r="A240" t="s">
        <v>2</v>
      </c>
      <c r="B240" s="1">
        <v>45074</v>
      </c>
      <c r="C240" t="s">
        <v>8</v>
      </c>
      <c r="D240" t="s">
        <v>10</v>
      </c>
      <c r="E240">
        <v>7</v>
      </c>
      <c r="F240">
        <v>16.100000000000001</v>
      </c>
      <c r="G240">
        <v>0</v>
      </c>
      <c r="H240">
        <v>0</v>
      </c>
      <c r="I240">
        <f t="shared" ref="I240:I277" si="88">H240+G240</f>
        <v>0</v>
      </c>
      <c r="J240">
        <f t="shared" ref="J240:J277" si="89">I240+F240</f>
        <v>16.100000000000001</v>
      </c>
      <c r="K240">
        <f t="shared" ref="K240:K276" si="90">J240-F241</f>
        <v>0.80000000000000071</v>
      </c>
      <c r="L240">
        <f>K239+K240</f>
        <v>1.6999999999999993</v>
      </c>
      <c r="M240">
        <f t="shared" si="73"/>
        <v>0.83606557377049207</v>
      </c>
      <c r="N240">
        <v>2</v>
      </c>
      <c r="O240">
        <f t="shared" ref="O240:O276" si="91">O239+G240</f>
        <v>2.5</v>
      </c>
      <c r="P240">
        <f t="shared" ref="P240:P276" si="92">O240*210</f>
        <v>525</v>
      </c>
      <c r="Q240">
        <f t="shared" ref="Q240:Q276" si="93">0.98-M240</f>
        <v>0.14393442622950792</v>
      </c>
    </row>
    <row r="241" spans="1:18" x14ac:dyDescent="0.3">
      <c r="A241" t="s">
        <v>3</v>
      </c>
      <c r="B241" s="1">
        <v>45075</v>
      </c>
      <c r="C241" t="s">
        <v>8</v>
      </c>
      <c r="D241" t="s">
        <v>10</v>
      </c>
      <c r="E241">
        <v>7</v>
      </c>
      <c r="F241">
        <v>15.3</v>
      </c>
      <c r="G241">
        <v>0.25</v>
      </c>
      <c r="H241">
        <v>0</v>
      </c>
      <c r="I241">
        <f t="shared" si="88"/>
        <v>0.25</v>
      </c>
      <c r="J241">
        <f t="shared" si="89"/>
        <v>15.55</v>
      </c>
      <c r="K241">
        <f t="shared" si="90"/>
        <v>1.0500000000000007</v>
      </c>
      <c r="L241">
        <f>L240+K241</f>
        <v>2.75</v>
      </c>
      <c r="M241">
        <f t="shared" si="73"/>
        <v>0.74590163934426246</v>
      </c>
      <c r="N241">
        <v>3</v>
      </c>
      <c r="O241">
        <f t="shared" si="91"/>
        <v>2.75</v>
      </c>
      <c r="P241">
        <f t="shared" si="92"/>
        <v>577.5</v>
      </c>
      <c r="Q241">
        <f t="shared" si="93"/>
        <v>0.23409836065573753</v>
      </c>
      <c r="R241">
        <f>Q240+Q241</f>
        <v>0.37803278688524544</v>
      </c>
    </row>
    <row r="242" spans="1:18" x14ac:dyDescent="0.3">
      <c r="A242" t="s">
        <v>4</v>
      </c>
      <c r="B242" s="1">
        <v>45076</v>
      </c>
      <c r="C242" t="s">
        <v>8</v>
      </c>
      <c r="D242" t="s">
        <v>10</v>
      </c>
      <c r="E242">
        <v>7</v>
      </c>
      <c r="F242">
        <v>14.5</v>
      </c>
      <c r="G242">
        <v>0.25</v>
      </c>
      <c r="H242">
        <v>0</v>
      </c>
      <c r="I242">
        <f t="shared" si="88"/>
        <v>0.25</v>
      </c>
      <c r="J242">
        <f t="shared" si="89"/>
        <v>14.75</v>
      </c>
      <c r="K242">
        <f t="shared" si="90"/>
        <v>1.25</v>
      </c>
      <c r="L242">
        <f t="shared" ref="L242:L262" si="94">L241+K242</f>
        <v>4</v>
      </c>
      <c r="M242">
        <f t="shared" si="73"/>
        <v>0.61475409836065575</v>
      </c>
      <c r="N242">
        <v>4</v>
      </c>
      <c r="O242">
        <f t="shared" si="91"/>
        <v>3</v>
      </c>
      <c r="P242">
        <f t="shared" si="92"/>
        <v>630</v>
      </c>
      <c r="Q242">
        <f t="shared" si="93"/>
        <v>0.36524590163934423</v>
      </c>
      <c r="R242">
        <f>R241+Q242</f>
        <v>0.74327868852458967</v>
      </c>
    </row>
    <row r="243" spans="1:18" x14ac:dyDescent="0.3">
      <c r="A243" t="s">
        <v>5</v>
      </c>
      <c r="B243" s="1">
        <v>45077</v>
      </c>
      <c r="C243" t="s">
        <v>8</v>
      </c>
      <c r="D243" t="s">
        <v>10</v>
      </c>
      <c r="E243">
        <v>7</v>
      </c>
      <c r="F243">
        <v>13.5</v>
      </c>
      <c r="G243">
        <v>0</v>
      </c>
      <c r="H243">
        <v>0</v>
      </c>
      <c r="I243">
        <f t="shared" si="88"/>
        <v>0</v>
      </c>
      <c r="J243">
        <f t="shared" si="89"/>
        <v>13.5</v>
      </c>
      <c r="K243">
        <f t="shared" si="90"/>
        <v>0.80000000000000071</v>
      </c>
      <c r="L243">
        <f t="shared" si="94"/>
        <v>4.8000000000000007</v>
      </c>
      <c r="M243">
        <f t="shared" si="73"/>
        <v>0.4098360655737705</v>
      </c>
      <c r="N243">
        <v>5</v>
      </c>
      <c r="O243">
        <f t="shared" si="91"/>
        <v>3</v>
      </c>
      <c r="P243">
        <f t="shared" si="92"/>
        <v>630</v>
      </c>
      <c r="Q243">
        <f t="shared" si="93"/>
        <v>0.57016393442622948</v>
      </c>
      <c r="R243">
        <f t="shared" ref="R243:R266" si="95">R242+Q243</f>
        <v>1.3134426229508191</v>
      </c>
    </row>
    <row r="244" spans="1:18" x14ac:dyDescent="0.3">
      <c r="A244" t="s">
        <v>6</v>
      </c>
      <c r="B244" s="1">
        <v>45078</v>
      </c>
      <c r="C244" t="s">
        <v>8</v>
      </c>
      <c r="D244" t="s">
        <v>10</v>
      </c>
      <c r="E244">
        <v>7</v>
      </c>
      <c r="F244">
        <v>12.7</v>
      </c>
      <c r="G244">
        <v>0.25</v>
      </c>
      <c r="H244">
        <v>0.05</v>
      </c>
      <c r="I244">
        <f t="shared" si="88"/>
        <v>0.3</v>
      </c>
      <c r="J244">
        <f t="shared" si="89"/>
        <v>13</v>
      </c>
      <c r="K244">
        <f t="shared" si="90"/>
        <v>0.5</v>
      </c>
      <c r="L244">
        <f t="shared" si="94"/>
        <v>5.3000000000000007</v>
      </c>
      <c r="M244">
        <f>(J244-11)/6.1</f>
        <v>0.32786885245901642</v>
      </c>
      <c r="N244">
        <v>6</v>
      </c>
      <c r="O244">
        <f t="shared" si="91"/>
        <v>3.25</v>
      </c>
      <c r="P244">
        <f t="shared" si="92"/>
        <v>682.5</v>
      </c>
      <c r="Q244">
        <f t="shared" si="93"/>
        <v>0.65213114754098356</v>
      </c>
      <c r="R244">
        <f t="shared" si="95"/>
        <v>1.9655737704918028</v>
      </c>
    </row>
    <row r="245" spans="1:18" x14ac:dyDescent="0.3">
      <c r="A245" t="s">
        <v>0</v>
      </c>
      <c r="B245" s="1">
        <v>45079</v>
      </c>
      <c r="C245" t="s">
        <v>8</v>
      </c>
      <c r="D245" t="s">
        <v>10</v>
      </c>
      <c r="E245">
        <v>7</v>
      </c>
      <c r="F245">
        <v>12.5</v>
      </c>
      <c r="G245">
        <v>0.25</v>
      </c>
      <c r="H245">
        <v>0.25</v>
      </c>
      <c r="I245">
        <f t="shared" si="88"/>
        <v>0.5</v>
      </c>
      <c r="J245">
        <f t="shared" si="89"/>
        <v>13</v>
      </c>
      <c r="K245">
        <f t="shared" si="90"/>
        <v>0.40000000000000036</v>
      </c>
      <c r="L245">
        <f t="shared" si="94"/>
        <v>5.7000000000000011</v>
      </c>
      <c r="M245">
        <f t="shared" si="73"/>
        <v>0.32786885245901642</v>
      </c>
      <c r="N245">
        <v>7</v>
      </c>
      <c r="O245">
        <f t="shared" si="91"/>
        <v>3.5</v>
      </c>
      <c r="P245">
        <f t="shared" si="92"/>
        <v>735</v>
      </c>
      <c r="Q245">
        <f t="shared" si="93"/>
        <v>0.65213114754098356</v>
      </c>
      <c r="R245">
        <f t="shared" si="95"/>
        <v>2.6177049180327865</v>
      </c>
    </row>
    <row r="246" spans="1:18" x14ac:dyDescent="0.3">
      <c r="A246" t="s">
        <v>1</v>
      </c>
      <c r="B246" s="1">
        <v>45080</v>
      </c>
      <c r="C246" t="s">
        <v>8</v>
      </c>
      <c r="D246" t="s">
        <v>10</v>
      </c>
      <c r="E246">
        <v>7</v>
      </c>
      <c r="F246">
        <v>12.6</v>
      </c>
      <c r="G246">
        <v>0</v>
      </c>
      <c r="H246">
        <v>0.4</v>
      </c>
      <c r="I246">
        <f t="shared" si="88"/>
        <v>0.4</v>
      </c>
      <c r="J246">
        <f t="shared" si="89"/>
        <v>13</v>
      </c>
      <c r="K246">
        <f t="shared" si="90"/>
        <v>0.69999999999999929</v>
      </c>
      <c r="L246">
        <f t="shared" si="94"/>
        <v>6.4</v>
      </c>
      <c r="M246">
        <f t="shared" si="73"/>
        <v>0.32786885245901642</v>
      </c>
      <c r="N246">
        <v>8</v>
      </c>
      <c r="O246">
        <f t="shared" si="91"/>
        <v>3.5</v>
      </c>
      <c r="P246">
        <f t="shared" si="92"/>
        <v>735</v>
      </c>
      <c r="Q246">
        <f t="shared" si="93"/>
        <v>0.65213114754098356</v>
      </c>
      <c r="R246">
        <f t="shared" si="95"/>
        <v>3.2698360655737702</v>
      </c>
    </row>
    <row r="247" spans="1:18" x14ac:dyDescent="0.3">
      <c r="A247" t="s">
        <v>2</v>
      </c>
      <c r="B247" s="1">
        <v>45081</v>
      </c>
      <c r="C247" t="s">
        <v>8</v>
      </c>
      <c r="D247" t="s">
        <v>10</v>
      </c>
      <c r="E247">
        <v>7</v>
      </c>
      <c r="F247">
        <v>12.3</v>
      </c>
      <c r="G247">
        <v>0</v>
      </c>
      <c r="H247">
        <f t="shared" ref="H247:H256" si="96">13-F247-G247</f>
        <v>0.69999999999999929</v>
      </c>
      <c r="I247">
        <f t="shared" si="88"/>
        <v>0.69999999999999929</v>
      </c>
      <c r="J247">
        <f t="shared" si="89"/>
        <v>13</v>
      </c>
      <c r="K247">
        <f t="shared" si="90"/>
        <v>0.69999999999999929</v>
      </c>
      <c r="L247">
        <f t="shared" si="94"/>
        <v>7.1</v>
      </c>
      <c r="M247">
        <f t="shared" si="73"/>
        <v>0.32786885245901642</v>
      </c>
      <c r="N247">
        <v>9</v>
      </c>
      <c r="O247">
        <f t="shared" si="91"/>
        <v>3.5</v>
      </c>
      <c r="P247">
        <f t="shared" si="92"/>
        <v>735</v>
      </c>
      <c r="Q247">
        <f t="shared" si="93"/>
        <v>0.65213114754098356</v>
      </c>
      <c r="R247">
        <f t="shared" si="95"/>
        <v>3.9219672131147538</v>
      </c>
    </row>
    <row r="248" spans="1:18" x14ac:dyDescent="0.3">
      <c r="A248" t="s">
        <v>3</v>
      </c>
      <c r="B248" s="1">
        <v>45082</v>
      </c>
      <c r="C248" t="s">
        <v>8</v>
      </c>
      <c r="D248" t="s">
        <v>10</v>
      </c>
      <c r="E248">
        <v>7</v>
      </c>
      <c r="F248">
        <v>12.3</v>
      </c>
      <c r="G248">
        <v>0.25</v>
      </c>
      <c r="H248">
        <f t="shared" si="96"/>
        <v>0.44999999999999929</v>
      </c>
      <c r="I248">
        <f t="shared" si="88"/>
        <v>0.69999999999999929</v>
      </c>
      <c r="J248">
        <f t="shared" si="89"/>
        <v>13</v>
      </c>
      <c r="K248">
        <f t="shared" si="90"/>
        <v>0.59999999999999964</v>
      </c>
      <c r="L248">
        <f t="shared" si="94"/>
        <v>7.6999999999999993</v>
      </c>
      <c r="M248">
        <f t="shared" si="73"/>
        <v>0.32786885245901642</v>
      </c>
      <c r="N248">
        <v>10</v>
      </c>
      <c r="O248">
        <f t="shared" si="91"/>
        <v>3.75</v>
      </c>
      <c r="P248">
        <f t="shared" si="92"/>
        <v>787.5</v>
      </c>
      <c r="Q248">
        <f t="shared" si="93"/>
        <v>0.65213114754098356</v>
      </c>
      <c r="R248">
        <f t="shared" si="95"/>
        <v>4.5740983606557375</v>
      </c>
    </row>
    <row r="249" spans="1:18" x14ac:dyDescent="0.3">
      <c r="A249" t="s">
        <v>4</v>
      </c>
      <c r="B249" s="1">
        <v>45083</v>
      </c>
      <c r="C249" t="s">
        <v>8</v>
      </c>
      <c r="D249" t="s">
        <v>10</v>
      </c>
      <c r="E249">
        <v>7</v>
      </c>
      <c r="F249">
        <v>12.4</v>
      </c>
      <c r="G249">
        <v>0.25</v>
      </c>
      <c r="H249">
        <f t="shared" si="96"/>
        <v>0.34999999999999964</v>
      </c>
      <c r="I249">
        <f t="shared" si="88"/>
        <v>0.59999999999999964</v>
      </c>
      <c r="J249">
        <f t="shared" si="89"/>
        <v>13</v>
      </c>
      <c r="K249">
        <f t="shared" si="90"/>
        <v>0.90000000000000036</v>
      </c>
      <c r="L249">
        <f t="shared" si="94"/>
        <v>8.6</v>
      </c>
      <c r="M249">
        <f t="shared" si="73"/>
        <v>0.32786885245901642</v>
      </c>
      <c r="N249">
        <v>11</v>
      </c>
      <c r="O249">
        <f t="shared" si="91"/>
        <v>4</v>
      </c>
      <c r="P249">
        <f t="shared" si="92"/>
        <v>840</v>
      </c>
      <c r="Q249">
        <f t="shared" si="93"/>
        <v>0.65213114754098356</v>
      </c>
      <c r="R249">
        <f t="shared" si="95"/>
        <v>5.2262295081967212</v>
      </c>
    </row>
    <row r="250" spans="1:18" x14ac:dyDescent="0.3">
      <c r="A250" t="s">
        <v>5</v>
      </c>
      <c r="B250" s="1">
        <v>45084</v>
      </c>
      <c r="C250" t="s">
        <v>8</v>
      </c>
      <c r="D250" t="s">
        <v>10</v>
      </c>
      <c r="E250">
        <v>7</v>
      </c>
      <c r="F250">
        <v>12.1</v>
      </c>
      <c r="G250">
        <v>0</v>
      </c>
      <c r="H250">
        <f t="shared" si="96"/>
        <v>0.90000000000000036</v>
      </c>
      <c r="I250">
        <f t="shared" si="88"/>
        <v>0.90000000000000036</v>
      </c>
      <c r="J250">
        <f t="shared" si="89"/>
        <v>13</v>
      </c>
      <c r="K250">
        <f t="shared" si="90"/>
        <v>0.80000000000000071</v>
      </c>
      <c r="L250">
        <f t="shared" si="94"/>
        <v>9.4</v>
      </c>
      <c r="M250">
        <f t="shared" si="73"/>
        <v>0.32786885245901642</v>
      </c>
      <c r="N250">
        <v>12</v>
      </c>
      <c r="O250">
        <f t="shared" si="91"/>
        <v>4</v>
      </c>
      <c r="P250">
        <f t="shared" si="92"/>
        <v>840</v>
      </c>
      <c r="Q250">
        <f t="shared" si="93"/>
        <v>0.65213114754098356</v>
      </c>
      <c r="R250">
        <f t="shared" si="95"/>
        <v>5.8783606557377048</v>
      </c>
    </row>
    <row r="251" spans="1:18" x14ac:dyDescent="0.3">
      <c r="A251" t="s">
        <v>6</v>
      </c>
      <c r="B251" s="1">
        <v>45085</v>
      </c>
      <c r="C251" t="s">
        <v>8</v>
      </c>
      <c r="D251" t="s">
        <v>10</v>
      </c>
      <c r="E251">
        <v>7</v>
      </c>
      <c r="F251">
        <v>12.2</v>
      </c>
      <c r="G251">
        <v>0.25</v>
      </c>
      <c r="H251">
        <f t="shared" si="96"/>
        <v>0.55000000000000071</v>
      </c>
      <c r="I251">
        <f t="shared" si="88"/>
        <v>0.80000000000000071</v>
      </c>
      <c r="J251">
        <f t="shared" si="89"/>
        <v>13</v>
      </c>
      <c r="K251">
        <f t="shared" si="90"/>
        <v>1</v>
      </c>
      <c r="L251">
        <f t="shared" si="94"/>
        <v>10.4</v>
      </c>
      <c r="M251">
        <f t="shared" si="73"/>
        <v>0.32786885245901642</v>
      </c>
      <c r="N251">
        <v>13</v>
      </c>
      <c r="O251">
        <f t="shared" si="91"/>
        <v>4.25</v>
      </c>
      <c r="P251">
        <f t="shared" si="92"/>
        <v>892.5</v>
      </c>
      <c r="Q251">
        <f t="shared" si="93"/>
        <v>0.65213114754098356</v>
      </c>
      <c r="R251">
        <f t="shared" si="95"/>
        <v>6.5304918032786885</v>
      </c>
    </row>
    <row r="252" spans="1:18" x14ac:dyDescent="0.3">
      <c r="A252" t="s">
        <v>0</v>
      </c>
      <c r="B252" s="1">
        <v>45086</v>
      </c>
      <c r="C252" t="s">
        <v>8</v>
      </c>
      <c r="D252" t="s">
        <v>10</v>
      </c>
      <c r="E252">
        <v>7</v>
      </c>
      <c r="F252">
        <v>12</v>
      </c>
      <c r="G252">
        <v>0.25</v>
      </c>
      <c r="H252">
        <f t="shared" si="96"/>
        <v>0.75</v>
      </c>
      <c r="I252">
        <f t="shared" si="88"/>
        <v>1</v>
      </c>
      <c r="J252">
        <f t="shared" si="89"/>
        <v>13</v>
      </c>
      <c r="K252">
        <f t="shared" si="90"/>
        <v>1.3000000000000007</v>
      </c>
      <c r="L252">
        <f t="shared" si="94"/>
        <v>11.700000000000001</v>
      </c>
      <c r="M252">
        <f t="shared" si="73"/>
        <v>0.32786885245901642</v>
      </c>
      <c r="N252">
        <v>14</v>
      </c>
      <c r="O252">
        <f t="shared" si="91"/>
        <v>4.5</v>
      </c>
      <c r="P252">
        <f t="shared" si="92"/>
        <v>945</v>
      </c>
      <c r="Q252">
        <f t="shared" si="93"/>
        <v>0.65213114754098356</v>
      </c>
      <c r="R252">
        <f t="shared" si="95"/>
        <v>7.1826229508196722</v>
      </c>
    </row>
    <row r="253" spans="1:18" x14ac:dyDescent="0.3">
      <c r="A253" t="s">
        <v>1</v>
      </c>
      <c r="B253" s="1">
        <v>45087</v>
      </c>
      <c r="C253" t="s">
        <v>8</v>
      </c>
      <c r="D253" t="s">
        <v>10</v>
      </c>
      <c r="E253">
        <v>7</v>
      </c>
      <c r="F253">
        <v>11.7</v>
      </c>
      <c r="G253">
        <v>0</v>
      </c>
      <c r="H253">
        <f t="shared" si="96"/>
        <v>1.3000000000000007</v>
      </c>
      <c r="I253">
        <f t="shared" si="88"/>
        <v>1.3000000000000007</v>
      </c>
      <c r="J253">
        <f t="shared" si="89"/>
        <v>13</v>
      </c>
      <c r="K253">
        <f t="shared" si="90"/>
        <v>1.3000000000000007</v>
      </c>
      <c r="L253">
        <f t="shared" si="94"/>
        <v>13.000000000000002</v>
      </c>
      <c r="M253">
        <f t="shared" si="73"/>
        <v>0.32786885245901642</v>
      </c>
      <c r="N253">
        <v>15</v>
      </c>
      <c r="O253">
        <f t="shared" si="91"/>
        <v>4.5</v>
      </c>
      <c r="P253">
        <f t="shared" si="92"/>
        <v>945</v>
      </c>
      <c r="Q253">
        <f t="shared" si="93"/>
        <v>0.65213114754098356</v>
      </c>
      <c r="R253">
        <f t="shared" si="95"/>
        <v>7.8347540983606558</v>
      </c>
    </row>
    <row r="254" spans="1:18" x14ac:dyDescent="0.3">
      <c r="A254" t="s">
        <v>2</v>
      </c>
      <c r="B254" s="1">
        <v>45088</v>
      </c>
      <c r="C254" t="s">
        <v>8</v>
      </c>
      <c r="D254" t="s">
        <v>10</v>
      </c>
      <c r="E254">
        <v>7</v>
      </c>
      <c r="F254">
        <v>11.7</v>
      </c>
      <c r="G254">
        <v>0</v>
      </c>
      <c r="H254">
        <f t="shared" si="96"/>
        <v>1.3000000000000007</v>
      </c>
      <c r="I254">
        <f t="shared" si="88"/>
        <v>1.3000000000000007</v>
      </c>
      <c r="J254">
        <f t="shared" si="89"/>
        <v>13</v>
      </c>
      <c r="K254">
        <f t="shared" si="90"/>
        <v>1.5</v>
      </c>
      <c r="L254">
        <f t="shared" si="94"/>
        <v>14.500000000000002</v>
      </c>
      <c r="M254">
        <f t="shared" si="73"/>
        <v>0.32786885245901642</v>
      </c>
      <c r="N254">
        <v>16</v>
      </c>
      <c r="O254">
        <f t="shared" si="91"/>
        <v>4.5</v>
      </c>
      <c r="P254">
        <f t="shared" si="92"/>
        <v>945</v>
      </c>
      <c r="Q254">
        <f t="shared" si="93"/>
        <v>0.65213114754098356</v>
      </c>
      <c r="R254">
        <f t="shared" si="95"/>
        <v>8.4868852459016395</v>
      </c>
    </row>
    <row r="255" spans="1:18" x14ac:dyDescent="0.3">
      <c r="A255" t="s">
        <v>3</v>
      </c>
      <c r="B255" s="1">
        <v>45089</v>
      </c>
      <c r="C255" t="s">
        <v>8</v>
      </c>
      <c r="D255" t="s">
        <v>10</v>
      </c>
      <c r="E255">
        <v>7</v>
      </c>
      <c r="F255">
        <v>11.5</v>
      </c>
      <c r="G255">
        <v>0.5</v>
      </c>
      <c r="H255">
        <f t="shared" si="96"/>
        <v>1</v>
      </c>
      <c r="I255">
        <f t="shared" si="88"/>
        <v>1.5</v>
      </c>
      <c r="J255">
        <f t="shared" si="89"/>
        <v>13</v>
      </c>
      <c r="K255">
        <f t="shared" si="90"/>
        <v>0.59999999999999964</v>
      </c>
      <c r="L255">
        <f t="shared" si="94"/>
        <v>15.100000000000001</v>
      </c>
      <c r="M255">
        <f t="shared" si="73"/>
        <v>0.32786885245901642</v>
      </c>
      <c r="N255">
        <v>17</v>
      </c>
      <c r="O255">
        <f t="shared" si="91"/>
        <v>5</v>
      </c>
      <c r="P255">
        <f t="shared" si="92"/>
        <v>1050</v>
      </c>
      <c r="Q255">
        <f t="shared" si="93"/>
        <v>0.65213114754098356</v>
      </c>
      <c r="R255">
        <f t="shared" si="95"/>
        <v>9.1390163934426223</v>
      </c>
    </row>
    <row r="256" spans="1:18" x14ac:dyDescent="0.3">
      <c r="A256" t="s">
        <v>4</v>
      </c>
      <c r="B256" s="1">
        <v>45090</v>
      </c>
      <c r="C256" t="s">
        <v>8</v>
      </c>
      <c r="D256" t="s">
        <v>10</v>
      </c>
      <c r="E256">
        <v>7</v>
      </c>
      <c r="F256">
        <v>12.4</v>
      </c>
      <c r="G256">
        <v>0</v>
      </c>
      <c r="H256">
        <f t="shared" si="96"/>
        <v>0.59999999999999964</v>
      </c>
      <c r="I256">
        <f t="shared" si="88"/>
        <v>0.59999999999999964</v>
      </c>
      <c r="J256">
        <f t="shared" si="89"/>
        <v>13</v>
      </c>
      <c r="K256">
        <f t="shared" si="90"/>
        <v>0.90000000000000036</v>
      </c>
      <c r="L256">
        <f t="shared" si="94"/>
        <v>16</v>
      </c>
      <c r="M256">
        <f t="shared" si="73"/>
        <v>0.32786885245901642</v>
      </c>
      <c r="N256">
        <v>18</v>
      </c>
      <c r="O256">
        <f t="shared" si="91"/>
        <v>5</v>
      </c>
      <c r="P256">
        <f t="shared" si="92"/>
        <v>1050</v>
      </c>
      <c r="Q256">
        <f t="shared" si="93"/>
        <v>0.65213114754098356</v>
      </c>
      <c r="R256">
        <f t="shared" si="95"/>
        <v>9.7911475409836051</v>
      </c>
    </row>
    <row r="257" spans="1:18" x14ac:dyDescent="0.3">
      <c r="A257" t="s">
        <v>5</v>
      </c>
      <c r="B257" s="1">
        <v>45091</v>
      </c>
      <c r="C257" t="s">
        <v>8</v>
      </c>
      <c r="D257" t="s">
        <v>10</v>
      </c>
      <c r="E257">
        <v>7</v>
      </c>
      <c r="F257">
        <v>12.1</v>
      </c>
      <c r="G257">
        <v>0</v>
      </c>
      <c r="H257">
        <v>0</v>
      </c>
      <c r="I257">
        <f t="shared" si="88"/>
        <v>0</v>
      </c>
      <c r="J257">
        <f t="shared" si="89"/>
        <v>12.1</v>
      </c>
      <c r="K257">
        <f t="shared" si="90"/>
        <v>0.90000000000000036</v>
      </c>
      <c r="L257">
        <f t="shared" si="94"/>
        <v>16.899999999999999</v>
      </c>
      <c r="M257">
        <f t="shared" si="73"/>
        <v>0.18032786885245897</v>
      </c>
      <c r="N257">
        <v>19</v>
      </c>
      <c r="O257">
        <f t="shared" si="91"/>
        <v>5</v>
      </c>
      <c r="P257">
        <f t="shared" si="92"/>
        <v>1050</v>
      </c>
      <c r="Q257">
        <f t="shared" si="93"/>
        <v>0.79967213114754099</v>
      </c>
      <c r="R257">
        <f t="shared" si="95"/>
        <v>10.590819672131147</v>
      </c>
    </row>
    <row r="258" spans="1:18" x14ac:dyDescent="0.3">
      <c r="A258" t="s">
        <v>6</v>
      </c>
      <c r="B258" s="1">
        <v>45092</v>
      </c>
      <c r="C258" t="s">
        <v>8</v>
      </c>
      <c r="D258" t="s">
        <v>10</v>
      </c>
      <c r="E258">
        <v>7</v>
      </c>
      <c r="F258">
        <v>11.2</v>
      </c>
      <c r="G258">
        <v>0.5</v>
      </c>
      <c r="H258">
        <f>12.2-F258-G258</f>
        <v>0.5</v>
      </c>
      <c r="I258">
        <f t="shared" si="88"/>
        <v>1</v>
      </c>
      <c r="J258">
        <f t="shared" si="89"/>
        <v>12.2</v>
      </c>
      <c r="K258">
        <f t="shared" si="90"/>
        <v>1.0999999999999996</v>
      </c>
      <c r="L258">
        <f t="shared" si="94"/>
        <v>18</v>
      </c>
      <c r="M258">
        <f t="shared" si="73"/>
        <v>0.19672131147540972</v>
      </c>
      <c r="N258">
        <v>20</v>
      </c>
      <c r="O258">
        <f t="shared" si="91"/>
        <v>5.5</v>
      </c>
      <c r="P258">
        <f t="shared" si="92"/>
        <v>1155</v>
      </c>
      <c r="Q258">
        <f t="shared" si="93"/>
        <v>0.78327868852459026</v>
      </c>
      <c r="R258">
        <f t="shared" si="95"/>
        <v>11.374098360655736</v>
      </c>
    </row>
    <row r="259" spans="1:18" x14ac:dyDescent="0.3">
      <c r="A259" t="s">
        <v>0</v>
      </c>
      <c r="B259" s="1">
        <v>45093</v>
      </c>
      <c r="C259" t="s">
        <v>8</v>
      </c>
      <c r="D259" t="s">
        <v>10</v>
      </c>
      <c r="E259">
        <v>7</v>
      </c>
      <c r="F259">
        <v>11.1</v>
      </c>
      <c r="G259">
        <v>0</v>
      </c>
      <c r="H259">
        <f>12.2-F259-G259</f>
        <v>1.0999999999999996</v>
      </c>
      <c r="I259">
        <f t="shared" si="88"/>
        <v>1.0999999999999996</v>
      </c>
      <c r="J259">
        <f t="shared" si="89"/>
        <v>12.2</v>
      </c>
      <c r="K259">
        <f t="shared" si="90"/>
        <v>0.89999999999999858</v>
      </c>
      <c r="L259">
        <f t="shared" si="94"/>
        <v>18.899999999999999</v>
      </c>
      <c r="M259">
        <f t="shared" ref="M259:M318" si="97">(J259-11)/6.1</f>
        <v>0.19672131147540972</v>
      </c>
      <c r="N259">
        <v>21</v>
      </c>
      <c r="O259">
        <f t="shared" si="91"/>
        <v>5.5</v>
      </c>
      <c r="P259">
        <f t="shared" si="92"/>
        <v>1155</v>
      </c>
      <c r="Q259">
        <f t="shared" si="93"/>
        <v>0.78327868852459026</v>
      </c>
      <c r="R259">
        <f t="shared" si="95"/>
        <v>12.157377049180326</v>
      </c>
    </row>
    <row r="260" spans="1:18" x14ac:dyDescent="0.3">
      <c r="A260" t="s">
        <v>1</v>
      </c>
      <c r="B260" s="1">
        <v>45094</v>
      </c>
      <c r="C260" t="s">
        <v>8</v>
      </c>
      <c r="D260" t="s">
        <v>10</v>
      </c>
      <c r="E260">
        <v>7</v>
      </c>
      <c r="F260">
        <v>11.3</v>
      </c>
      <c r="G260">
        <v>0</v>
      </c>
      <c r="H260">
        <f>12.2-F260-G260</f>
        <v>0.89999999999999858</v>
      </c>
      <c r="I260">
        <f t="shared" si="88"/>
        <v>0.89999999999999858</v>
      </c>
      <c r="J260">
        <f t="shared" si="89"/>
        <v>12.2</v>
      </c>
      <c r="K260">
        <f t="shared" si="90"/>
        <v>0.69999999999999929</v>
      </c>
      <c r="L260">
        <f t="shared" si="94"/>
        <v>19.599999999999998</v>
      </c>
      <c r="M260">
        <f t="shared" si="97"/>
        <v>0.19672131147540972</v>
      </c>
      <c r="N260">
        <v>22</v>
      </c>
      <c r="O260">
        <f t="shared" si="91"/>
        <v>5.5</v>
      </c>
      <c r="P260">
        <f t="shared" si="92"/>
        <v>1155</v>
      </c>
      <c r="Q260">
        <f t="shared" si="93"/>
        <v>0.78327868852459026</v>
      </c>
      <c r="R260">
        <f t="shared" si="95"/>
        <v>12.940655737704915</v>
      </c>
    </row>
    <row r="261" spans="1:18" x14ac:dyDescent="0.3">
      <c r="A261" t="s">
        <v>2</v>
      </c>
      <c r="B261" s="1">
        <v>45095</v>
      </c>
      <c r="C261" t="s">
        <v>8</v>
      </c>
      <c r="D261" t="s">
        <v>10</v>
      </c>
      <c r="E261">
        <v>7</v>
      </c>
      <c r="F261">
        <v>11.5</v>
      </c>
      <c r="G261">
        <v>0</v>
      </c>
      <c r="H261">
        <f t="shared" ref="H261:H262" si="98">12.2-F261-G261</f>
        <v>0.69999999999999929</v>
      </c>
      <c r="I261">
        <f t="shared" si="88"/>
        <v>0.69999999999999929</v>
      </c>
      <c r="J261">
        <f t="shared" si="89"/>
        <v>12.2</v>
      </c>
      <c r="K261">
        <f t="shared" si="90"/>
        <v>1</v>
      </c>
      <c r="L261">
        <f t="shared" si="94"/>
        <v>20.599999999999998</v>
      </c>
      <c r="M261">
        <f t="shared" si="97"/>
        <v>0.19672131147540972</v>
      </c>
      <c r="N261">
        <v>23</v>
      </c>
      <c r="O261">
        <f t="shared" si="91"/>
        <v>5.5</v>
      </c>
      <c r="P261">
        <f t="shared" si="92"/>
        <v>1155</v>
      </c>
      <c r="Q261">
        <f t="shared" si="93"/>
        <v>0.78327868852459026</v>
      </c>
      <c r="R261">
        <f t="shared" si="95"/>
        <v>13.723934426229505</v>
      </c>
    </row>
    <row r="262" spans="1:18" x14ac:dyDescent="0.3">
      <c r="A262" t="s">
        <v>3</v>
      </c>
      <c r="B262" s="1">
        <v>45096</v>
      </c>
      <c r="C262" t="s">
        <v>8</v>
      </c>
      <c r="D262" t="s">
        <v>10</v>
      </c>
      <c r="E262">
        <v>7</v>
      </c>
      <c r="F262">
        <v>11.2</v>
      </c>
      <c r="G262">
        <v>0.5</v>
      </c>
      <c r="H262">
        <f t="shared" si="98"/>
        <v>0.5</v>
      </c>
      <c r="I262">
        <f t="shared" si="88"/>
        <v>1</v>
      </c>
      <c r="J262">
        <f t="shared" si="89"/>
        <v>12.2</v>
      </c>
      <c r="K262">
        <f t="shared" si="90"/>
        <v>1.0999999999999996</v>
      </c>
      <c r="L262">
        <f t="shared" si="94"/>
        <v>21.699999999999996</v>
      </c>
      <c r="M262">
        <f t="shared" si="97"/>
        <v>0.19672131147540972</v>
      </c>
      <c r="N262">
        <v>24</v>
      </c>
      <c r="O262">
        <f t="shared" si="91"/>
        <v>6</v>
      </c>
      <c r="P262">
        <f t="shared" si="92"/>
        <v>1260</v>
      </c>
      <c r="Q262">
        <f t="shared" si="93"/>
        <v>0.78327868852459026</v>
      </c>
      <c r="R262">
        <f t="shared" si="95"/>
        <v>14.507213114754094</v>
      </c>
    </row>
    <row r="263" spans="1:18" x14ac:dyDescent="0.3">
      <c r="A263" t="s">
        <v>4</v>
      </c>
      <c r="B263" s="1">
        <v>45097</v>
      </c>
      <c r="C263" t="s">
        <v>8</v>
      </c>
      <c r="D263" t="s">
        <v>10</v>
      </c>
      <c r="E263">
        <v>7</v>
      </c>
      <c r="F263">
        <v>11.1</v>
      </c>
      <c r="G263">
        <v>0</v>
      </c>
      <c r="H263">
        <f>12.1-F263-G263</f>
        <v>1</v>
      </c>
      <c r="I263">
        <f t="shared" si="88"/>
        <v>1</v>
      </c>
      <c r="J263">
        <f t="shared" si="89"/>
        <v>12.1</v>
      </c>
      <c r="K263">
        <f t="shared" si="90"/>
        <v>0.90000000000000036</v>
      </c>
      <c r="L263">
        <f>L262+K263</f>
        <v>22.599999999999994</v>
      </c>
      <c r="M263">
        <f t="shared" si="97"/>
        <v>0.18032786885245897</v>
      </c>
      <c r="N263">
        <v>25</v>
      </c>
      <c r="O263">
        <f t="shared" si="91"/>
        <v>6</v>
      </c>
      <c r="P263">
        <f t="shared" si="92"/>
        <v>1260</v>
      </c>
      <c r="Q263">
        <f t="shared" si="93"/>
        <v>0.79967213114754099</v>
      </c>
      <c r="R263">
        <f t="shared" si="95"/>
        <v>15.306885245901636</v>
      </c>
    </row>
    <row r="264" spans="1:18" x14ac:dyDescent="0.3">
      <c r="A264" t="s">
        <v>5</v>
      </c>
      <c r="B264" s="1">
        <v>45098</v>
      </c>
      <c r="C264" t="s">
        <v>8</v>
      </c>
      <c r="D264" t="s">
        <v>10</v>
      </c>
      <c r="E264">
        <v>7</v>
      </c>
      <c r="F264">
        <v>11.2</v>
      </c>
      <c r="G264">
        <v>0</v>
      </c>
      <c r="H264">
        <f t="shared" ref="H264:H266" si="99">12.1-F264-G264</f>
        <v>0.90000000000000036</v>
      </c>
      <c r="I264">
        <f t="shared" si="88"/>
        <v>0.90000000000000036</v>
      </c>
      <c r="J264">
        <f t="shared" si="89"/>
        <v>12.1</v>
      </c>
      <c r="K264">
        <f t="shared" si="90"/>
        <v>0.90000000000000036</v>
      </c>
      <c r="L264">
        <f t="shared" ref="L264:L276" si="100">L263+K264</f>
        <v>23.499999999999993</v>
      </c>
      <c r="M264">
        <f t="shared" si="97"/>
        <v>0.18032786885245897</v>
      </c>
      <c r="N264">
        <v>26</v>
      </c>
      <c r="O264">
        <f t="shared" si="91"/>
        <v>6</v>
      </c>
      <c r="P264">
        <f t="shared" si="92"/>
        <v>1260</v>
      </c>
      <c r="Q264">
        <f t="shared" si="93"/>
        <v>0.79967213114754099</v>
      </c>
      <c r="R264">
        <f t="shared" si="95"/>
        <v>16.106557377049178</v>
      </c>
    </row>
    <row r="265" spans="1:18" x14ac:dyDescent="0.3">
      <c r="A265" t="s">
        <v>6</v>
      </c>
      <c r="B265" s="1">
        <v>45099</v>
      </c>
      <c r="C265" t="s">
        <v>8</v>
      </c>
      <c r="D265" t="s">
        <v>10</v>
      </c>
      <c r="E265">
        <v>7</v>
      </c>
      <c r="F265">
        <v>11.2</v>
      </c>
      <c r="G265">
        <v>0.5</v>
      </c>
      <c r="H265">
        <f t="shared" si="99"/>
        <v>0.40000000000000036</v>
      </c>
      <c r="I265">
        <f t="shared" si="88"/>
        <v>0.90000000000000036</v>
      </c>
      <c r="J265">
        <f t="shared" si="89"/>
        <v>12.1</v>
      </c>
      <c r="K265">
        <f t="shared" si="90"/>
        <v>0.90000000000000036</v>
      </c>
      <c r="L265">
        <f t="shared" si="100"/>
        <v>24.399999999999991</v>
      </c>
      <c r="M265">
        <f t="shared" si="97"/>
        <v>0.18032786885245897</v>
      </c>
      <c r="N265">
        <v>27</v>
      </c>
      <c r="O265">
        <f t="shared" si="91"/>
        <v>6.5</v>
      </c>
      <c r="P265">
        <f t="shared" si="92"/>
        <v>1365</v>
      </c>
      <c r="Q265">
        <f t="shared" si="93"/>
        <v>0.79967213114754099</v>
      </c>
      <c r="R265">
        <f t="shared" si="95"/>
        <v>16.90622950819672</v>
      </c>
    </row>
    <row r="266" spans="1:18" x14ac:dyDescent="0.3">
      <c r="A266" t="s">
        <v>0</v>
      </c>
      <c r="B266" s="1">
        <v>45100</v>
      </c>
      <c r="C266" t="s">
        <v>8</v>
      </c>
      <c r="D266" t="s">
        <v>10</v>
      </c>
      <c r="E266">
        <v>7</v>
      </c>
      <c r="F266">
        <v>11.2</v>
      </c>
      <c r="G266">
        <v>0</v>
      </c>
      <c r="H266">
        <f t="shared" si="99"/>
        <v>0.90000000000000036</v>
      </c>
      <c r="I266">
        <f t="shared" si="88"/>
        <v>0.90000000000000036</v>
      </c>
      <c r="J266">
        <f t="shared" si="89"/>
        <v>12.1</v>
      </c>
      <c r="K266">
        <f t="shared" si="90"/>
        <v>0.90000000000000036</v>
      </c>
      <c r="L266">
        <f t="shared" si="100"/>
        <v>25.29999999999999</v>
      </c>
      <c r="M266">
        <f t="shared" si="97"/>
        <v>0.18032786885245897</v>
      </c>
      <c r="N266">
        <v>28</v>
      </c>
      <c r="O266">
        <f t="shared" si="91"/>
        <v>6.5</v>
      </c>
      <c r="P266">
        <f t="shared" si="92"/>
        <v>1365</v>
      </c>
      <c r="Q266">
        <f t="shared" si="93"/>
        <v>0.79967213114754099</v>
      </c>
      <c r="R266">
        <f t="shared" si="95"/>
        <v>17.705901639344262</v>
      </c>
    </row>
    <row r="267" spans="1:18" x14ac:dyDescent="0.3">
      <c r="A267" t="s">
        <v>1</v>
      </c>
      <c r="B267" s="1">
        <v>45101</v>
      </c>
      <c r="C267" t="s">
        <v>8</v>
      </c>
      <c r="D267" t="s">
        <v>10</v>
      </c>
      <c r="E267">
        <v>7</v>
      </c>
      <c r="F267">
        <v>11.2</v>
      </c>
      <c r="G267">
        <v>0</v>
      </c>
      <c r="H267">
        <v>5</v>
      </c>
      <c r="I267">
        <f t="shared" si="88"/>
        <v>5</v>
      </c>
      <c r="J267">
        <f t="shared" si="89"/>
        <v>16.2</v>
      </c>
      <c r="K267">
        <f t="shared" si="90"/>
        <v>1.1999999999999993</v>
      </c>
      <c r="L267">
        <f t="shared" si="100"/>
        <v>26.499999999999989</v>
      </c>
      <c r="M267">
        <f t="shared" si="97"/>
        <v>0.85245901639344257</v>
      </c>
      <c r="N267">
        <v>29</v>
      </c>
      <c r="O267">
        <f t="shared" si="91"/>
        <v>6.5</v>
      </c>
      <c r="P267">
        <f t="shared" si="92"/>
        <v>1365</v>
      </c>
      <c r="Q267">
        <f t="shared" si="93"/>
        <v>0.12754098360655741</v>
      </c>
      <c r="R267">
        <f>R266+Q267</f>
        <v>17.83344262295082</v>
      </c>
    </row>
    <row r="268" spans="1:18" x14ac:dyDescent="0.3">
      <c r="A268" t="s">
        <v>2</v>
      </c>
      <c r="B268" s="1">
        <v>45102</v>
      </c>
      <c r="C268" t="s">
        <v>8</v>
      </c>
      <c r="D268" t="s">
        <v>10</v>
      </c>
      <c r="E268">
        <v>7</v>
      </c>
      <c r="F268">
        <v>15</v>
      </c>
      <c r="G268">
        <v>0</v>
      </c>
      <c r="H268">
        <v>0</v>
      </c>
      <c r="I268">
        <f t="shared" si="88"/>
        <v>0</v>
      </c>
      <c r="J268">
        <f t="shared" si="89"/>
        <v>15</v>
      </c>
      <c r="K268">
        <f t="shared" si="90"/>
        <v>1.4000000000000004</v>
      </c>
      <c r="L268">
        <f t="shared" si="100"/>
        <v>27.899999999999991</v>
      </c>
      <c r="M268">
        <f t="shared" si="97"/>
        <v>0.65573770491803285</v>
      </c>
      <c r="N268">
        <v>30</v>
      </c>
      <c r="O268">
        <f t="shared" si="91"/>
        <v>6.5</v>
      </c>
      <c r="P268">
        <f t="shared" si="92"/>
        <v>1365</v>
      </c>
      <c r="Q268">
        <f t="shared" si="93"/>
        <v>0.32426229508196713</v>
      </c>
      <c r="R268">
        <f t="shared" ref="R268:R276" si="101">R267+Q268</f>
        <v>18.157704918032788</v>
      </c>
    </row>
    <row r="269" spans="1:18" x14ac:dyDescent="0.3">
      <c r="A269" t="s">
        <v>3</v>
      </c>
      <c r="B269" s="1">
        <v>45103</v>
      </c>
      <c r="C269" t="s">
        <v>8</v>
      </c>
      <c r="D269" t="s">
        <v>10</v>
      </c>
      <c r="E269">
        <v>7</v>
      </c>
      <c r="F269">
        <v>13.6</v>
      </c>
      <c r="G269">
        <v>0.5</v>
      </c>
      <c r="H269">
        <v>0</v>
      </c>
      <c r="I269">
        <f t="shared" si="88"/>
        <v>0.5</v>
      </c>
      <c r="J269">
        <f t="shared" si="89"/>
        <v>14.1</v>
      </c>
      <c r="K269">
        <f t="shared" si="90"/>
        <v>1.0999999999999996</v>
      </c>
      <c r="L269">
        <f t="shared" si="100"/>
        <v>28.999999999999993</v>
      </c>
      <c r="M269">
        <f t="shared" si="97"/>
        <v>0.50819672131147542</v>
      </c>
      <c r="N269">
        <v>31</v>
      </c>
      <c r="O269">
        <f t="shared" si="91"/>
        <v>7</v>
      </c>
      <c r="P269">
        <f t="shared" si="92"/>
        <v>1470</v>
      </c>
      <c r="Q269">
        <f t="shared" si="93"/>
        <v>0.47180327868852456</v>
      </c>
      <c r="R269">
        <f t="shared" si="101"/>
        <v>18.629508196721314</v>
      </c>
    </row>
    <row r="270" spans="1:18" x14ac:dyDescent="0.3">
      <c r="A270" t="s">
        <v>4</v>
      </c>
      <c r="B270" s="1">
        <v>45104</v>
      </c>
      <c r="C270" t="s">
        <v>8</v>
      </c>
      <c r="D270" t="s">
        <v>10</v>
      </c>
      <c r="E270">
        <v>7</v>
      </c>
      <c r="F270">
        <v>13</v>
      </c>
      <c r="G270">
        <v>0</v>
      </c>
      <c r="H270">
        <v>0</v>
      </c>
      <c r="I270">
        <f t="shared" si="88"/>
        <v>0</v>
      </c>
      <c r="J270">
        <f t="shared" si="89"/>
        <v>13</v>
      </c>
      <c r="K270">
        <f t="shared" si="90"/>
        <v>1</v>
      </c>
      <c r="L270">
        <f t="shared" si="100"/>
        <v>29.999999999999993</v>
      </c>
      <c r="M270">
        <f t="shared" si="97"/>
        <v>0.32786885245901642</v>
      </c>
      <c r="N270">
        <v>32</v>
      </c>
      <c r="O270">
        <f t="shared" si="91"/>
        <v>7</v>
      </c>
      <c r="P270">
        <f t="shared" si="92"/>
        <v>1470</v>
      </c>
      <c r="Q270">
        <f t="shared" si="93"/>
        <v>0.65213114754098356</v>
      </c>
      <c r="R270">
        <f t="shared" si="101"/>
        <v>19.281639344262299</v>
      </c>
    </row>
    <row r="271" spans="1:18" x14ac:dyDescent="0.3">
      <c r="A271" t="s">
        <v>5</v>
      </c>
      <c r="B271" s="1">
        <v>45105</v>
      </c>
      <c r="C271" t="s">
        <v>8</v>
      </c>
      <c r="D271" t="s">
        <v>10</v>
      </c>
      <c r="E271">
        <v>7</v>
      </c>
      <c r="F271">
        <v>12</v>
      </c>
      <c r="G271">
        <v>0</v>
      </c>
      <c r="H271">
        <f t="shared" ref="H271:H277" si="102">12.1-F271-G271</f>
        <v>9.9999999999999645E-2</v>
      </c>
      <c r="I271">
        <f t="shared" si="88"/>
        <v>9.9999999999999645E-2</v>
      </c>
      <c r="J271">
        <f t="shared" si="89"/>
        <v>12.1</v>
      </c>
      <c r="K271">
        <f t="shared" si="90"/>
        <v>0.69999999999999929</v>
      </c>
      <c r="L271">
        <f t="shared" si="100"/>
        <v>30.699999999999992</v>
      </c>
      <c r="M271">
        <f t="shared" si="97"/>
        <v>0.18032786885245897</v>
      </c>
      <c r="N271">
        <v>33</v>
      </c>
      <c r="O271">
        <f t="shared" si="91"/>
        <v>7</v>
      </c>
      <c r="P271">
        <f t="shared" si="92"/>
        <v>1470</v>
      </c>
      <c r="Q271">
        <f t="shared" si="93"/>
        <v>0.79967213114754099</v>
      </c>
      <c r="R271">
        <f t="shared" si="101"/>
        <v>20.081311475409841</v>
      </c>
    </row>
    <row r="272" spans="1:18" x14ac:dyDescent="0.3">
      <c r="A272" t="s">
        <v>6</v>
      </c>
      <c r="B272" s="1">
        <v>45106</v>
      </c>
      <c r="C272" t="s">
        <v>8</v>
      </c>
      <c r="D272" t="s">
        <v>10</v>
      </c>
      <c r="E272">
        <v>7</v>
      </c>
      <c r="F272">
        <v>11.4</v>
      </c>
      <c r="G272">
        <v>0.5</v>
      </c>
      <c r="H272">
        <f t="shared" si="102"/>
        <v>0.19999999999999929</v>
      </c>
      <c r="I272">
        <f t="shared" si="88"/>
        <v>0.69999999999999929</v>
      </c>
      <c r="J272">
        <f t="shared" si="89"/>
        <v>12.1</v>
      </c>
      <c r="K272">
        <f t="shared" si="90"/>
        <v>1</v>
      </c>
      <c r="L272">
        <f t="shared" si="100"/>
        <v>31.699999999999992</v>
      </c>
      <c r="M272">
        <f t="shared" si="97"/>
        <v>0.18032786885245897</v>
      </c>
      <c r="N272">
        <v>34</v>
      </c>
      <c r="O272">
        <f t="shared" si="91"/>
        <v>7.5</v>
      </c>
      <c r="P272">
        <f t="shared" si="92"/>
        <v>1575</v>
      </c>
      <c r="Q272">
        <f t="shared" si="93"/>
        <v>0.79967213114754099</v>
      </c>
      <c r="R272">
        <f t="shared" si="101"/>
        <v>20.880983606557383</v>
      </c>
    </row>
    <row r="273" spans="1:18" x14ac:dyDescent="0.3">
      <c r="A273" t="s">
        <v>0</v>
      </c>
      <c r="B273" s="1">
        <v>45107</v>
      </c>
      <c r="C273" t="s">
        <v>8</v>
      </c>
      <c r="D273" t="s">
        <v>10</v>
      </c>
      <c r="E273">
        <v>7</v>
      </c>
      <c r="F273">
        <v>11.1</v>
      </c>
      <c r="G273">
        <v>0</v>
      </c>
      <c r="H273">
        <f t="shared" si="102"/>
        <v>1</v>
      </c>
      <c r="I273">
        <f t="shared" si="88"/>
        <v>1</v>
      </c>
      <c r="J273">
        <f t="shared" si="89"/>
        <v>12.1</v>
      </c>
      <c r="K273">
        <f t="shared" si="90"/>
        <v>0.5</v>
      </c>
      <c r="L273">
        <f t="shared" si="100"/>
        <v>32.199999999999989</v>
      </c>
      <c r="M273">
        <f t="shared" si="97"/>
        <v>0.18032786885245897</v>
      </c>
      <c r="N273">
        <v>35</v>
      </c>
      <c r="O273">
        <f t="shared" si="91"/>
        <v>7.5</v>
      </c>
      <c r="P273">
        <f t="shared" si="92"/>
        <v>1575</v>
      </c>
      <c r="Q273">
        <f t="shared" si="93"/>
        <v>0.79967213114754099</v>
      </c>
      <c r="R273">
        <f t="shared" si="101"/>
        <v>21.680655737704924</v>
      </c>
    </row>
    <row r="274" spans="1:18" x14ac:dyDescent="0.3">
      <c r="A274" t="s">
        <v>1</v>
      </c>
      <c r="B274" s="1">
        <v>45108</v>
      </c>
      <c r="C274" t="s">
        <v>8</v>
      </c>
      <c r="D274" t="s">
        <v>10</v>
      </c>
      <c r="E274">
        <v>7</v>
      </c>
      <c r="F274">
        <v>11.6</v>
      </c>
      <c r="G274">
        <v>0</v>
      </c>
      <c r="H274">
        <f t="shared" si="102"/>
        <v>0.5</v>
      </c>
      <c r="I274">
        <f t="shared" si="88"/>
        <v>0.5</v>
      </c>
      <c r="J274">
        <f t="shared" si="89"/>
        <v>12.1</v>
      </c>
      <c r="K274">
        <f t="shared" si="90"/>
        <v>0.40000000000000036</v>
      </c>
      <c r="L274">
        <f t="shared" si="100"/>
        <v>32.599999999999987</v>
      </c>
      <c r="M274">
        <f t="shared" si="97"/>
        <v>0.18032786885245897</v>
      </c>
      <c r="N274">
        <v>36</v>
      </c>
      <c r="O274">
        <f t="shared" si="91"/>
        <v>7.5</v>
      </c>
      <c r="P274">
        <f t="shared" si="92"/>
        <v>1575</v>
      </c>
      <c r="Q274">
        <f t="shared" si="93"/>
        <v>0.79967213114754099</v>
      </c>
      <c r="R274">
        <f t="shared" si="101"/>
        <v>22.480327868852466</v>
      </c>
    </row>
    <row r="275" spans="1:18" x14ac:dyDescent="0.3">
      <c r="A275" t="s">
        <v>2</v>
      </c>
      <c r="B275" s="1">
        <v>45109</v>
      </c>
      <c r="C275" t="s">
        <v>8</v>
      </c>
      <c r="D275" t="s">
        <v>10</v>
      </c>
      <c r="E275">
        <v>7</v>
      </c>
      <c r="F275">
        <v>11.7</v>
      </c>
      <c r="G275">
        <v>0</v>
      </c>
      <c r="H275">
        <f t="shared" si="102"/>
        <v>0.40000000000000036</v>
      </c>
      <c r="I275">
        <f t="shared" si="88"/>
        <v>0.40000000000000036</v>
      </c>
      <c r="J275">
        <f t="shared" si="89"/>
        <v>12.1</v>
      </c>
      <c r="K275">
        <f t="shared" si="90"/>
        <v>0.79999999999999893</v>
      </c>
      <c r="L275">
        <f t="shared" si="100"/>
        <v>33.399999999999984</v>
      </c>
      <c r="M275">
        <f t="shared" si="97"/>
        <v>0.18032786885245897</v>
      </c>
      <c r="N275">
        <v>37</v>
      </c>
      <c r="O275">
        <f t="shared" si="91"/>
        <v>7.5</v>
      </c>
      <c r="P275">
        <f t="shared" si="92"/>
        <v>1575</v>
      </c>
      <c r="Q275">
        <f t="shared" si="93"/>
        <v>0.79967213114754099</v>
      </c>
      <c r="R275">
        <f t="shared" si="101"/>
        <v>23.280000000000008</v>
      </c>
    </row>
    <row r="276" spans="1:18" x14ac:dyDescent="0.3">
      <c r="A276" t="s">
        <v>3</v>
      </c>
      <c r="B276" s="1">
        <v>45110</v>
      </c>
      <c r="C276" t="s">
        <v>8</v>
      </c>
      <c r="D276" t="s">
        <v>10</v>
      </c>
      <c r="E276">
        <v>7</v>
      </c>
      <c r="F276">
        <v>11.3</v>
      </c>
      <c r="G276">
        <v>0</v>
      </c>
      <c r="H276">
        <f t="shared" si="102"/>
        <v>0.79999999999999893</v>
      </c>
      <c r="I276">
        <f t="shared" si="88"/>
        <v>0.79999999999999893</v>
      </c>
      <c r="J276">
        <f t="shared" si="89"/>
        <v>12.1</v>
      </c>
      <c r="K276">
        <f t="shared" si="90"/>
        <v>0.90000000000000036</v>
      </c>
      <c r="L276">
        <f t="shared" si="100"/>
        <v>34.299999999999983</v>
      </c>
      <c r="M276">
        <f t="shared" si="97"/>
        <v>0.18032786885245897</v>
      </c>
      <c r="N276">
        <v>38</v>
      </c>
      <c r="O276">
        <f t="shared" si="91"/>
        <v>7.5</v>
      </c>
      <c r="P276">
        <f t="shared" si="92"/>
        <v>1575</v>
      </c>
      <c r="Q276">
        <f t="shared" si="93"/>
        <v>0.79967213114754099</v>
      </c>
      <c r="R276">
        <f t="shared" si="101"/>
        <v>24.07967213114755</v>
      </c>
    </row>
    <row r="277" spans="1:18" x14ac:dyDescent="0.3">
      <c r="A277" t="s">
        <v>4</v>
      </c>
      <c r="B277" s="1">
        <v>45111</v>
      </c>
      <c r="C277" t="s">
        <v>8</v>
      </c>
      <c r="D277" t="s">
        <v>10</v>
      </c>
      <c r="E277">
        <v>7</v>
      </c>
      <c r="F277">
        <v>11.2</v>
      </c>
      <c r="G277">
        <v>0</v>
      </c>
      <c r="H277">
        <f t="shared" si="102"/>
        <v>0.90000000000000036</v>
      </c>
      <c r="I277">
        <f t="shared" si="88"/>
        <v>0.90000000000000036</v>
      </c>
      <c r="J277">
        <f t="shared" si="89"/>
        <v>12.1</v>
      </c>
    </row>
    <row r="278" spans="1:18" x14ac:dyDescent="0.3">
      <c r="A278" t="s">
        <v>1</v>
      </c>
      <c r="B278" s="1">
        <v>45073</v>
      </c>
      <c r="C278" t="s">
        <v>8</v>
      </c>
      <c r="D278" t="s">
        <v>10</v>
      </c>
      <c r="E278">
        <v>8</v>
      </c>
      <c r="F278">
        <v>17</v>
      </c>
      <c r="G278">
        <v>0</v>
      </c>
      <c r="H278">
        <v>0</v>
      </c>
      <c r="I278">
        <f>H278+G278</f>
        <v>0</v>
      </c>
      <c r="J278">
        <f>I278+F278</f>
        <v>17</v>
      </c>
      <c r="K278">
        <f>J278-F279</f>
        <v>0.30000000000000071</v>
      </c>
      <c r="M278">
        <f t="shared" si="97"/>
        <v>0.98360655737704927</v>
      </c>
      <c r="N278">
        <v>1</v>
      </c>
      <c r="O278">
        <v>2.5</v>
      </c>
      <c r="P278">
        <f>O278*210</f>
        <v>525</v>
      </c>
    </row>
    <row r="279" spans="1:18" x14ac:dyDescent="0.3">
      <c r="A279" t="s">
        <v>2</v>
      </c>
      <c r="B279" s="1">
        <v>45074</v>
      </c>
      <c r="C279" t="s">
        <v>8</v>
      </c>
      <c r="D279" t="s">
        <v>10</v>
      </c>
      <c r="E279">
        <v>8</v>
      </c>
      <c r="F279">
        <v>16.7</v>
      </c>
      <c r="G279">
        <v>0</v>
      </c>
      <c r="H279">
        <v>0</v>
      </c>
      <c r="I279">
        <f t="shared" ref="I279:I318" si="103">H279+G279</f>
        <v>0</v>
      </c>
      <c r="J279">
        <f t="shared" ref="J279:J318" si="104">I279+F279</f>
        <v>16.7</v>
      </c>
      <c r="K279">
        <f t="shared" ref="K279:K318" si="105">J279-F280</f>
        <v>0.39999999999999858</v>
      </c>
      <c r="L279">
        <f>K278+K279</f>
        <v>0.69999999999999929</v>
      </c>
      <c r="M279">
        <f t="shared" si="97"/>
        <v>0.93442622950819665</v>
      </c>
      <c r="N279">
        <v>2</v>
      </c>
      <c r="O279">
        <f t="shared" ref="O279:O318" si="106">O278+G279</f>
        <v>2.5</v>
      </c>
      <c r="P279">
        <f t="shared" ref="P279:P318" si="107">O279*210</f>
        <v>525</v>
      </c>
      <c r="Q279">
        <f t="shared" ref="Q279:Q318" si="108">0.98-M279</f>
        <v>4.5573770491803334E-2</v>
      </c>
    </row>
    <row r="280" spans="1:18" x14ac:dyDescent="0.3">
      <c r="A280" t="s">
        <v>3</v>
      </c>
      <c r="B280" s="1">
        <v>45075</v>
      </c>
      <c r="C280" t="s">
        <v>8</v>
      </c>
      <c r="D280" t="s">
        <v>10</v>
      </c>
      <c r="E280">
        <v>8</v>
      </c>
      <c r="F280">
        <v>16.3</v>
      </c>
      <c r="G280">
        <v>0.25</v>
      </c>
      <c r="H280">
        <v>0</v>
      </c>
      <c r="I280">
        <f t="shared" si="103"/>
        <v>0.25</v>
      </c>
      <c r="J280">
        <f t="shared" si="104"/>
        <v>16.55</v>
      </c>
      <c r="K280">
        <f t="shared" si="105"/>
        <v>0.65000000000000036</v>
      </c>
      <c r="L280">
        <f>L279+K280</f>
        <v>1.3499999999999996</v>
      </c>
      <c r="M280">
        <f t="shared" si="97"/>
        <v>0.90983606557377061</v>
      </c>
      <c r="N280">
        <v>3</v>
      </c>
      <c r="O280">
        <f t="shared" si="106"/>
        <v>2.75</v>
      </c>
      <c r="P280">
        <f t="shared" si="107"/>
        <v>577.5</v>
      </c>
      <c r="Q280">
        <f t="shared" si="108"/>
        <v>7.0163934426229368E-2</v>
      </c>
      <c r="R280">
        <f>Q279+Q280</f>
        <v>0.1157377049180327</v>
      </c>
    </row>
    <row r="281" spans="1:18" x14ac:dyDescent="0.3">
      <c r="A281" t="s">
        <v>4</v>
      </c>
      <c r="B281" s="1">
        <v>45076</v>
      </c>
      <c r="C281" t="s">
        <v>8</v>
      </c>
      <c r="D281" t="s">
        <v>10</v>
      </c>
      <c r="E281">
        <v>8</v>
      </c>
      <c r="F281">
        <v>15.9</v>
      </c>
      <c r="G281">
        <v>0.25</v>
      </c>
      <c r="H281">
        <v>0</v>
      </c>
      <c r="I281">
        <f t="shared" si="103"/>
        <v>0.25</v>
      </c>
      <c r="J281">
        <f t="shared" si="104"/>
        <v>16.149999999999999</v>
      </c>
      <c r="K281">
        <f t="shared" si="105"/>
        <v>0.64999999999999858</v>
      </c>
      <c r="L281">
        <f t="shared" ref="L281:L301" si="109">L280+K281</f>
        <v>1.9999999999999982</v>
      </c>
      <c r="M281">
        <f t="shared" si="97"/>
        <v>0.84426229508196704</v>
      </c>
      <c r="N281">
        <v>4</v>
      </c>
      <c r="O281">
        <f t="shared" si="106"/>
        <v>3</v>
      </c>
      <c r="P281">
        <f t="shared" si="107"/>
        <v>630</v>
      </c>
      <c r="Q281">
        <f t="shared" si="108"/>
        <v>0.13573770491803294</v>
      </c>
      <c r="R281">
        <f>R280+Q281</f>
        <v>0.25147540983606564</v>
      </c>
    </row>
    <row r="282" spans="1:18" x14ac:dyDescent="0.3">
      <c r="A282" t="s">
        <v>5</v>
      </c>
      <c r="B282" s="1">
        <v>45077</v>
      </c>
      <c r="C282" t="s">
        <v>8</v>
      </c>
      <c r="D282" t="s">
        <v>10</v>
      </c>
      <c r="E282">
        <v>8</v>
      </c>
      <c r="F282">
        <v>15.5</v>
      </c>
      <c r="G282">
        <v>0</v>
      </c>
      <c r="H282">
        <v>0</v>
      </c>
      <c r="I282">
        <f t="shared" si="103"/>
        <v>0</v>
      </c>
      <c r="J282">
        <f t="shared" si="104"/>
        <v>15.5</v>
      </c>
      <c r="K282">
        <f t="shared" si="105"/>
        <v>0.59999999999999964</v>
      </c>
      <c r="L282">
        <f t="shared" si="109"/>
        <v>2.5999999999999979</v>
      </c>
      <c r="M282">
        <f t="shared" si="97"/>
        <v>0.73770491803278693</v>
      </c>
      <c r="N282">
        <v>5</v>
      </c>
      <c r="O282">
        <f t="shared" si="106"/>
        <v>3</v>
      </c>
      <c r="P282">
        <f t="shared" si="107"/>
        <v>630</v>
      </c>
      <c r="Q282">
        <f t="shared" si="108"/>
        <v>0.24229508196721306</v>
      </c>
      <c r="R282">
        <f t="shared" ref="R282:R305" si="110">R281+Q282</f>
        <v>0.4937704918032787</v>
      </c>
    </row>
    <row r="283" spans="1:18" x14ac:dyDescent="0.3">
      <c r="A283" t="s">
        <v>6</v>
      </c>
      <c r="B283" s="1">
        <v>45078</v>
      </c>
      <c r="C283" t="s">
        <v>8</v>
      </c>
      <c r="D283" t="s">
        <v>10</v>
      </c>
      <c r="E283">
        <v>8</v>
      </c>
      <c r="F283">
        <v>14.9</v>
      </c>
      <c r="G283">
        <v>0.25</v>
      </c>
      <c r="H283">
        <v>0</v>
      </c>
      <c r="I283">
        <f t="shared" si="103"/>
        <v>0.25</v>
      </c>
      <c r="J283">
        <f t="shared" si="104"/>
        <v>15.15</v>
      </c>
      <c r="K283">
        <f t="shared" si="105"/>
        <v>0.34999999999999964</v>
      </c>
      <c r="L283">
        <f t="shared" si="109"/>
        <v>2.9499999999999975</v>
      </c>
      <c r="M283">
        <f t="shared" si="97"/>
        <v>0.68032786885245911</v>
      </c>
      <c r="N283">
        <v>6</v>
      </c>
      <c r="O283">
        <f t="shared" si="106"/>
        <v>3.25</v>
      </c>
      <c r="P283">
        <f t="shared" si="107"/>
        <v>682.5</v>
      </c>
      <c r="Q283">
        <f t="shared" si="108"/>
        <v>0.29967213114754088</v>
      </c>
      <c r="R283">
        <f t="shared" si="110"/>
        <v>0.79344262295081958</v>
      </c>
    </row>
    <row r="284" spans="1:18" x14ac:dyDescent="0.3">
      <c r="A284" t="s">
        <v>0</v>
      </c>
      <c r="B284" s="1">
        <v>45079</v>
      </c>
      <c r="C284" t="s">
        <v>8</v>
      </c>
      <c r="D284" t="s">
        <v>10</v>
      </c>
      <c r="E284">
        <v>8</v>
      </c>
      <c r="F284">
        <v>14.8</v>
      </c>
      <c r="G284">
        <v>0.25</v>
      </c>
      <c r="H284">
        <v>0</v>
      </c>
      <c r="I284">
        <f t="shared" si="103"/>
        <v>0.25</v>
      </c>
      <c r="J284">
        <f t="shared" si="104"/>
        <v>15.05</v>
      </c>
      <c r="K284">
        <f t="shared" si="105"/>
        <v>0.35000000000000142</v>
      </c>
      <c r="L284">
        <f t="shared" si="109"/>
        <v>3.2999999999999989</v>
      </c>
      <c r="M284">
        <f t="shared" si="97"/>
        <v>0.66393442622950838</v>
      </c>
      <c r="N284">
        <v>7</v>
      </c>
      <c r="O284">
        <f t="shared" si="106"/>
        <v>3.5</v>
      </c>
      <c r="P284">
        <f t="shared" si="107"/>
        <v>735</v>
      </c>
      <c r="Q284">
        <f t="shared" si="108"/>
        <v>0.3160655737704916</v>
      </c>
      <c r="R284">
        <f t="shared" si="110"/>
        <v>1.1095081967213112</v>
      </c>
    </row>
    <row r="285" spans="1:18" x14ac:dyDescent="0.3">
      <c r="A285" t="s">
        <v>1</v>
      </c>
      <c r="B285" s="1">
        <v>45080</v>
      </c>
      <c r="C285" t="s">
        <v>8</v>
      </c>
      <c r="D285" t="s">
        <v>10</v>
      </c>
      <c r="E285">
        <v>8</v>
      </c>
      <c r="F285">
        <v>14.7</v>
      </c>
      <c r="G285">
        <v>0</v>
      </c>
      <c r="H285">
        <v>0</v>
      </c>
      <c r="I285">
        <f t="shared" si="103"/>
        <v>0</v>
      </c>
      <c r="J285">
        <f t="shared" si="104"/>
        <v>14.7</v>
      </c>
      <c r="K285">
        <f t="shared" si="105"/>
        <v>0.5</v>
      </c>
      <c r="L285">
        <f t="shared" si="109"/>
        <v>3.7999999999999989</v>
      </c>
      <c r="M285">
        <f t="shared" si="97"/>
        <v>0.60655737704918022</v>
      </c>
      <c r="N285">
        <v>8</v>
      </c>
      <c r="O285">
        <f t="shared" si="106"/>
        <v>3.5</v>
      </c>
      <c r="P285">
        <f t="shared" si="107"/>
        <v>735</v>
      </c>
      <c r="Q285">
        <f t="shared" si="108"/>
        <v>0.37344262295081976</v>
      </c>
      <c r="R285">
        <f t="shared" si="110"/>
        <v>1.4829508196721308</v>
      </c>
    </row>
    <row r="286" spans="1:18" x14ac:dyDescent="0.3">
      <c r="A286" t="s">
        <v>2</v>
      </c>
      <c r="B286" s="1">
        <v>45081</v>
      </c>
      <c r="C286" t="s">
        <v>8</v>
      </c>
      <c r="D286" t="s">
        <v>10</v>
      </c>
      <c r="E286">
        <v>8</v>
      </c>
      <c r="F286">
        <v>14.2</v>
      </c>
      <c r="G286">
        <v>0</v>
      </c>
      <c r="H286">
        <v>0</v>
      </c>
      <c r="I286">
        <f t="shared" si="103"/>
        <v>0</v>
      </c>
      <c r="J286">
        <f t="shared" si="104"/>
        <v>14.2</v>
      </c>
      <c r="K286">
        <f t="shared" si="105"/>
        <v>0.39999999999999858</v>
      </c>
      <c r="L286">
        <f t="shared" si="109"/>
        <v>4.1999999999999975</v>
      </c>
      <c r="M286">
        <f t="shared" si="97"/>
        <v>0.52459016393442615</v>
      </c>
      <c r="N286">
        <v>9</v>
      </c>
      <c r="O286">
        <f t="shared" si="106"/>
        <v>3.5</v>
      </c>
      <c r="P286">
        <f t="shared" si="107"/>
        <v>735</v>
      </c>
      <c r="Q286">
        <f t="shared" si="108"/>
        <v>0.45540983606557384</v>
      </c>
      <c r="R286">
        <f t="shared" si="110"/>
        <v>1.9383606557377047</v>
      </c>
    </row>
    <row r="287" spans="1:18" x14ac:dyDescent="0.3">
      <c r="A287" t="s">
        <v>3</v>
      </c>
      <c r="B287" s="1">
        <v>45082</v>
      </c>
      <c r="C287" t="s">
        <v>8</v>
      </c>
      <c r="D287" t="s">
        <v>10</v>
      </c>
      <c r="E287">
        <v>8</v>
      </c>
      <c r="F287">
        <v>13.8</v>
      </c>
      <c r="G287">
        <v>0.25</v>
      </c>
      <c r="H287">
        <v>0</v>
      </c>
      <c r="I287">
        <f t="shared" si="103"/>
        <v>0.25</v>
      </c>
      <c r="J287">
        <f t="shared" si="104"/>
        <v>14.05</v>
      </c>
      <c r="K287">
        <f t="shared" si="105"/>
        <v>0.45000000000000107</v>
      </c>
      <c r="L287">
        <f t="shared" si="109"/>
        <v>4.6499999999999986</v>
      </c>
      <c r="M287">
        <f t="shared" si="97"/>
        <v>0.50000000000000011</v>
      </c>
      <c r="N287">
        <v>10</v>
      </c>
      <c r="O287">
        <f t="shared" si="106"/>
        <v>3.75</v>
      </c>
      <c r="P287">
        <f t="shared" si="107"/>
        <v>787.5</v>
      </c>
      <c r="Q287">
        <f t="shared" si="108"/>
        <v>0.47999999999999987</v>
      </c>
      <c r="R287">
        <f t="shared" si="110"/>
        <v>2.4183606557377044</v>
      </c>
    </row>
    <row r="288" spans="1:18" x14ac:dyDescent="0.3">
      <c r="A288" t="s">
        <v>4</v>
      </c>
      <c r="B288" s="1">
        <v>45083</v>
      </c>
      <c r="C288" t="s">
        <v>8</v>
      </c>
      <c r="D288" t="s">
        <v>10</v>
      </c>
      <c r="E288">
        <v>8</v>
      </c>
      <c r="F288">
        <v>13.6</v>
      </c>
      <c r="G288">
        <v>0.25</v>
      </c>
      <c r="H288">
        <v>0</v>
      </c>
      <c r="I288">
        <f t="shared" si="103"/>
        <v>0.25</v>
      </c>
      <c r="J288">
        <f t="shared" si="104"/>
        <v>13.85</v>
      </c>
      <c r="K288">
        <f t="shared" si="105"/>
        <v>0.44999999999999929</v>
      </c>
      <c r="L288">
        <f t="shared" si="109"/>
        <v>5.0999999999999979</v>
      </c>
      <c r="M288">
        <f t="shared" si="97"/>
        <v>0.46721311475409832</v>
      </c>
      <c r="N288">
        <v>11</v>
      </c>
      <c r="O288">
        <f t="shared" si="106"/>
        <v>4</v>
      </c>
      <c r="P288">
        <f t="shared" si="107"/>
        <v>840</v>
      </c>
      <c r="Q288">
        <f t="shared" si="108"/>
        <v>0.51278688524590166</v>
      </c>
      <c r="R288">
        <f t="shared" si="110"/>
        <v>2.9311475409836061</v>
      </c>
    </row>
    <row r="289" spans="1:18" x14ac:dyDescent="0.3">
      <c r="A289" t="s">
        <v>5</v>
      </c>
      <c r="B289" s="1">
        <v>45084</v>
      </c>
      <c r="C289" t="s">
        <v>8</v>
      </c>
      <c r="D289" t="s">
        <v>10</v>
      </c>
      <c r="E289">
        <v>8</v>
      </c>
      <c r="F289">
        <v>13.4</v>
      </c>
      <c r="G289">
        <v>0</v>
      </c>
      <c r="H289">
        <v>0</v>
      </c>
      <c r="I289">
        <f t="shared" si="103"/>
        <v>0</v>
      </c>
      <c r="J289">
        <f t="shared" si="104"/>
        <v>13.4</v>
      </c>
      <c r="K289">
        <f t="shared" si="105"/>
        <v>0.5</v>
      </c>
      <c r="L289">
        <f t="shared" si="109"/>
        <v>5.5999999999999979</v>
      </c>
      <c r="M289">
        <f t="shared" si="97"/>
        <v>0.39344262295081978</v>
      </c>
      <c r="N289">
        <v>12</v>
      </c>
      <c r="O289">
        <f t="shared" si="106"/>
        <v>4</v>
      </c>
      <c r="P289">
        <f t="shared" si="107"/>
        <v>840</v>
      </c>
      <c r="Q289">
        <f t="shared" si="108"/>
        <v>0.58655737704918021</v>
      </c>
      <c r="R289">
        <f t="shared" si="110"/>
        <v>3.5177049180327864</v>
      </c>
    </row>
    <row r="290" spans="1:18" x14ac:dyDescent="0.3">
      <c r="A290" t="s">
        <v>6</v>
      </c>
      <c r="B290" s="1">
        <v>45085</v>
      </c>
      <c r="C290" t="s">
        <v>8</v>
      </c>
      <c r="D290" t="s">
        <v>10</v>
      </c>
      <c r="E290">
        <v>8</v>
      </c>
      <c r="F290">
        <v>12.9</v>
      </c>
      <c r="G290">
        <v>0.25</v>
      </c>
      <c r="H290">
        <v>0</v>
      </c>
      <c r="I290">
        <f t="shared" si="103"/>
        <v>0.25</v>
      </c>
      <c r="J290">
        <f t="shared" si="104"/>
        <v>13.15</v>
      </c>
      <c r="K290">
        <f t="shared" si="105"/>
        <v>0.65000000000000036</v>
      </c>
      <c r="L290">
        <f t="shared" si="109"/>
        <v>6.2499999999999982</v>
      </c>
      <c r="M290">
        <f t="shared" si="97"/>
        <v>0.35245901639344268</v>
      </c>
      <c r="N290">
        <v>13</v>
      </c>
      <c r="O290">
        <f t="shared" si="106"/>
        <v>4.25</v>
      </c>
      <c r="P290">
        <f t="shared" si="107"/>
        <v>892.5</v>
      </c>
      <c r="Q290">
        <f t="shared" si="108"/>
        <v>0.6275409836065573</v>
      </c>
      <c r="R290">
        <f t="shared" si="110"/>
        <v>4.1452459016393437</v>
      </c>
    </row>
    <row r="291" spans="1:18" x14ac:dyDescent="0.3">
      <c r="A291" t="s">
        <v>0</v>
      </c>
      <c r="B291" s="1">
        <v>45086</v>
      </c>
      <c r="C291" t="s">
        <v>8</v>
      </c>
      <c r="D291" t="s">
        <v>10</v>
      </c>
      <c r="E291">
        <v>8</v>
      </c>
      <c r="F291">
        <v>12.5</v>
      </c>
      <c r="G291">
        <v>0.25</v>
      </c>
      <c r="H291">
        <f t="shared" ref="H291:H301" si="111">13-F291-G291</f>
        <v>0.25</v>
      </c>
      <c r="I291">
        <f t="shared" si="103"/>
        <v>0.5</v>
      </c>
      <c r="J291">
        <f t="shared" si="104"/>
        <v>13</v>
      </c>
      <c r="K291">
        <f t="shared" si="105"/>
        <v>0.80000000000000071</v>
      </c>
      <c r="L291">
        <f t="shared" si="109"/>
        <v>7.0499999999999989</v>
      </c>
      <c r="M291">
        <f t="shared" si="97"/>
        <v>0.32786885245901642</v>
      </c>
      <c r="N291">
        <v>14</v>
      </c>
      <c r="O291">
        <f t="shared" si="106"/>
        <v>4.5</v>
      </c>
      <c r="P291">
        <f t="shared" si="107"/>
        <v>945</v>
      </c>
      <c r="Q291">
        <f t="shared" si="108"/>
        <v>0.65213114754098356</v>
      </c>
      <c r="R291">
        <f t="shared" si="110"/>
        <v>4.7973770491803274</v>
      </c>
    </row>
    <row r="292" spans="1:18" x14ac:dyDescent="0.3">
      <c r="A292" t="s">
        <v>1</v>
      </c>
      <c r="B292" s="1">
        <v>45087</v>
      </c>
      <c r="C292" t="s">
        <v>8</v>
      </c>
      <c r="D292" t="s">
        <v>10</v>
      </c>
      <c r="E292">
        <v>8</v>
      </c>
      <c r="F292">
        <v>12.2</v>
      </c>
      <c r="G292">
        <v>0</v>
      </c>
      <c r="H292">
        <f t="shared" si="111"/>
        <v>0.80000000000000071</v>
      </c>
      <c r="I292">
        <f t="shared" si="103"/>
        <v>0.80000000000000071</v>
      </c>
      <c r="J292">
        <f t="shared" si="104"/>
        <v>13</v>
      </c>
      <c r="K292">
        <f t="shared" si="105"/>
        <v>0.80000000000000071</v>
      </c>
      <c r="L292">
        <f t="shared" si="109"/>
        <v>7.85</v>
      </c>
      <c r="M292">
        <f t="shared" si="97"/>
        <v>0.32786885245901642</v>
      </c>
      <c r="N292">
        <v>15</v>
      </c>
      <c r="O292">
        <f t="shared" si="106"/>
        <v>4.5</v>
      </c>
      <c r="P292">
        <f t="shared" si="107"/>
        <v>945</v>
      </c>
      <c r="Q292">
        <f t="shared" si="108"/>
        <v>0.65213114754098356</v>
      </c>
      <c r="R292">
        <f t="shared" si="110"/>
        <v>5.449508196721311</v>
      </c>
    </row>
    <row r="293" spans="1:18" x14ac:dyDescent="0.3">
      <c r="A293" t="s">
        <v>2</v>
      </c>
      <c r="B293" s="1">
        <v>45088</v>
      </c>
      <c r="C293" t="s">
        <v>8</v>
      </c>
      <c r="D293" t="s">
        <v>10</v>
      </c>
      <c r="E293">
        <v>8</v>
      </c>
      <c r="F293">
        <v>12.2</v>
      </c>
      <c r="G293">
        <v>0</v>
      </c>
      <c r="H293">
        <f t="shared" si="111"/>
        <v>0.80000000000000071</v>
      </c>
      <c r="I293">
        <f t="shared" si="103"/>
        <v>0.80000000000000071</v>
      </c>
      <c r="J293">
        <f t="shared" si="104"/>
        <v>13</v>
      </c>
      <c r="K293">
        <f t="shared" si="105"/>
        <v>0.80000000000000071</v>
      </c>
      <c r="L293">
        <f t="shared" si="109"/>
        <v>8.65</v>
      </c>
      <c r="M293">
        <f t="shared" si="97"/>
        <v>0.32786885245901642</v>
      </c>
      <c r="N293">
        <v>16</v>
      </c>
      <c r="O293">
        <f t="shared" si="106"/>
        <v>4.5</v>
      </c>
      <c r="P293">
        <f t="shared" si="107"/>
        <v>945</v>
      </c>
      <c r="Q293">
        <f t="shared" si="108"/>
        <v>0.65213114754098356</v>
      </c>
      <c r="R293">
        <f t="shared" si="110"/>
        <v>6.1016393442622947</v>
      </c>
    </row>
    <row r="294" spans="1:18" x14ac:dyDescent="0.3">
      <c r="A294" t="s">
        <v>3</v>
      </c>
      <c r="B294" s="1">
        <v>45089</v>
      </c>
      <c r="C294" t="s">
        <v>8</v>
      </c>
      <c r="D294" t="s">
        <v>10</v>
      </c>
      <c r="E294">
        <v>8</v>
      </c>
      <c r="F294">
        <v>12.2</v>
      </c>
      <c r="G294">
        <v>0.5</v>
      </c>
      <c r="H294">
        <f t="shared" si="111"/>
        <v>0.30000000000000071</v>
      </c>
      <c r="I294">
        <f t="shared" si="103"/>
        <v>0.80000000000000071</v>
      </c>
      <c r="J294">
        <f t="shared" si="104"/>
        <v>13</v>
      </c>
      <c r="K294">
        <f t="shared" si="105"/>
        <v>0.19999999999999929</v>
      </c>
      <c r="L294">
        <f t="shared" si="109"/>
        <v>8.85</v>
      </c>
      <c r="M294">
        <f t="shared" si="97"/>
        <v>0.32786885245901642</v>
      </c>
      <c r="N294">
        <v>17</v>
      </c>
      <c r="O294">
        <f t="shared" si="106"/>
        <v>5</v>
      </c>
      <c r="P294">
        <f t="shared" si="107"/>
        <v>1050</v>
      </c>
      <c r="Q294">
        <f t="shared" si="108"/>
        <v>0.65213114754098356</v>
      </c>
      <c r="R294">
        <f t="shared" si="110"/>
        <v>6.7537704918032784</v>
      </c>
    </row>
    <row r="295" spans="1:18" x14ac:dyDescent="0.3">
      <c r="A295" t="s">
        <v>4</v>
      </c>
      <c r="B295" s="1">
        <v>45090</v>
      </c>
      <c r="C295" t="s">
        <v>8</v>
      </c>
      <c r="D295" t="s">
        <v>10</v>
      </c>
      <c r="E295">
        <v>8</v>
      </c>
      <c r="F295">
        <v>12.8</v>
      </c>
      <c r="G295">
        <v>0</v>
      </c>
      <c r="H295">
        <f t="shared" si="111"/>
        <v>0.19999999999999929</v>
      </c>
      <c r="I295">
        <f t="shared" si="103"/>
        <v>0.19999999999999929</v>
      </c>
      <c r="J295">
        <f t="shared" si="104"/>
        <v>13</v>
      </c>
      <c r="K295">
        <f t="shared" si="105"/>
        <v>0.80000000000000071</v>
      </c>
      <c r="L295">
        <f t="shared" si="109"/>
        <v>9.65</v>
      </c>
      <c r="M295">
        <f t="shared" si="97"/>
        <v>0.32786885245901642</v>
      </c>
      <c r="N295">
        <v>18</v>
      </c>
      <c r="O295">
        <f t="shared" si="106"/>
        <v>5</v>
      </c>
      <c r="P295">
        <f t="shared" si="107"/>
        <v>1050</v>
      </c>
      <c r="Q295">
        <f t="shared" si="108"/>
        <v>0.65213114754098356</v>
      </c>
      <c r="R295">
        <f t="shared" si="110"/>
        <v>7.405901639344262</v>
      </c>
    </row>
    <row r="296" spans="1:18" x14ac:dyDescent="0.3">
      <c r="A296" t="s">
        <v>5</v>
      </c>
      <c r="B296" s="1">
        <v>45091</v>
      </c>
      <c r="C296" t="s">
        <v>8</v>
      </c>
      <c r="D296" t="s">
        <v>10</v>
      </c>
      <c r="E296">
        <v>8</v>
      </c>
      <c r="F296">
        <v>12.2</v>
      </c>
      <c r="G296">
        <v>0</v>
      </c>
      <c r="H296">
        <f t="shared" si="111"/>
        <v>0.80000000000000071</v>
      </c>
      <c r="I296">
        <f t="shared" si="103"/>
        <v>0.80000000000000071</v>
      </c>
      <c r="J296">
        <f t="shared" si="104"/>
        <v>13</v>
      </c>
      <c r="K296">
        <f t="shared" si="105"/>
        <v>1</v>
      </c>
      <c r="L296">
        <f t="shared" si="109"/>
        <v>10.65</v>
      </c>
      <c r="M296">
        <f t="shared" si="97"/>
        <v>0.32786885245901642</v>
      </c>
      <c r="N296">
        <v>19</v>
      </c>
      <c r="O296">
        <f t="shared" si="106"/>
        <v>5</v>
      </c>
      <c r="P296">
        <f t="shared" si="107"/>
        <v>1050</v>
      </c>
      <c r="Q296">
        <f t="shared" si="108"/>
        <v>0.65213114754098356</v>
      </c>
      <c r="R296">
        <f t="shared" si="110"/>
        <v>8.0580327868852457</v>
      </c>
    </row>
    <row r="297" spans="1:18" x14ac:dyDescent="0.3">
      <c r="A297" t="s">
        <v>6</v>
      </c>
      <c r="B297" s="1">
        <v>45092</v>
      </c>
      <c r="C297" t="s">
        <v>8</v>
      </c>
      <c r="D297" t="s">
        <v>10</v>
      </c>
      <c r="E297">
        <v>8</v>
      </c>
      <c r="F297">
        <v>12</v>
      </c>
      <c r="G297">
        <v>0.5</v>
      </c>
      <c r="H297">
        <f>13-F297-G297</f>
        <v>0.5</v>
      </c>
      <c r="I297">
        <f t="shared" si="103"/>
        <v>1</v>
      </c>
      <c r="J297">
        <f t="shared" si="104"/>
        <v>13</v>
      </c>
      <c r="K297">
        <f t="shared" si="105"/>
        <v>1</v>
      </c>
      <c r="L297">
        <f t="shared" si="109"/>
        <v>11.65</v>
      </c>
      <c r="M297">
        <f t="shared" si="97"/>
        <v>0.32786885245901642</v>
      </c>
      <c r="N297">
        <v>20</v>
      </c>
      <c r="O297">
        <f t="shared" si="106"/>
        <v>5.5</v>
      </c>
      <c r="P297">
        <f t="shared" si="107"/>
        <v>1155</v>
      </c>
      <c r="Q297">
        <f t="shared" si="108"/>
        <v>0.65213114754098356</v>
      </c>
      <c r="R297">
        <f t="shared" si="110"/>
        <v>8.7101639344262285</v>
      </c>
    </row>
    <row r="298" spans="1:18" x14ac:dyDescent="0.3">
      <c r="A298" t="s">
        <v>0</v>
      </c>
      <c r="B298" s="1">
        <v>45093</v>
      </c>
      <c r="C298" t="s">
        <v>8</v>
      </c>
      <c r="D298" t="s">
        <v>10</v>
      </c>
      <c r="E298">
        <v>8</v>
      </c>
      <c r="F298">
        <v>12</v>
      </c>
      <c r="G298">
        <v>0</v>
      </c>
      <c r="H298">
        <f t="shared" si="111"/>
        <v>1</v>
      </c>
      <c r="I298">
        <f t="shared" si="103"/>
        <v>1</v>
      </c>
      <c r="J298">
        <f t="shared" si="104"/>
        <v>13</v>
      </c>
      <c r="K298">
        <f t="shared" si="105"/>
        <v>1.0999999999999996</v>
      </c>
      <c r="L298">
        <f t="shared" si="109"/>
        <v>12.75</v>
      </c>
      <c r="M298">
        <f t="shared" si="97"/>
        <v>0.32786885245901642</v>
      </c>
      <c r="N298">
        <v>21</v>
      </c>
      <c r="O298">
        <f t="shared" si="106"/>
        <v>5.5</v>
      </c>
      <c r="P298">
        <f t="shared" si="107"/>
        <v>1155</v>
      </c>
      <c r="Q298">
        <f t="shared" si="108"/>
        <v>0.65213114754098356</v>
      </c>
      <c r="R298">
        <f t="shared" si="110"/>
        <v>9.3622950819672113</v>
      </c>
    </row>
    <row r="299" spans="1:18" x14ac:dyDescent="0.3">
      <c r="A299" t="s">
        <v>1</v>
      </c>
      <c r="B299" s="1">
        <v>45094</v>
      </c>
      <c r="C299" t="s">
        <v>8</v>
      </c>
      <c r="D299" t="s">
        <v>10</v>
      </c>
      <c r="E299">
        <v>8</v>
      </c>
      <c r="F299">
        <v>11.9</v>
      </c>
      <c r="G299">
        <v>0</v>
      </c>
      <c r="H299">
        <f t="shared" si="111"/>
        <v>1.0999999999999996</v>
      </c>
      <c r="I299">
        <f t="shared" si="103"/>
        <v>1.0999999999999996</v>
      </c>
      <c r="J299">
        <f t="shared" si="104"/>
        <v>13</v>
      </c>
      <c r="K299">
        <f t="shared" si="105"/>
        <v>0.59999999999999964</v>
      </c>
      <c r="L299">
        <f t="shared" si="109"/>
        <v>13.35</v>
      </c>
      <c r="M299">
        <f t="shared" si="97"/>
        <v>0.32786885245901642</v>
      </c>
      <c r="N299">
        <v>22</v>
      </c>
      <c r="O299">
        <f t="shared" si="106"/>
        <v>5.5</v>
      </c>
      <c r="P299">
        <f t="shared" si="107"/>
        <v>1155</v>
      </c>
      <c r="Q299">
        <f t="shared" si="108"/>
        <v>0.65213114754098356</v>
      </c>
      <c r="R299">
        <f t="shared" si="110"/>
        <v>10.014426229508194</v>
      </c>
    </row>
    <row r="300" spans="1:18" x14ac:dyDescent="0.3">
      <c r="A300" t="s">
        <v>2</v>
      </c>
      <c r="B300" s="1">
        <v>45095</v>
      </c>
      <c r="C300" t="s">
        <v>8</v>
      </c>
      <c r="D300" t="s">
        <v>10</v>
      </c>
      <c r="E300">
        <v>8</v>
      </c>
      <c r="F300">
        <v>12.4</v>
      </c>
      <c r="G300">
        <v>0</v>
      </c>
      <c r="H300">
        <f t="shared" si="111"/>
        <v>0.59999999999999964</v>
      </c>
      <c r="I300">
        <f t="shared" si="103"/>
        <v>0.59999999999999964</v>
      </c>
      <c r="J300">
        <f t="shared" si="104"/>
        <v>13</v>
      </c>
      <c r="K300">
        <f t="shared" si="105"/>
        <v>1</v>
      </c>
      <c r="L300">
        <f t="shared" si="109"/>
        <v>14.35</v>
      </c>
      <c r="M300">
        <f t="shared" si="97"/>
        <v>0.32786885245901642</v>
      </c>
      <c r="N300">
        <v>23</v>
      </c>
      <c r="O300">
        <f t="shared" si="106"/>
        <v>5.5</v>
      </c>
      <c r="P300">
        <f t="shared" si="107"/>
        <v>1155</v>
      </c>
      <c r="Q300">
        <f t="shared" si="108"/>
        <v>0.65213114754098356</v>
      </c>
      <c r="R300">
        <f t="shared" si="110"/>
        <v>10.666557377049177</v>
      </c>
    </row>
    <row r="301" spans="1:18" x14ac:dyDescent="0.3">
      <c r="A301" t="s">
        <v>3</v>
      </c>
      <c r="B301" s="1">
        <v>45096</v>
      </c>
      <c r="C301" t="s">
        <v>8</v>
      </c>
      <c r="D301" t="s">
        <v>10</v>
      </c>
      <c r="E301">
        <v>8</v>
      </c>
      <c r="F301">
        <v>12</v>
      </c>
      <c r="G301">
        <v>0.5</v>
      </c>
      <c r="H301">
        <f t="shared" si="111"/>
        <v>0.5</v>
      </c>
      <c r="I301">
        <f t="shared" si="103"/>
        <v>1</v>
      </c>
      <c r="J301">
        <f t="shared" si="104"/>
        <v>13</v>
      </c>
      <c r="K301">
        <f t="shared" si="105"/>
        <v>1</v>
      </c>
      <c r="L301">
        <f t="shared" si="109"/>
        <v>15.35</v>
      </c>
      <c r="M301">
        <f t="shared" si="97"/>
        <v>0.32786885245901642</v>
      </c>
      <c r="N301">
        <v>24</v>
      </c>
      <c r="O301">
        <f t="shared" si="106"/>
        <v>6</v>
      </c>
      <c r="P301">
        <f t="shared" si="107"/>
        <v>1260</v>
      </c>
      <c r="Q301">
        <f t="shared" si="108"/>
        <v>0.65213114754098356</v>
      </c>
      <c r="R301">
        <f t="shared" si="110"/>
        <v>11.31868852459016</v>
      </c>
    </row>
    <row r="302" spans="1:18" x14ac:dyDescent="0.3">
      <c r="A302" t="s">
        <v>4</v>
      </c>
      <c r="B302" s="1">
        <v>45097</v>
      </c>
      <c r="C302" t="s">
        <v>8</v>
      </c>
      <c r="D302" t="s">
        <v>10</v>
      </c>
      <c r="E302">
        <v>8</v>
      </c>
      <c r="F302">
        <v>12</v>
      </c>
      <c r="G302">
        <v>0</v>
      </c>
      <c r="H302">
        <f>12.1-F302-G302</f>
        <v>9.9999999999999645E-2</v>
      </c>
      <c r="I302">
        <f t="shared" si="103"/>
        <v>9.9999999999999645E-2</v>
      </c>
      <c r="J302">
        <f t="shared" si="104"/>
        <v>12.1</v>
      </c>
      <c r="K302">
        <f t="shared" si="105"/>
        <v>0.69999999999999929</v>
      </c>
      <c r="L302">
        <f>L301+K302</f>
        <v>16.049999999999997</v>
      </c>
      <c r="M302">
        <f t="shared" si="97"/>
        <v>0.18032786885245897</v>
      </c>
      <c r="N302">
        <v>25</v>
      </c>
      <c r="O302">
        <f t="shared" si="106"/>
        <v>6</v>
      </c>
      <c r="P302">
        <f t="shared" si="107"/>
        <v>1260</v>
      </c>
      <c r="Q302">
        <f t="shared" si="108"/>
        <v>0.79967213114754099</v>
      </c>
      <c r="R302">
        <f t="shared" si="110"/>
        <v>12.1183606557377</v>
      </c>
    </row>
    <row r="303" spans="1:18" x14ac:dyDescent="0.3">
      <c r="A303" t="s">
        <v>5</v>
      </c>
      <c r="B303" s="1">
        <v>45098</v>
      </c>
      <c r="C303" t="s">
        <v>8</v>
      </c>
      <c r="D303" t="s">
        <v>10</v>
      </c>
      <c r="E303">
        <v>8</v>
      </c>
      <c r="F303">
        <v>11.4</v>
      </c>
      <c r="G303">
        <v>0</v>
      </c>
      <c r="H303">
        <f>12.1-F303-G303</f>
        <v>0.69999999999999929</v>
      </c>
      <c r="I303">
        <f t="shared" si="103"/>
        <v>0.69999999999999929</v>
      </c>
      <c r="J303">
        <f t="shared" si="104"/>
        <v>12.1</v>
      </c>
      <c r="K303">
        <f t="shared" si="105"/>
        <v>0.90000000000000036</v>
      </c>
      <c r="L303">
        <f t="shared" ref="L303:L318" si="112">L302+K303</f>
        <v>16.949999999999996</v>
      </c>
      <c r="M303">
        <f t="shared" si="97"/>
        <v>0.18032786885245897</v>
      </c>
      <c r="N303">
        <v>26</v>
      </c>
      <c r="O303">
        <f t="shared" si="106"/>
        <v>6</v>
      </c>
      <c r="P303">
        <f t="shared" si="107"/>
        <v>1260</v>
      </c>
      <c r="Q303">
        <f t="shared" si="108"/>
        <v>0.79967213114754099</v>
      </c>
      <c r="R303">
        <f t="shared" si="110"/>
        <v>12.918032786885242</v>
      </c>
    </row>
    <row r="304" spans="1:18" x14ac:dyDescent="0.3">
      <c r="A304" t="s">
        <v>6</v>
      </c>
      <c r="B304" s="1">
        <v>45099</v>
      </c>
      <c r="C304" t="s">
        <v>8</v>
      </c>
      <c r="D304" t="s">
        <v>10</v>
      </c>
      <c r="E304">
        <v>8</v>
      </c>
      <c r="F304">
        <v>11.2</v>
      </c>
      <c r="G304">
        <v>0.5</v>
      </c>
      <c r="H304">
        <f>12.2-F304-G304</f>
        <v>0.5</v>
      </c>
      <c r="I304">
        <f t="shared" si="103"/>
        <v>1</v>
      </c>
      <c r="J304">
        <f t="shared" si="104"/>
        <v>12.2</v>
      </c>
      <c r="K304">
        <f t="shared" si="105"/>
        <v>0.69999999999999929</v>
      </c>
      <c r="L304">
        <f t="shared" si="112"/>
        <v>17.649999999999995</v>
      </c>
      <c r="M304">
        <f t="shared" si="97"/>
        <v>0.19672131147540972</v>
      </c>
      <c r="N304">
        <v>27</v>
      </c>
      <c r="O304">
        <f t="shared" si="106"/>
        <v>6.5</v>
      </c>
      <c r="P304">
        <f t="shared" si="107"/>
        <v>1365</v>
      </c>
      <c r="Q304">
        <f t="shared" si="108"/>
        <v>0.78327868852459026</v>
      </c>
      <c r="R304">
        <f t="shared" si="110"/>
        <v>13.701311475409831</v>
      </c>
    </row>
    <row r="305" spans="1:18" x14ac:dyDescent="0.3">
      <c r="A305" t="s">
        <v>0</v>
      </c>
      <c r="B305" s="1">
        <v>45100</v>
      </c>
      <c r="C305" t="s">
        <v>8</v>
      </c>
      <c r="D305" t="s">
        <v>10</v>
      </c>
      <c r="E305">
        <v>8</v>
      </c>
      <c r="F305">
        <v>11.5</v>
      </c>
      <c r="G305">
        <v>0</v>
      </c>
      <c r="H305">
        <f t="shared" ref="H305:H306" si="113">12.2-F305-G305</f>
        <v>0.69999999999999929</v>
      </c>
      <c r="I305">
        <f t="shared" si="103"/>
        <v>0.69999999999999929</v>
      </c>
      <c r="J305">
        <f t="shared" si="104"/>
        <v>12.2</v>
      </c>
      <c r="K305">
        <f t="shared" si="105"/>
        <v>0.79999999999999893</v>
      </c>
      <c r="L305">
        <f t="shared" si="112"/>
        <v>18.449999999999996</v>
      </c>
      <c r="M305">
        <f t="shared" si="97"/>
        <v>0.19672131147540972</v>
      </c>
      <c r="N305">
        <v>28</v>
      </c>
      <c r="O305">
        <f t="shared" si="106"/>
        <v>6.5</v>
      </c>
      <c r="P305">
        <f t="shared" si="107"/>
        <v>1365</v>
      </c>
      <c r="Q305">
        <f t="shared" si="108"/>
        <v>0.78327868852459026</v>
      </c>
      <c r="R305">
        <f t="shared" si="110"/>
        <v>14.484590163934421</v>
      </c>
    </row>
    <row r="306" spans="1:18" x14ac:dyDescent="0.3">
      <c r="A306" t="s">
        <v>1</v>
      </c>
      <c r="B306" s="1">
        <v>45101</v>
      </c>
      <c r="C306" t="s">
        <v>8</v>
      </c>
      <c r="D306" t="s">
        <v>10</v>
      </c>
      <c r="E306">
        <v>8</v>
      </c>
      <c r="F306">
        <v>11.4</v>
      </c>
      <c r="G306">
        <v>0</v>
      </c>
      <c r="H306">
        <f t="shared" si="113"/>
        <v>0.79999999999999893</v>
      </c>
      <c r="I306">
        <f t="shared" si="103"/>
        <v>0.79999999999999893</v>
      </c>
      <c r="J306">
        <f t="shared" si="104"/>
        <v>12.2</v>
      </c>
      <c r="K306">
        <f t="shared" si="105"/>
        <v>0.89999999999999858</v>
      </c>
      <c r="L306">
        <f t="shared" si="112"/>
        <v>19.349999999999994</v>
      </c>
      <c r="M306">
        <f t="shared" si="97"/>
        <v>0.19672131147540972</v>
      </c>
      <c r="N306">
        <v>29</v>
      </c>
      <c r="O306">
        <f t="shared" si="106"/>
        <v>6.5</v>
      </c>
      <c r="P306">
        <f t="shared" si="107"/>
        <v>1365</v>
      </c>
      <c r="Q306">
        <f t="shared" si="108"/>
        <v>0.78327868852459026</v>
      </c>
      <c r="R306">
        <f>R305+Q306</f>
        <v>15.26786885245901</v>
      </c>
    </row>
    <row r="307" spans="1:18" x14ac:dyDescent="0.3">
      <c r="A307" t="s">
        <v>2</v>
      </c>
      <c r="B307" s="1">
        <v>45102</v>
      </c>
      <c r="C307" t="s">
        <v>8</v>
      </c>
      <c r="D307" t="s">
        <v>10</v>
      </c>
      <c r="E307">
        <v>8</v>
      </c>
      <c r="F307">
        <v>11.3</v>
      </c>
      <c r="G307">
        <v>0</v>
      </c>
      <c r="H307">
        <f>12.1-F307-G307</f>
        <v>0.79999999999999893</v>
      </c>
      <c r="I307">
        <f t="shared" si="103"/>
        <v>0.79999999999999893</v>
      </c>
      <c r="J307">
        <f t="shared" si="104"/>
        <v>12.1</v>
      </c>
      <c r="K307">
        <f t="shared" si="105"/>
        <v>1</v>
      </c>
      <c r="L307">
        <f t="shared" si="112"/>
        <v>20.349999999999994</v>
      </c>
      <c r="M307">
        <f t="shared" si="97"/>
        <v>0.18032786885245897</v>
      </c>
      <c r="N307">
        <v>30</v>
      </c>
      <c r="O307">
        <f t="shared" si="106"/>
        <v>6.5</v>
      </c>
      <c r="P307">
        <f t="shared" si="107"/>
        <v>1365</v>
      </c>
      <c r="Q307">
        <f t="shared" si="108"/>
        <v>0.79967213114754099</v>
      </c>
      <c r="R307">
        <f t="shared" ref="R307:R315" si="114">R306+Q307</f>
        <v>16.067540983606552</v>
      </c>
    </row>
    <row r="308" spans="1:18" x14ac:dyDescent="0.3">
      <c r="A308" t="s">
        <v>3</v>
      </c>
      <c r="B308" s="1">
        <v>45103</v>
      </c>
      <c r="C308" t="s">
        <v>8</v>
      </c>
      <c r="D308" t="s">
        <v>10</v>
      </c>
      <c r="E308">
        <v>8</v>
      </c>
      <c r="F308">
        <v>11.1</v>
      </c>
      <c r="G308">
        <v>0.5</v>
      </c>
      <c r="H308">
        <f t="shared" ref="H308:H311" si="115">12.1-F308-G308</f>
        <v>0.5</v>
      </c>
      <c r="I308">
        <f t="shared" si="103"/>
        <v>1</v>
      </c>
      <c r="J308">
        <f t="shared" si="104"/>
        <v>12.1</v>
      </c>
      <c r="K308">
        <f t="shared" si="105"/>
        <v>0.59999999999999964</v>
      </c>
      <c r="L308">
        <f t="shared" si="112"/>
        <v>20.949999999999996</v>
      </c>
      <c r="M308">
        <f t="shared" si="97"/>
        <v>0.18032786885245897</v>
      </c>
      <c r="N308">
        <v>31</v>
      </c>
      <c r="O308">
        <f t="shared" si="106"/>
        <v>7</v>
      </c>
      <c r="P308">
        <f t="shared" si="107"/>
        <v>1470</v>
      </c>
      <c r="Q308">
        <f t="shared" si="108"/>
        <v>0.79967213114754099</v>
      </c>
      <c r="R308">
        <f t="shared" si="114"/>
        <v>16.867213114754094</v>
      </c>
    </row>
    <row r="309" spans="1:18" x14ac:dyDescent="0.3">
      <c r="A309" t="s">
        <v>4</v>
      </c>
      <c r="B309" s="1">
        <v>45104</v>
      </c>
      <c r="C309" t="s">
        <v>8</v>
      </c>
      <c r="D309" t="s">
        <v>10</v>
      </c>
      <c r="E309">
        <v>8</v>
      </c>
      <c r="F309">
        <v>11.5</v>
      </c>
      <c r="G309">
        <v>0</v>
      </c>
      <c r="H309">
        <f t="shared" si="115"/>
        <v>0.59999999999999964</v>
      </c>
      <c r="I309">
        <f t="shared" si="103"/>
        <v>0.59999999999999964</v>
      </c>
      <c r="J309">
        <f t="shared" si="104"/>
        <v>12.1</v>
      </c>
      <c r="K309">
        <f t="shared" si="105"/>
        <v>0.90000000000000036</v>
      </c>
      <c r="L309">
        <f t="shared" si="112"/>
        <v>21.849999999999994</v>
      </c>
      <c r="M309">
        <f t="shared" si="97"/>
        <v>0.18032786885245897</v>
      </c>
      <c r="N309">
        <v>32</v>
      </c>
      <c r="O309">
        <f t="shared" si="106"/>
        <v>7</v>
      </c>
      <c r="P309">
        <f t="shared" si="107"/>
        <v>1470</v>
      </c>
      <c r="Q309">
        <f t="shared" si="108"/>
        <v>0.79967213114754099</v>
      </c>
      <c r="R309">
        <f t="shared" si="114"/>
        <v>17.666885245901636</v>
      </c>
    </row>
    <row r="310" spans="1:18" x14ac:dyDescent="0.3">
      <c r="A310" t="s">
        <v>5</v>
      </c>
      <c r="B310" s="1">
        <v>45105</v>
      </c>
      <c r="C310" t="s">
        <v>8</v>
      </c>
      <c r="D310" t="s">
        <v>10</v>
      </c>
      <c r="E310">
        <v>8</v>
      </c>
      <c r="F310">
        <v>11.2</v>
      </c>
      <c r="G310">
        <v>0</v>
      </c>
      <c r="H310">
        <f>12.1-F310-G310</f>
        <v>0.90000000000000036</v>
      </c>
      <c r="I310">
        <f t="shared" si="103"/>
        <v>0.90000000000000036</v>
      </c>
      <c r="J310">
        <f t="shared" si="104"/>
        <v>12.1</v>
      </c>
      <c r="K310">
        <f t="shared" si="105"/>
        <v>0.90000000000000036</v>
      </c>
      <c r="L310">
        <f t="shared" si="112"/>
        <v>22.749999999999993</v>
      </c>
      <c r="M310">
        <f t="shared" si="97"/>
        <v>0.18032786885245897</v>
      </c>
      <c r="N310">
        <v>33</v>
      </c>
      <c r="O310">
        <f t="shared" si="106"/>
        <v>7</v>
      </c>
      <c r="P310">
        <f t="shared" si="107"/>
        <v>1470</v>
      </c>
      <c r="Q310">
        <f t="shared" si="108"/>
        <v>0.79967213114754099</v>
      </c>
      <c r="R310">
        <f t="shared" si="114"/>
        <v>18.466557377049178</v>
      </c>
    </row>
    <row r="311" spans="1:18" x14ac:dyDescent="0.3">
      <c r="A311" t="s">
        <v>6</v>
      </c>
      <c r="B311" s="1">
        <v>45106</v>
      </c>
      <c r="C311" t="s">
        <v>8</v>
      </c>
      <c r="D311" t="s">
        <v>10</v>
      </c>
      <c r="E311">
        <v>8</v>
      </c>
      <c r="F311">
        <v>11.2</v>
      </c>
      <c r="G311">
        <v>0.5</v>
      </c>
      <c r="H311">
        <f t="shared" si="115"/>
        <v>0.40000000000000036</v>
      </c>
      <c r="I311">
        <f t="shared" si="103"/>
        <v>0.90000000000000036</v>
      </c>
      <c r="J311">
        <f t="shared" si="104"/>
        <v>12.1</v>
      </c>
      <c r="K311">
        <f t="shared" si="105"/>
        <v>0.90000000000000036</v>
      </c>
      <c r="L311">
        <f t="shared" si="112"/>
        <v>23.649999999999991</v>
      </c>
      <c r="M311">
        <f t="shared" si="97"/>
        <v>0.18032786885245897</v>
      </c>
      <c r="N311">
        <v>34</v>
      </c>
      <c r="O311">
        <f t="shared" si="106"/>
        <v>7.5</v>
      </c>
      <c r="P311">
        <f t="shared" si="107"/>
        <v>1575</v>
      </c>
      <c r="Q311">
        <f t="shared" si="108"/>
        <v>0.79967213114754099</v>
      </c>
      <c r="R311">
        <f t="shared" si="114"/>
        <v>19.266229508196719</v>
      </c>
    </row>
    <row r="312" spans="1:18" x14ac:dyDescent="0.3">
      <c r="A312" t="s">
        <v>0</v>
      </c>
      <c r="B312" s="1">
        <v>45107</v>
      </c>
      <c r="C312" t="s">
        <v>8</v>
      </c>
      <c r="D312" t="s">
        <v>10</v>
      </c>
      <c r="E312">
        <v>8</v>
      </c>
      <c r="F312">
        <v>11.2</v>
      </c>
      <c r="G312">
        <v>0</v>
      </c>
      <c r="H312">
        <v>5</v>
      </c>
      <c r="I312">
        <f t="shared" si="103"/>
        <v>5</v>
      </c>
      <c r="J312">
        <f t="shared" si="104"/>
        <v>16.2</v>
      </c>
      <c r="K312">
        <f t="shared" si="105"/>
        <v>0.39999999999999858</v>
      </c>
      <c r="L312">
        <f t="shared" si="112"/>
        <v>24.04999999999999</v>
      </c>
      <c r="M312">
        <f t="shared" si="97"/>
        <v>0.85245901639344257</v>
      </c>
      <c r="N312">
        <v>35</v>
      </c>
      <c r="O312">
        <f t="shared" si="106"/>
        <v>7.5</v>
      </c>
      <c r="P312">
        <f t="shared" si="107"/>
        <v>1575</v>
      </c>
      <c r="Q312">
        <f t="shared" si="108"/>
        <v>0.12754098360655741</v>
      </c>
      <c r="R312">
        <f t="shared" si="114"/>
        <v>19.393770491803277</v>
      </c>
    </row>
    <row r="313" spans="1:18" x14ac:dyDescent="0.3">
      <c r="A313" t="s">
        <v>1</v>
      </c>
      <c r="B313" s="1">
        <v>45108</v>
      </c>
      <c r="C313" t="s">
        <v>8</v>
      </c>
      <c r="D313" t="s">
        <v>10</v>
      </c>
      <c r="E313">
        <v>8</v>
      </c>
      <c r="F313">
        <v>15.8</v>
      </c>
      <c r="G313">
        <v>0</v>
      </c>
      <c r="H313">
        <v>0</v>
      </c>
      <c r="I313">
        <f t="shared" si="103"/>
        <v>0</v>
      </c>
      <c r="J313">
        <f t="shared" si="104"/>
        <v>15.8</v>
      </c>
      <c r="K313">
        <f t="shared" si="105"/>
        <v>0.30000000000000071</v>
      </c>
      <c r="L313">
        <f t="shared" si="112"/>
        <v>24.349999999999991</v>
      </c>
      <c r="M313">
        <f t="shared" si="97"/>
        <v>0.78688524590163955</v>
      </c>
      <c r="N313">
        <v>36</v>
      </c>
      <c r="O313">
        <f t="shared" si="106"/>
        <v>7.5</v>
      </c>
      <c r="P313">
        <f t="shared" si="107"/>
        <v>1575</v>
      </c>
      <c r="Q313">
        <f t="shared" si="108"/>
        <v>0.19311475409836043</v>
      </c>
      <c r="R313">
        <f t="shared" si="114"/>
        <v>19.586885245901637</v>
      </c>
    </row>
    <row r="314" spans="1:18" x14ac:dyDescent="0.3">
      <c r="A314" t="s">
        <v>2</v>
      </c>
      <c r="B314" s="1">
        <v>45109</v>
      </c>
      <c r="C314" t="s">
        <v>8</v>
      </c>
      <c r="D314" t="s">
        <v>10</v>
      </c>
      <c r="E314">
        <v>8</v>
      </c>
      <c r="F314">
        <v>15.5</v>
      </c>
      <c r="G314">
        <v>0</v>
      </c>
      <c r="H314">
        <v>0</v>
      </c>
      <c r="I314">
        <f t="shared" si="103"/>
        <v>0</v>
      </c>
      <c r="J314">
        <f t="shared" si="104"/>
        <v>15.5</v>
      </c>
      <c r="K314">
        <f t="shared" si="105"/>
        <v>0.69999999999999929</v>
      </c>
      <c r="L314">
        <f t="shared" si="112"/>
        <v>25.04999999999999</v>
      </c>
      <c r="M314">
        <f t="shared" si="97"/>
        <v>0.73770491803278693</v>
      </c>
      <c r="N314">
        <v>37</v>
      </c>
      <c r="O314">
        <f t="shared" si="106"/>
        <v>7.5</v>
      </c>
      <c r="P314">
        <f t="shared" si="107"/>
        <v>1575</v>
      </c>
      <c r="Q314">
        <f t="shared" si="108"/>
        <v>0.24229508196721306</v>
      </c>
      <c r="R314">
        <f t="shared" si="114"/>
        <v>19.829180327868851</v>
      </c>
    </row>
    <row r="315" spans="1:18" x14ac:dyDescent="0.3">
      <c r="A315" t="s">
        <v>3</v>
      </c>
      <c r="B315" s="1">
        <v>45110</v>
      </c>
      <c r="C315" t="s">
        <v>8</v>
      </c>
      <c r="D315" t="s">
        <v>10</v>
      </c>
      <c r="E315">
        <v>8</v>
      </c>
      <c r="F315">
        <v>14.8</v>
      </c>
      <c r="G315">
        <v>0.5</v>
      </c>
      <c r="H315">
        <v>0</v>
      </c>
      <c r="I315">
        <f t="shared" si="103"/>
        <v>0.5</v>
      </c>
      <c r="J315">
        <f t="shared" si="104"/>
        <v>15.3</v>
      </c>
      <c r="K315">
        <f t="shared" si="105"/>
        <v>0.90000000000000036</v>
      </c>
      <c r="L315">
        <f t="shared" si="112"/>
        <v>25.949999999999989</v>
      </c>
      <c r="M315">
        <f t="shared" si="97"/>
        <v>0.70491803278688536</v>
      </c>
      <c r="N315">
        <v>38</v>
      </c>
      <c r="O315">
        <f t="shared" si="106"/>
        <v>8</v>
      </c>
      <c r="P315">
        <f t="shared" si="107"/>
        <v>1680</v>
      </c>
      <c r="Q315">
        <f t="shared" si="108"/>
        <v>0.27508196721311462</v>
      </c>
      <c r="R315">
        <f t="shared" si="114"/>
        <v>20.104262295081966</v>
      </c>
    </row>
    <row r="316" spans="1:18" x14ac:dyDescent="0.3">
      <c r="A316" t="s">
        <v>4</v>
      </c>
      <c r="B316" s="1">
        <v>45111</v>
      </c>
      <c r="C316" t="s">
        <v>8</v>
      </c>
      <c r="D316" t="s">
        <v>10</v>
      </c>
      <c r="E316">
        <v>8</v>
      </c>
      <c r="F316">
        <v>14.4</v>
      </c>
      <c r="G316">
        <v>0</v>
      </c>
      <c r="H316">
        <v>0</v>
      </c>
      <c r="I316">
        <f t="shared" si="103"/>
        <v>0</v>
      </c>
      <c r="J316">
        <f t="shared" si="104"/>
        <v>14.4</v>
      </c>
      <c r="K316">
        <f t="shared" si="105"/>
        <v>1</v>
      </c>
      <c r="L316">
        <f t="shared" si="112"/>
        <v>26.949999999999989</v>
      </c>
      <c r="M316">
        <f t="shared" si="97"/>
        <v>0.55737704918032793</v>
      </c>
      <c r="N316">
        <v>39</v>
      </c>
      <c r="O316">
        <f t="shared" si="106"/>
        <v>8</v>
      </c>
      <c r="P316">
        <f t="shared" si="107"/>
        <v>1680</v>
      </c>
      <c r="Q316">
        <f t="shared" si="108"/>
        <v>0.42262295081967205</v>
      </c>
      <c r="R316">
        <f t="shared" ref="R316:R318" si="116">R315+Q316</f>
        <v>20.526885245901639</v>
      </c>
    </row>
    <row r="317" spans="1:18" x14ac:dyDescent="0.3">
      <c r="A317" t="s">
        <v>5</v>
      </c>
      <c r="B317" s="1">
        <v>45112</v>
      </c>
      <c r="C317" t="s">
        <v>8</v>
      </c>
      <c r="D317" t="s">
        <v>10</v>
      </c>
      <c r="E317">
        <v>8</v>
      </c>
      <c r="F317">
        <v>13.4</v>
      </c>
      <c r="G317">
        <v>0</v>
      </c>
      <c r="H317">
        <v>0</v>
      </c>
      <c r="I317">
        <f t="shared" si="103"/>
        <v>0</v>
      </c>
      <c r="J317">
        <f t="shared" si="104"/>
        <v>13.4</v>
      </c>
      <c r="K317">
        <f t="shared" si="105"/>
        <v>1</v>
      </c>
      <c r="L317">
        <f t="shared" si="112"/>
        <v>27.949999999999989</v>
      </c>
      <c r="M317">
        <f t="shared" si="97"/>
        <v>0.39344262295081978</v>
      </c>
      <c r="N317">
        <v>40</v>
      </c>
      <c r="O317">
        <f t="shared" si="106"/>
        <v>8</v>
      </c>
      <c r="P317">
        <f t="shared" si="107"/>
        <v>1680</v>
      </c>
      <c r="Q317">
        <f t="shared" si="108"/>
        <v>0.58655737704918021</v>
      </c>
      <c r="R317">
        <f t="shared" si="116"/>
        <v>21.113442622950817</v>
      </c>
    </row>
    <row r="318" spans="1:18" x14ac:dyDescent="0.3">
      <c r="A318" t="s">
        <v>6</v>
      </c>
      <c r="B318" s="1">
        <v>45113</v>
      </c>
      <c r="C318" t="s">
        <v>8</v>
      </c>
      <c r="D318" t="s">
        <v>10</v>
      </c>
      <c r="E318">
        <v>8</v>
      </c>
      <c r="F318">
        <v>12.4</v>
      </c>
      <c r="G318">
        <v>0</v>
      </c>
      <c r="H318">
        <v>0</v>
      </c>
      <c r="I318">
        <f t="shared" si="103"/>
        <v>0</v>
      </c>
      <c r="J318">
        <f t="shared" si="104"/>
        <v>12.4</v>
      </c>
      <c r="K318">
        <f t="shared" si="105"/>
        <v>0.80000000000000071</v>
      </c>
      <c r="L318">
        <f t="shared" si="112"/>
        <v>28.749999999999989</v>
      </c>
      <c r="M318">
        <f t="shared" si="97"/>
        <v>0.22950819672131154</v>
      </c>
      <c r="N318">
        <v>41</v>
      </c>
      <c r="O318">
        <f t="shared" si="106"/>
        <v>8</v>
      </c>
      <c r="P318">
        <f t="shared" si="107"/>
        <v>1680</v>
      </c>
      <c r="Q318">
        <f t="shared" si="108"/>
        <v>0.75049180327868847</v>
      </c>
      <c r="R318">
        <f t="shared" si="116"/>
        <v>21.863934426229505</v>
      </c>
    </row>
    <row r="319" spans="1:18" x14ac:dyDescent="0.3">
      <c r="A319" t="s">
        <v>0</v>
      </c>
      <c r="B319" s="1">
        <v>45114</v>
      </c>
      <c r="C319" t="s">
        <v>8</v>
      </c>
      <c r="D319" t="s">
        <v>10</v>
      </c>
      <c r="E319">
        <v>8</v>
      </c>
      <c r="F319">
        <v>11.6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471E-6A23-442C-A65B-7A5F1FD810CC}">
  <dimension ref="A1:R313"/>
  <sheetViews>
    <sheetView topLeftCell="B292" workbookViewId="0">
      <selection activeCell="B2" sqref="A2:XFD313"/>
    </sheetView>
  </sheetViews>
  <sheetFormatPr defaultRowHeight="14.4" x14ac:dyDescent="0.3"/>
  <cols>
    <col min="1" max="1" width="10.44140625" bestFit="1" customWidth="1"/>
    <col min="2" max="2" width="8.33203125" bestFit="1" customWidth="1"/>
    <col min="3" max="3" width="5" bestFit="1" customWidth="1"/>
    <col min="4" max="4" width="10.5546875" bestFit="1" customWidth="1"/>
    <col min="5" max="5" width="7.5546875" bestFit="1" customWidth="1"/>
    <col min="6" max="6" width="5.44140625" bestFit="1" customWidth="1"/>
    <col min="7" max="7" width="8.5546875" bestFit="1" customWidth="1"/>
    <col min="8" max="8" width="6.88671875" bestFit="1" customWidth="1"/>
    <col min="9" max="9" width="5" bestFit="1" customWidth="1"/>
    <col min="10" max="10" width="6" bestFit="1" customWidth="1"/>
    <col min="11" max="11" width="18.33203125" bestFit="1" customWidth="1"/>
    <col min="12" max="12" width="19.44140625" bestFit="1" customWidth="1"/>
    <col min="13" max="13" width="12" bestFit="1" customWidth="1"/>
    <col min="14" max="14" width="4.5546875" bestFit="1" customWidth="1"/>
    <col min="15" max="15" width="14.44140625" bestFit="1" customWidth="1"/>
    <col min="16" max="16" width="16" bestFit="1" customWidth="1"/>
  </cols>
  <sheetData>
    <row r="1" spans="1:18" x14ac:dyDescent="0.3">
      <c r="A1" t="s">
        <v>12</v>
      </c>
      <c r="B1" t="s">
        <v>9</v>
      </c>
      <c r="C1" t="s">
        <v>13</v>
      </c>
      <c r="D1" t="s">
        <v>17</v>
      </c>
      <c r="E1" t="s">
        <v>62</v>
      </c>
      <c r="F1" t="s">
        <v>81</v>
      </c>
      <c r="G1" s="5" t="s">
        <v>84</v>
      </c>
      <c r="H1" t="s">
        <v>83</v>
      </c>
      <c r="I1" t="s">
        <v>85</v>
      </c>
      <c r="J1" t="s">
        <v>19</v>
      </c>
      <c r="K1" t="s">
        <v>20</v>
      </c>
      <c r="L1" t="s">
        <v>21</v>
      </c>
      <c r="M1" s="4" t="s">
        <v>35</v>
      </c>
      <c r="N1" t="s">
        <v>15</v>
      </c>
      <c r="O1" s="4" t="s">
        <v>23</v>
      </c>
      <c r="P1" s="4" t="s">
        <v>16</v>
      </c>
      <c r="Q1" s="4" t="s">
        <v>75</v>
      </c>
      <c r="R1" s="4" t="s">
        <v>76</v>
      </c>
    </row>
    <row r="2" spans="1:18" x14ac:dyDescent="0.3">
      <c r="A2" t="s">
        <v>1</v>
      </c>
      <c r="B2" s="1">
        <v>45073</v>
      </c>
      <c r="C2" t="s">
        <v>7</v>
      </c>
      <c r="D2" t="s">
        <v>14</v>
      </c>
      <c r="E2">
        <v>1</v>
      </c>
      <c r="F2">
        <v>17</v>
      </c>
      <c r="G2">
        <v>0</v>
      </c>
      <c r="H2">
        <f>17-F2-G2</f>
        <v>0</v>
      </c>
      <c r="I2">
        <f>H2+G2</f>
        <v>0</v>
      </c>
      <c r="J2">
        <f>I2+F2</f>
        <v>17</v>
      </c>
      <c r="K2">
        <f>J2-F3</f>
        <v>0.19999999999999929</v>
      </c>
      <c r="M2">
        <f>(J2-11)/6.1</f>
        <v>0.98360655737704927</v>
      </c>
      <c r="N2">
        <v>1</v>
      </c>
      <c r="O2">
        <v>2.5</v>
      </c>
      <c r="P2">
        <f>O2*70</f>
        <v>175</v>
      </c>
      <c r="Q2">
        <f>M2-M2</f>
        <v>0</v>
      </c>
      <c r="R2">
        <v>0</v>
      </c>
    </row>
    <row r="3" spans="1:18" x14ac:dyDescent="0.3">
      <c r="A3" t="s">
        <v>2</v>
      </c>
      <c r="B3" s="1">
        <v>45074</v>
      </c>
      <c r="C3" t="s">
        <v>7</v>
      </c>
      <c r="D3" t="s">
        <v>14</v>
      </c>
      <c r="E3">
        <v>1</v>
      </c>
      <c r="F3">
        <v>16.8</v>
      </c>
      <c r="G3">
        <v>0</v>
      </c>
      <c r="H3">
        <f t="shared" ref="H3:H39" si="0">17-F3-G3</f>
        <v>0.19999999999999929</v>
      </c>
      <c r="I3">
        <f>H3+G3</f>
        <v>0.19999999999999929</v>
      </c>
      <c r="J3">
        <f>I3+F3</f>
        <v>17</v>
      </c>
      <c r="K3">
        <f t="shared" ref="K3:K10" si="1">J3-F4</f>
        <v>0</v>
      </c>
      <c r="L3">
        <f>K2+K3</f>
        <v>0.19999999999999929</v>
      </c>
      <c r="M3">
        <f t="shared" ref="M3:M39" si="2">(J3-11)/6.1</f>
        <v>0.98360655737704927</v>
      </c>
      <c r="N3">
        <v>2</v>
      </c>
      <c r="O3">
        <f t="shared" ref="O3:O39" si="3">O2+G3</f>
        <v>2.5</v>
      </c>
      <c r="P3">
        <f t="shared" ref="P3:P39" si="4">O3*70</f>
        <v>175</v>
      </c>
      <c r="Q3">
        <f t="shared" ref="Q3:Q66" si="5">M3-M3</f>
        <v>0</v>
      </c>
      <c r="R3">
        <v>0</v>
      </c>
    </row>
    <row r="4" spans="1:18" x14ac:dyDescent="0.3">
      <c r="A4" t="s">
        <v>3</v>
      </c>
      <c r="B4" s="1">
        <v>45075</v>
      </c>
      <c r="C4" t="s">
        <v>7</v>
      </c>
      <c r="D4" t="s">
        <v>14</v>
      </c>
      <c r="E4">
        <v>1</v>
      </c>
      <c r="F4">
        <v>17</v>
      </c>
      <c r="G4">
        <v>0.25</v>
      </c>
      <c r="H4">
        <v>0</v>
      </c>
      <c r="I4">
        <f>H4+G4</f>
        <v>0.25</v>
      </c>
      <c r="J4">
        <f>I4+F4</f>
        <v>17.25</v>
      </c>
      <c r="K4">
        <f t="shared" si="1"/>
        <v>0.35000000000000142</v>
      </c>
      <c r="L4">
        <f>L3+K4</f>
        <v>0.55000000000000071</v>
      </c>
      <c r="M4">
        <f>(J4-11)/6.1</f>
        <v>1.0245901639344264</v>
      </c>
      <c r="N4">
        <v>3</v>
      </c>
      <c r="O4">
        <f t="shared" si="3"/>
        <v>2.75</v>
      </c>
      <c r="P4">
        <f t="shared" si="4"/>
        <v>192.5</v>
      </c>
      <c r="Q4">
        <f t="shared" si="5"/>
        <v>0</v>
      </c>
      <c r="R4">
        <v>0</v>
      </c>
    </row>
    <row r="5" spans="1:18" x14ac:dyDescent="0.3">
      <c r="A5" t="s">
        <v>4</v>
      </c>
      <c r="B5" s="1">
        <v>45076</v>
      </c>
      <c r="C5" t="s">
        <v>7</v>
      </c>
      <c r="D5" t="s">
        <v>14</v>
      </c>
      <c r="E5">
        <v>1</v>
      </c>
      <c r="F5">
        <v>16.899999999999999</v>
      </c>
      <c r="G5">
        <v>0.25</v>
      </c>
      <c r="H5">
        <v>0</v>
      </c>
      <c r="I5">
        <f t="shared" ref="I5:I39" si="6">H5+G5</f>
        <v>0.25</v>
      </c>
      <c r="J5">
        <f t="shared" ref="J5:J39" si="7">I5+F5</f>
        <v>17.149999999999999</v>
      </c>
      <c r="K5">
        <f t="shared" si="1"/>
        <v>0.25</v>
      </c>
      <c r="L5">
        <f t="shared" ref="L5:L39" si="8">L4+K5</f>
        <v>0.80000000000000071</v>
      </c>
      <c r="M5">
        <f t="shared" si="2"/>
        <v>1.0081967213114753</v>
      </c>
      <c r="N5">
        <v>4</v>
      </c>
      <c r="O5">
        <f t="shared" si="3"/>
        <v>3</v>
      </c>
      <c r="P5">
        <f t="shared" si="4"/>
        <v>210</v>
      </c>
      <c r="Q5">
        <f t="shared" si="5"/>
        <v>0</v>
      </c>
      <c r="R5">
        <v>0</v>
      </c>
    </row>
    <row r="6" spans="1:18" x14ac:dyDescent="0.3">
      <c r="A6" t="s">
        <v>5</v>
      </c>
      <c r="B6" s="1">
        <v>45077</v>
      </c>
      <c r="C6" t="s">
        <v>7</v>
      </c>
      <c r="D6" t="s">
        <v>14</v>
      </c>
      <c r="E6">
        <v>1</v>
      </c>
      <c r="F6">
        <v>16.899999999999999</v>
      </c>
      <c r="G6">
        <v>0</v>
      </c>
      <c r="H6">
        <f t="shared" si="0"/>
        <v>0.10000000000000142</v>
      </c>
      <c r="I6">
        <f t="shared" si="6"/>
        <v>0.10000000000000142</v>
      </c>
      <c r="J6">
        <f t="shared" si="7"/>
        <v>17</v>
      </c>
      <c r="K6">
        <f t="shared" si="1"/>
        <v>0.30000000000000071</v>
      </c>
      <c r="L6">
        <f t="shared" si="8"/>
        <v>1.1000000000000014</v>
      </c>
      <c r="M6">
        <f t="shared" si="2"/>
        <v>0.98360655737704927</v>
      </c>
      <c r="N6">
        <v>5</v>
      </c>
      <c r="O6">
        <f t="shared" si="3"/>
        <v>3</v>
      </c>
      <c r="P6">
        <f t="shared" si="4"/>
        <v>210</v>
      </c>
      <c r="Q6">
        <f t="shared" si="5"/>
        <v>0</v>
      </c>
      <c r="R6">
        <v>0</v>
      </c>
    </row>
    <row r="7" spans="1:18" x14ac:dyDescent="0.3">
      <c r="A7" t="s">
        <v>6</v>
      </c>
      <c r="B7" s="1">
        <v>45078</v>
      </c>
      <c r="C7" t="s">
        <v>7</v>
      </c>
      <c r="D7" t="s">
        <v>14</v>
      </c>
      <c r="E7">
        <v>1</v>
      </c>
      <c r="F7">
        <v>16.7</v>
      </c>
      <c r="G7">
        <v>0.25</v>
      </c>
      <c r="H7">
        <f t="shared" si="0"/>
        <v>5.0000000000000711E-2</v>
      </c>
      <c r="I7">
        <f t="shared" si="6"/>
        <v>0.30000000000000071</v>
      </c>
      <c r="J7">
        <f t="shared" si="7"/>
        <v>17</v>
      </c>
      <c r="K7">
        <f t="shared" si="1"/>
        <v>0.10000000000000142</v>
      </c>
      <c r="L7">
        <f t="shared" si="8"/>
        <v>1.2000000000000028</v>
      </c>
      <c r="M7">
        <f t="shared" si="2"/>
        <v>0.98360655737704927</v>
      </c>
      <c r="N7">
        <v>6</v>
      </c>
      <c r="O7">
        <f t="shared" si="3"/>
        <v>3.25</v>
      </c>
      <c r="P7">
        <f t="shared" si="4"/>
        <v>227.5</v>
      </c>
      <c r="Q7">
        <f t="shared" si="5"/>
        <v>0</v>
      </c>
      <c r="R7">
        <v>0</v>
      </c>
    </row>
    <row r="8" spans="1:18" x14ac:dyDescent="0.3">
      <c r="A8" t="s">
        <v>0</v>
      </c>
      <c r="B8" s="1">
        <v>45079</v>
      </c>
      <c r="C8" t="s">
        <v>7</v>
      </c>
      <c r="D8" t="s">
        <v>14</v>
      </c>
      <c r="E8">
        <v>1</v>
      </c>
      <c r="F8">
        <v>16.899999999999999</v>
      </c>
      <c r="G8">
        <v>0.25</v>
      </c>
      <c r="H8">
        <v>0</v>
      </c>
      <c r="I8">
        <f t="shared" si="6"/>
        <v>0.25</v>
      </c>
      <c r="J8">
        <f t="shared" si="7"/>
        <v>17.149999999999999</v>
      </c>
      <c r="K8">
        <f t="shared" si="1"/>
        <v>0.14999999999999858</v>
      </c>
      <c r="L8">
        <f t="shared" si="8"/>
        <v>1.3500000000000014</v>
      </c>
      <c r="M8">
        <f t="shared" si="2"/>
        <v>1.0081967213114753</v>
      </c>
      <c r="N8">
        <v>7</v>
      </c>
      <c r="O8">
        <f t="shared" si="3"/>
        <v>3.5</v>
      </c>
      <c r="P8">
        <f t="shared" si="4"/>
        <v>245</v>
      </c>
      <c r="Q8">
        <f t="shared" si="5"/>
        <v>0</v>
      </c>
      <c r="R8">
        <v>0</v>
      </c>
    </row>
    <row r="9" spans="1:18" x14ac:dyDescent="0.3">
      <c r="A9" t="s">
        <v>1</v>
      </c>
      <c r="B9" s="1">
        <v>45080</v>
      </c>
      <c r="C9" t="s">
        <v>7</v>
      </c>
      <c r="D9" t="s">
        <v>14</v>
      </c>
      <c r="E9">
        <v>1</v>
      </c>
      <c r="F9">
        <v>17</v>
      </c>
      <c r="G9">
        <v>0</v>
      </c>
      <c r="H9">
        <f t="shared" si="0"/>
        <v>0</v>
      </c>
      <c r="I9">
        <f t="shared" si="6"/>
        <v>0</v>
      </c>
      <c r="J9">
        <f t="shared" si="7"/>
        <v>17</v>
      </c>
      <c r="K9">
        <f t="shared" si="1"/>
        <v>0.19999999999999929</v>
      </c>
      <c r="L9">
        <f t="shared" si="8"/>
        <v>1.5500000000000007</v>
      </c>
      <c r="M9">
        <f t="shared" si="2"/>
        <v>0.98360655737704927</v>
      </c>
      <c r="N9">
        <v>8</v>
      </c>
      <c r="O9">
        <f t="shared" si="3"/>
        <v>3.5</v>
      </c>
      <c r="P9">
        <f t="shared" si="4"/>
        <v>245</v>
      </c>
      <c r="Q9">
        <f t="shared" si="5"/>
        <v>0</v>
      </c>
      <c r="R9">
        <v>0</v>
      </c>
    </row>
    <row r="10" spans="1:18" x14ac:dyDescent="0.3">
      <c r="A10" t="s">
        <v>2</v>
      </c>
      <c r="B10" s="1">
        <v>45081</v>
      </c>
      <c r="C10" t="s">
        <v>7</v>
      </c>
      <c r="D10" t="s">
        <v>14</v>
      </c>
      <c r="E10">
        <v>1</v>
      </c>
      <c r="F10">
        <v>16.8</v>
      </c>
      <c r="G10">
        <v>0</v>
      </c>
      <c r="H10">
        <f t="shared" si="0"/>
        <v>0.19999999999999929</v>
      </c>
      <c r="I10">
        <f t="shared" si="6"/>
        <v>0.19999999999999929</v>
      </c>
      <c r="J10">
        <f t="shared" si="7"/>
        <v>17</v>
      </c>
      <c r="K10">
        <f t="shared" si="1"/>
        <v>0.10000000000000142</v>
      </c>
      <c r="L10">
        <f t="shared" si="8"/>
        <v>1.6500000000000021</v>
      </c>
      <c r="M10">
        <f t="shared" si="2"/>
        <v>0.98360655737704927</v>
      </c>
      <c r="N10">
        <v>9</v>
      </c>
      <c r="O10">
        <f t="shared" si="3"/>
        <v>3.5</v>
      </c>
      <c r="P10">
        <f t="shared" si="4"/>
        <v>245</v>
      </c>
      <c r="Q10">
        <f t="shared" si="5"/>
        <v>0</v>
      </c>
      <c r="R10">
        <v>0</v>
      </c>
    </row>
    <row r="11" spans="1:18" x14ac:dyDescent="0.3">
      <c r="A11" t="s">
        <v>3</v>
      </c>
      <c r="B11" s="1">
        <v>45082</v>
      </c>
      <c r="C11" t="s">
        <v>7</v>
      </c>
      <c r="D11" t="s">
        <v>14</v>
      </c>
      <c r="E11">
        <v>1</v>
      </c>
      <c r="F11">
        <v>16.899999999999999</v>
      </c>
      <c r="G11">
        <v>0.25</v>
      </c>
      <c r="H11">
        <v>0</v>
      </c>
      <c r="I11">
        <f t="shared" si="6"/>
        <v>0.25</v>
      </c>
      <c r="J11">
        <f t="shared" si="7"/>
        <v>17.149999999999999</v>
      </c>
      <c r="K11">
        <f t="shared" ref="K11:K39" si="9">J11-F12</f>
        <v>4.9999999999997158E-2</v>
      </c>
      <c r="L11">
        <f t="shared" si="8"/>
        <v>1.6999999999999993</v>
      </c>
      <c r="M11">
        <f t="shared" si="2"/>
        <v>1.0081967213114753</v>
      </c>
      <c r="N11">
        <v>10</v>
      </c>
      <c r="O11">
        <f t="shared" si="3"/>
        <v>3.75</v>
      </c>
      <c r="P11">
        <f t="shared" si="4"/>
        <v>262.5</v>
      </c>
      <c r="Q11">
        <f t="shared" si="5"/>
        <v>0</v>
      </c>
      <c r="R11">
        <v>0</v>
      </c>
    </row>
    <row r="12" spans="1:18" x14ac:dyDescent="0.3">
      <c r="A12" t="s">
        <v>4</v>
      </c>
      <c r="B12" s="1">
        <v>45083</v>
      </c>
      <c r="C12" t="s">
        <v>7</v>
      </c>
      <c r="D12" t="s">
        <v>14</v>
      </c>
      <c r="E12">
        <v>1</v>
      </c>
      <c r="F12">
        <v>17.100000000000001</v>
      </c>
      <c r="G12">
        <v>0.25</v>
      </c>
      <c r="H12">
        <v>0</v>
      </c>
      <c r="I12">
        <f t="shared" si="6"/>
        <v>0.25</v>
      </c>
      <c r="J12">
        <f t="shared" si="7"/>
        <v>17.350000000000001</v>
      </c>
      <c r="K12">
        <f t="shared" si="9"/>
        <v>0.25</v>
      </c>
      <c r="L12">
        <f t="shared" si="8"/>
        <v>1.9499999999999993</v>
      </c>
      <c r="M12">
        <f t="shared" si="2"/>
        <v>1.0409836065573774</v>
      </c>
      <c r="N12">
        <v>11</v>
      </c>
      <c r="O12">
        <f t="shared" si="3"/>
        <v>4</v>
      </c>
      <c r="P12">
        <f t="shared" si="4"/>
        <v>280</v>
      </c>
      <c r="Q12">
        <f t="shared" si="5"/>
        <v>0</v>
      </c>
      <c r="R12">
        <v>0</v>
      </c>
    </row>
    <row r="13" spans="1:18" x14ac:dyDescent="0.3">
      <c r="A13" t="s">
        <v>5</v>
      </c>
      <c r="B13" s="1">
        <v>45084</v>
      </c>
      <c r="C13" t="s">
        <v>7</v>
      </c>
      <c r="D13" t="s">
        <v>14</v>
      </c>
      <c r="E13">
        <v>1</v>
      </c>
      <c r="F13">
        <v>17.100000000000001</v>
      </c>
      <c r="G13">
        <v>0</v>
      </c>
      <c r="H13">
        <f t="shared" si="0"/>
        <v>-0.10000000000000142</v>
      </c>
      <c r="I13">
        <f t="shared" si="6"/>
        <v>-0.10000000000000142</v>
      </c>
      <c r="J13">
        <f t="shared" si="7"/>
        <v>17</v>
      </c>
      <c r="K13">
        <f t="shared" si="9"/>
        <v>0.10000000000000142</v>
      </c>
      <c r="L13">
        <f t="shared" si="8"/>
        <v>2.0500000000000007</v>
      </c>
      <c r="M13">
        <f t="shared" si="2"/>
        <v>0.98360655737704927</v>
      </c>
      <c r="N13">
        <v>12</v>
      </c>
      <c r="O13">
        <f t="shared" si="3"/>
        <v>4</v>
      </c>
      <c r="P13">
        <f t="shared" si="4"/>
        <v>280</v>
      </c>
      <c r="Q13">
        <f t="shared" si="5"/>
        <v>0</v>
      </c>
      <c r="R13">
        <v>0</v>
      </c>
    </row>
    <row r="14" spans="1:18" x14ac:dyDescent="0.3">
      <c r="A14" t="s">
        <v>6</v>
      </c>
      <c r="B14" s="1">
        <v>45085</v>
      </c>
      <c r="C14" t="s">
        <v>7</v>
      </c>
      <c r="D14" t="s">
        <v>14</v>
      </c>
      <c r="E14">
        <v>1</v>
      </c>
      <c r="F14">
        <v>16.899999999999999</v>
      </c>
      <c r="G14">
        <v>0.25</v>
      </c>
      <c r="H14">
        <v>0</v>
      </c>
      <c r="I14">
        <f t="shared" si="6"/>
        <v>0.25</v>
      </c>
      <c r="J14">
        <f t="shared" si="7"/>
        <v>17.149999999999999</v>
      </c>
      <c r="K14">
        <f t="shared" si="9"/>
        <v>0.25</v>
      </c>
      <c r="L14">
        <f t="shared" si="8"/>
        <v>2.3000000000000007</v>
      </c>
      <c r="M14">
        <f t="shared" si="2"/>
        <v>1.0081967213114753</v>
      </c>
      <c r="N14">
        <v>13</v>
      </c>
      <c r="O14">
        <f t="shared" si="3"/>
        <v>4.25</v>
      </c>
      <c r="P14">
        <f t="shared" si="4"/>
        <v>297.5</v>
      </c>
      <c r="Q14">
        <f t="shared" si="5"/>
        <v>0</v>
      </c>
      <c r="R14">
        <v>0</v>
      </c>
    </row>
    <row r="15" spans="1:18" x14ac:dyDescent="0.3">
      <c r="A15" t="s">
        <v>0</v>
      </c>
      <c r="B15" s="1">
        <v>45086</v>
      </c>
      <c r="C15" t="s">
        <v>7</v>
      </c>
      <c r="D15" t="s">
        <v>14</v>
      </c>
      <c r="E15">
        <v>1</v>
      </c>
      <c r="F15">
        <v>16.899999999999999</v>
      </c>
      <c r="G15">
        <v>0.25</v>
      </c>
      <c r="H15">
        <v>0</v>
      </c>
      <c r="I15">
        <f t="shared" si="6"/>
        <v>0.25</v>
      </c>
      <c r="J15">
        <f t="shared" si="7"/>
        <v>17.149999999999999</v>
      </c>
      <c r="K15">
        <f t="shared" si="9"/>
        <v>0.44999999999999929</v>
      </c>
      <c r="L15">
        <f t="shared" si="8"/>
        <v>2.75</v>
      </c>
      <c r="M15">
        <f t="shared" si="2"/>
        <v>1.0081967213114753</v>
      </c>
      <c r="N15">
        <v>14</v>
      </c>
      <c r="O15">
        <f t="shared" si="3"/>
        <v>4.5</v>
      </c>
      <c r="P15">
        <f t="shared" si="4"/>
        <v>315</v>
      </c>
      <c r="Q15">
        <f t="shared" si="5"/>
        <v>0</v>
      </c>
      <c r="R15">
        <v>0</v>
      </c>
    </row>
    <row r="16" spans="1:18" x14ac:dyDescent="0.3">
      <c r="A16" t="s">
        <v>1</v>
      </c>
      <c r="B16" s="1">
        <v>45087</v>
      </c>
      <c r="C16" t="s">
        <v>7</v>
      </c>
      <c r="D16" t="s">
        <v>14</v>
      </c>
      <c r="E16">
        <v>1</v>
      </c>
      <c r="F16">
        <v>16.7</v>
      </c>
      <c r="G16">
        <v>0</v>
      </c>
      <c r="H16">
        <f t="shared" si="0"/>
        <v>0.30000000000000071</v>
      </c>
      <c r="I16">
        <f t="shared" si="6"/>
        <v>0.30000000000000071</v>
      </c>
      <c r="J16">
        <f t="shared" si="7"/>
        <v>17</v>
      </c>
      <c r="K16">
        <f t="shared" si="9"/>
        <v>0.30000000000000071</v>
      </c>
      <c r="L16">
        <f t="shared" si="8"/>
        <v>3.0500000000000007</v>
      </c>
      <c r="M16">
        <f t="shared" si="2"/>
        <v>0.98360655737704927</v>
      </c>
      <c r="N16">
        <v>15</v>
      </c>
      <c r="O16">
        <f t="shared" si="3"/>
        <v>4.5</v>
      </c>
      <c r="P16">
        <f t="shared" si="4"/>
        <v>315</v>
      </c>
      <c r="Q16">
        <f t="shared" si="5"/>
        <v>0</v>
      </c>
      <c r="R16">
        <v>0</v>
      </c>
    </row>
    <row r="17" spans="1:18" x14ac:dyDescent="0.3">
      <c r="A17" t="s">
        <v>2</v>
      </c>
      <c r="B17" s="1">
        <v>45088</v>
      </c>
      <c r="C17" t="s">
        <v>7</v>
      </c>
      <c r="D17" t="s">
        <v>14</v>
      </c>
      <c r="E17">
        <v>1</v>
      </c>
      <c r="F17">
        <v>16.7</v>
      </c>
      <c r="G17">
        <v>0</v>
      </c>
      <c r="H17">
        <f t="shared" si="0"/>
        <v>0.30000000000000071</v>
      </c>
      <c r="I17">
        <f>H17+G17</f>
        <v>0.30000000000000071</v>
      </c>
      <c r="J17">
        <f t="shared" si="7"/>
        <v>17</v>
      </c>
      <c r="K17">
        <f t="shared" si="9"/>
        <v>0.30000000000000071</v>
      </c>
      <c r="L17">
        <f t="shared" si="8"/>
        <v>3.3500000000000014</v>
      </c>
      <c r="M17">
        <f t="shared" si="2"/>
        <v>0.98360655737704927</v>
      </c>
      <c r="N17">
        <v>16</v>
      </c>
      <c r="O17">
        <f t="shared" si="3"/>
        <v>4.5</v>
      </c>
      <c r="P17">
        <f t="shared" si="4"/>
        <v>315</v>
      </c>
      <c r="Q17">
        <f t="shared" si="5"/>
        <v>0</v>
      </c>
      <c r="R17">
        <v>0</v>
      </c>
    </row>
    <row r="18" spans="1:18" x14ac:dyDescent="0.3">
      <c r="A18" t="s">
        <v>3</v>
      </c>
      <c r="B18" s="1">
        <v>45089</v>
      </c>
      <c r="C18" t="s">
        <v>7</v>
      </c>
      <c r="D18" t="s">
        <v>14</v>
      </c>
      <c r="E18">
        <v>1</v>
      </c>
      <c r="F18">
        <v>16.7</v>
      </c>
      <c r="G18">
        <v>0.5</v>
      </c>
      <c r="H18">
        <v>0</v>
      </c>
      <c r="I18">
        <f t="shared" si="6"/>
        <v>0.5</v>
      </c>
      <c r="J18">
        <f t="shared" si="7"/>
        <v>17.2</v>
      </c>
      <c r="K18">
        <f t="shared" si="9"/>
        <v>0.30000000000000071</v>
      </c>
      <c r="L18">
        <f t="shared" si="8"/>
        <v>3.6500000000000021</v>
      </c>
      <c r="M18">
        <f t="shared" si="2"/>
        <v>1.0163934426229508</v>
      </c>
      <c r="N18">
        <v>17</v>
      </c>
      <c r="O18">
        <f t="shared" si="3"/>
        <v>5</v>
      </c>
      <c r="P18">
        <f t="shared" si="4"/>
        <v>350</v>
      </c>
      <c r="Q18">
        <f t="shared" si="5"/>
        <v>0</v>
      </c>
      <c r="R18">
        <v>0</v>
      </c>
    </row>
    <row r="19" spans="1:18" x14ac:dyDescent="0.3">
      <c r="A19" t="s">
        <v>4</v>
      </c>
      <c r="B19" s="1">
        <v>45090</v>
      </c>
      <c r="C19" t="s">
        <v>7</v>
      </c>
      <c r="D19" t="s">
        <v>14</v>
      </c>
      <c r="E19">
        <v>1</v>
      </c>
      <c r="F19">
        <v>16.899999999999999</v>
      </c>
      <c r="G19">
        <v>0</v>
      </c>
      <c r="H19">
        <f t="shared" si="0"/>
        <v>0.10000000000000142</v>
      </c>
      <c r="I19">
        <f t="shared" si="6"/>
        <v>0.10000000000000142</v>
      </c>
      <c r="J19">
        <f t="shared" si="7"/>
        <v>17</v>
      </c>
      <c r="K19">
        <f t="shared" si="9"/>
        <v>0.10000000000000142</v>
      </c>
      <c r="L19">
        <f t="shared" si="8"/>
        <v>3.7500000000000036</v>
      </c>
      <c r="M19">
        <f t="shared" si="2"/>
        <v>0.98360655737704927</v>
      </c>
      <c r="N19">
        <v>18</v>
      </c>
      <c r="O19">
        <f t="shared" si="3"/>
        <v>5</v>
      </c>
      <c r="P19">
        <f t="shared" si="4"/>
        <v>350</v>
      </c>
      <c r="Q19">
        <f t="shared" si="5"/>
        <v>0</v>
      </c>
      <c r="R19">
        <v>0</v>
      </c>
    </row>
    <row r="20" spans="1:18" x14ac:dyDescent="0.3">
      <c r="A20" t="s">
        <v>5</v>
      </c>
      <c r="B20" s="1">
        <v>45091</v>
      </c>
      <c r="C20" t="s">
        <v>7</v>
      </c>
      <c r="D20" t="s">
        <v>14</v>
      </c>
      <c r="E20">
        <v>1</v>
      </c>
      <c r="F20">
        <v>16.899999999999999</v>
      </c>
      <c r="G20">
        <v>0</v>
      </c>
      <c r="H20">
        <f t="shared" si="0"/>
        <v>0.10000000000000142</v>
      </c>
      <c r="I20">
        <f t="shared" si="6"/>
        <v>0.10000000000000142</v>
      </c>
      <c r="J20">
        <f t="shared" si="7"/>
        <v>17</v>
      </c>
      <c r="K20">
        <f t="shared" si="9"/>
        <v>0.39999999999999858</v>
      </c>
      <c r="L20">
        <f t="shared" si="8"/>
        <v>4.1500000000000021</v>
      </c>
      <c r="M20">
        <f t="shared" si="2"/>
        <v>0.98360655737704927</v>
      </c>
      <c r="N20">
        <v>19</v>
      </c>
      <c r="O20">
        <f t="shared" si="3"/>
        <v>5</v>
      </c>
      <c r="P20">
        <f t="shared" si="4"/>
        <v>350</v>
      </c>
      <c r="Q20">
        <f t="shared" si="5"/>
        <v>0</v>
      </c>
      <c r="R20">
        <v>0</v>
      </c>
    </row>
    <row r="21" spans="1:18" x14ac:dyDescent="0.3">
      <c r="A21" t="s">
        <v>6</v>
      </c>
      <c r="B21" s="1">
        <v>45092</v>
      </c>
      <c r="C21" t="s">
        <v>7</v>
      </c>
      <c r="D21" t="s">
        <v>14</v>
      </c>
      <c r="E21">
        <v>1</v>
      </c>
      <c r="F21">
        <v>16.600000000000001</v>
      </c>
      <c r="G21">
        <v>0.5</v>
      </c>
      <c r="H21">
        <v>0</v>
      </c>
      <c r="I21">
        <f t="shared" si="6"/>
        <v>0.5</v>
      </c>
      <c r="J21">
        <f t="shared" si="7"/>
        <v>17.100000000000001</v>
      </c>
      <c r="K21">
        <f t="shared" si="9"/>
        <v>0.30000000000000071</v>
      </c>
      <c r="L21">
        <f t="shared" si="8"/>
        <v>4.4500000000000028</v>
      </c>
      <c r="M21">
        <f t="shared" si="2"/>
        <v>1.0000000000000002</v>
      </c>
      <c r="N21">
        <v>20</v>
      </c>
      <c r="O21">
        <f t="shared" si="3"/>
        <v>5.5</v>
      </c>
      <c r="P21">
        <f t="shared" si="4"/>
        <v>385</v>
      </c>
      <c r="Q21">
        <f t="shared" si="5"/>
        <v>0</v>
      </c>
      <c r="R21">
        <v>0</v>
      </c>
    </row>
    <row r="22" spans="1:18" x14ac:dyDescent="0.3">
      <c r="A22" t="s">
        <v>0</v>
      </c>
      <c r="B22" s="1">
        <v>45093</v>
      </c>
      <c r="C22" t="s">
        <v>7</v>
      </c>
      <c r="D22" t="s">
        <v>14</v>
      </c>
      <c r="E22">
        <v>1</v>
      </c>
      <c r="F22">
        <v>16.8</v>
      </c>
      <c r="G22">
        <v>0</v>
      </c>
      <c r="H22">
        <f t="shared" si="0"/>
        <v>0.19999999999999929</v>
      </c>
      <c r="I22">
        <f t="shared" si="6"/>
        <v>0.19999999999999929</v>
      </c>
      <c r="J22">
        <f t="shared" si="7"/>
        <v>17</v>
      </c>
      <c r="K22">
        <f t="shared" si="9"/>
        <v>0.39999999999999858</v>
      </c>
      <c r="L22">
        <f t="shared" si="8"/>
        <v>4.8500000000000014</v>
      </c>
      <c r="M22">
        <f t="shared" si="2"/>
        <v>0.98360655737704927</v>
      </c>
      <c r="N22">
        <v>21</v>
      </c>
      <c r="O22">
        <f t="shared" si="3"/>
        <v>5.5</v>
      </c>
      <c r="P22">
        <f t="shared" si="4"/>
        <v>385</v>
      </c>
      <c r="Q22">
        <f t="shared" si="5"/>
        <v>0</v>
      </c>
      <c r="R22">
        <v>0</v>
      </c>
    </row>
    <row r="23" spans="1:18" x14ac:dyDescent="0.3">
      <c r="A23" t="s">
        <v>1</v>
      </c>
      <c r="B23" s="1">
        <v>45094</v>
      </c>
      <c r="C23" t="s">
        <v>7</v>
      </c>
      <c r="D23" t="s">
        <v>14</v>
      </c>
      <c r="E23">
        <v>1</v>
      </c>
      <c r="F23">
        <v>16.600000000000001</v>
      </c>
      <c r="G23">
        <v>0</v>
      </c>
      <c r="H23">
        <f t="shared" si="0"/>
        <v>0.39999999999999858</v>
      </c>
      <c r="I23">
        <f t="shared" si="6"/>
        <v>0.39999999999999858</v>
      </c>
      <c r="J23">
        <f t="shared" si="7"/>
        <v>17</v>
      </c>
      <c r="K23">
        <f t="shared" si="9"/>
        <v>0.30000000000000071</v>
      </c>
      <c r="L23">
        <f t="shared" si="8"/>
        <v>5.1500000000000021</v>
      </c>
      <c r="M23">
        <f t="shared" si="2"/>
        <v>0.98360655737704927</v>
      </c>
      <c r="N23">
        <v>22</v>
      </c>
      <c r="O23">
        <f t="shared" si="3"/>
        <v>5.5</v>
      </c>
      <c r="P23">
        <f t="shared" si="4"/>
        <v>385</v>
      </c>
      <c r="Q23">
        <f t="shared" si="5"/>
        <v>0</v>
      </c>
      <c r="R23">
        <v>0</v>
      </c>
    </row>
    <row r="24" spans="1:18" x14ac:dyDescent="0.3">
      <c r="A24" t="s">
        <v>2</v>
      </c>
      <c r="B24" s="1">
        <v>45095</v>
      </c>
      <c r="C24" t="s">
        <v>7</v>
      </c>
      <c r="D24" t="s">
        <v>14</v>
      </c>
      <c r="E24">
        <v>1</v>
      </c>
      <c r="F24">
        <v>16.7</v>
      </c>
      <c r="G24">
        <v>0</v>
      </c>
      <c r="H24">
        <f t="shared" si="0"/>
        <v>0.30000000000000071</v>
      </c>
      <c r="I24">
        <f t="shared" si="6"/>
        <v>0.30000000000000071</v>
      </c>
      <c r="J24">
        <f t="shared" si="7"/>
        <v>17</v>
      </c>
      <c r="K24">
        <f t="shared" si="9"/>
        <v>0.39999999999999858</v>
      </c>
      <c r="L24">
        <f t="shared" si="8"/>
        <v>5.5500000000000007</v>
      </c>
      <c r="M24">
        <f t="shared" si="2"/>
        <v>0.98360655737704927</v>
      </c>
      <c r="N24">
        <v>23</v>
      </c>
      <c r="O24">
        <f t="shared" si="3"/>
        <v>5.5</v>
      </c>
      <c r="P24">
        <f t="shared" si="4"/>
        <v>385</v>
      </c>
      <c r="Q24">
        <f t="shared" si="5"/>
        <v>0</v>
      </c>
      <c r="R24">
        <v>0</v>
      </c>
    </row>
    <row r="25" spans="1:18" x14ac:dyDescent="0.3">
      <c r="A25" t="s">
        <v>3</v>
      </c>
      <c r="B25" s="1">
        <v>45096</v>
      </c>
      <c r="C25" t="s">
        <v>7</v>
      </c>
      <c r="D25" t="s">
        <v>14</v>
      </c>
      <c r="E25">
        <v>1</v>
      </c>
      <c r="F25">
        <v>16.600000000000001</v>
      </c>
      <c r="G25">
        <v>0.5</v>
      </c>
      <c r="H25">
        <v>0</v>
      </c>
      <c r="I25">
        <f t="shared" si="6"/>
        <v>0.5</v>
      </c>
      <c r="J25">
        <f t="shared" si="7"/>
        <v>17.100000000000001</v>
      </c>
      <c r="K25">
        <f t="shared" si="9"/>
        <v>0.30000000000000071</v>
      </c>
      <c r="L25">
        <f t="shared" si="8"/>
        <v>5.8500000000000014</v>
      </c>
      <c r="M25">
        <f t="shared" si="2"/>
        <v>1.0000000000000002</v>
      </c>
      <c r="N25">
        <v>24</v>
      </c>
      <c r="O25">
        <f t="shared" si="3"/>
        <v>6</v>
      </c>
      <c r="P25">
        <f t="shared" si="4"/>
        <v>420</v>
      </c>
      <c r="Q25">
        <f t="shared" si="5"/>
        <v>0</v>
      </c>
      <c r="R25">
        <v>0</v>
      </c>
    </row>
    <row r="26" spans="1:18" x14ac:dyDescent="0.3">
      <c r="A26" t="s">
        <v>4</v>
      </c>
      <c r="B26" s="1">
        <v>45097</v>
      </c>
      <c r="C26" t="s">
        <v>7</v>
      </c>
      <c r="D26" t="s">
        <v>14</v>
      </c>
      <c r="E26">
        <v>1</v>
      </c>
      <c r="F26">
        <v>16.8</v>
      </c>
      <c r="G26">
        <v>0</v>
      </c>
      <c r="H26">
        <f t="shared" si="0"/>
        <v>0.19999999999999929</v>
      </c>
      <c r="I26">
        <f t="shared" si="6"/>
        <v>0.19999999999999929</v>
      </c>
      <c r="J26">
        <f t="shared" si="7"/>
        <v>17</v>
      </c>
      <c r="K26">
        <f t="shared" si="9"/>
        <v>0.39999999999999858</v>
      </c>
      <c r="L26">
        <f t="shared" si="8"/>
        <v>6.25</v>
      </c>
      <c r="M26">
        <f t="shared" si="2"/>
        <v>0.98360655737704927</v>
      </c>
      <c r="N26">
        <v>25</v>
      </c>
      <c r="O26">
        <f t="shared" si="3"/>
        <v>6</v>
      </c>
      <c r="P26">
        <f t="shared" si="4"/>
        <v>420</v>
      </c>
      <c r="Q26">
        <f t="shared" si="5"/>
        <v>0</v>
      </c>
      <c r="R26">
        <v>0</v>
      </c>
    </row>
    <row r="27" spans="1:18" x14ac:dyDescent="0.3">
      <c r="A27" t="s">
        <v>5</v>
      </c>
      <c r="B27" s="1">
        <v>45098</v>
      </c>
      <c r="C27" t="s">
        <v>7</v>
      </c>
      <c r="D27" t="s">
        <v>14</v>
      </c>
      <c r="E27">
        <v>1</v>
      </c>
      <c r="F27">
        <v>16.600000000000001</v>
      </c>
      <c r="G27">
        <v>0</v>
      </c>
      <c r="H27">
        <f t="shared" si="0"/>
        <v>0.39999999999999858</v>
      </c>
      <c r="I27">
        <f t="shared" si="6"/>
        <v>0.39999999999999858</v>
      </c>
      <c r="J27">
        <f t="shared" si="7"/>
        <v>17</v>
      </c>
      <c r="K27">
        <f t="shared" si="9"/>
        <v>0.19999999999999929</v>
      </c>
      <c r="L27">
        <f t="shared" si="8"/>
        <v>6.4499999999999993</v>
      </c>
      <c r="M27">
        <f t="shared" si="2"/>
        <v>0.98360655737704927</v>
      </c>
      <c r="N27">
        <v>26</v>
      </c>
      <c r="O27">
        <f t="shared" si="3"/>
        <v>6</v>
      </c>
      <c r="P27">
        <f t="shared" si="4"/>
        <v>420</v>
      </c>
      <c r="Q27">
        <f t="shared" si="5"/>
        <v>0</v>
      </c>
      <c r="R27">
        <v>0</v>
      </c>
    </row>
    <row r="28" spans="1:18" x14ac:dyDescent="0.3">
      <c r="A28" t="s">
        <v>6</v>
      </c>
      <c r="B28" s="1">
        <v>45099</v>
      </c>
      <c r="C28" t="s">
        <v>7</v>
      </c>
      <c r="D28" t="s">
        <v>14</v>
      </c>
      <c r="E28">
        <v>1</v>
      </c>
      <c r="F28">
        <v>16.8</v>
      </c>
      <c r="G28">
        <v>0.5</v>
      </c>
      <c r="H28">
        <v>0</v>
      </c>
      <c r="I28">
        <f t="shared" si="6"/>
        <v>0.5</v>
      </c>
      <c r="J28">
        <f t="shared" si="7"/>
        <v>17.3</v>
      </c>
      <c r="K28">
        <f>J28-F29</f>
        <v>0.30000000000000071</v>
      </c>
      <c r="L28">
        <f t="shared" si="8"/>
        <v>6.75</v>
      </c>
      <c r="M28">
        <f t="shared" si="2"/>
        <v>1.0327868852459019</v>
      </c>
      <c r="N28">
        <v>27</v>
      </c>
      <c r="O28">
        <f t="shared" si="3"/>
        <v>6.5</v>
      </c>
      <c r="P28">
        <f t="shared" si="4"/>
        <v>455</v>
      </c>
      <c r="Q28">
        <f t="shared" si="5"/>
        <v>0</v>
      </c>
      <c r="R28">
        <v>0</v>
      </c>
    </row>
    <row r="29" spans="1:18" x14ac:dyDescent="0.3">
      <c r="A29" t="s">
        <v>0</v>
      </c>
      <c r="B29" s="1">
        <v>45100</v>
      </c>
      <c r="C29" t="s">
        <v>7</v>
      </c>
      <c r="D29" t="s">
        <v>14</v>
      </c>
      <c r="E29">
        <v>1</v>
      </c>
      <c r="F29">
        <v>17</v>
      </c>
      <c r="G29">
        <v>0</v>
      </c>
      <c r="H29">
        <f t="shared" si="0"/>
        <v>0</v>
      </c>
      <c r="I29">
        <f>H29+G29</f>
        <v>0</v>
      </c>
      <c r="J29">
        <f t="shared" si="7"/>
        <v>17</v>
      </c>
      <c r="K29">
        <f t="shared" si="9"/>
        <v>0.19999999999999929</v>
      </c>
      <c r="L29">
        <f t="shared" si="8"/>
        <v>6.9499999999999993</v>
      </c>
      <c r="M29">
        <f t="shared" si="2"/>
        <v>0.98360655737704927</v>
      </c>
      <c r="N29">
        <v>28</v>
      </c>
      <c r="O29">
        <f t="shared" si="3"/>
        <v>6.5</v>
      </c>
      <c r="P29">
        <f t="shared" si="4"/>
        <v>455</v>
      </c>
      <c r="Q29">
        <f t="shared" si="5"/>
        <v>0</v>
      </c>
      <c r="R29">
        <v>0</v>
      </c>
    </row>
    <row r="30" spans="1:18" x14ac:dyDescent="0.3">
      <c r="A30" t="s">
        <v>1</v>
      </c>
      <c r="B30" s="1">
        <v>45101</v>
      </c>
      <c r="C30" t="s">
        <v>7</v>
      </c>
      <c r="D30" t="s">
        <v>14</v>
      </c>
      <c r="E30">
        <v>1</v>
      </c>
      <c r="F30">
        <v>16.8</v>
      </c>
      <c r="G30">
        <v>0</v>
      </c>
      <c r="H30">
        <f t="shared" si="0"/>
        <v>0.19999999999999929</v>
      </c>
      <c r="I30">
        <f t="shared" si="6"/>
        <v>0.19999999999999929</v>
      </c>
      <c r="J30">
        <f t="shared" si="7"/>
        <v>17</v>
      </c>
      <c r="K30">
        <f t="shared" si="9"/>
        <v>0.5</v>
      </c>
      <c r="L30">
        <f t="shared" si="8"/>
        <v>7.4499999999999993</v>
      </c>
      <c r="M30">
        <f t="shared" si="2"/>
        <v>0.98360655737704927</v>
      </c>
      <c r="N30">
        <v>29</v>
      </c>
      <c r="O30">
        <f t="shared" si="3"/>
        <v>6.5</v>
      </c>
      <c r="P30">
        <f t="shared" si="4"/>
        <v>455</v>
      </c>
      <c r="Q30">
        <f t="shared" si="5"/>
        <v>0</v>
      </c>
      <c r="R30">
        <v>0</v>
      </c>
    </row>
    <row r="31" spans="1:18" x14ac:dyDescent="0.3">
      <c r="A31" t="s">
        <v>2</v>
      </c>
      <c r="B31" s="1">
        <v>45102</v>
      </c>
      <c r="C31" t="s">
        <v>7</v>
      </c>
      <c r="D31" t="s">
        <v>14</v>
      </c>
      <c r="E31">
        <v>1</v>
      </c>
      <c r="F31">
        <v>16.5</v>
      </c>
      <c r="G31">
        <v>0</v>
      </c>
      <c r="H31">
        <f t="shared" si="0"/>
        <v>0.5</v>
      </c>
      <c r="I31">
        <f t="shared" si="6"/>
        <v>0.5</v>
      </c>
      <c r="J31">
        <f t="shared" si="7"/>
        <v>17</v>
      </c>
      <c r="K31">
        <f t="shared" si="9"/>
        <v>0.39999999999999858</v>
      </c>
      <c r="L31">
        <f t="shared" si="8"/>
        <v>7.8499999999999979</v>
      </c>
      <c r="M31">
        <f t="shared" si="2"/>
        <v>0.98360655737704927</v>
      </c>
      <c r="N31">
        <v>30</v>
      </c>
      <c r="O31">
        <f t="shared" si="3"/>
        <v>6.5</v>
      </c>
      <c r="P31">
        <f t="shared" si="4"/>
        <v>455</v>
      </c>
      <c r="Q31">
        <f t="shared" si="5"/>
        <v>0</v>
      </c>
      <c r="R31">
        <v>0</v>
      </c>
    </row>
    <row r="32" spans="1:18" x14ac:dyDescent="0.3">
      <c r="A32" t="s">
        <v>3</v>
      </c>
      <c r="B32" s="1">
        <v>45103</v>
      </c>
      <c r="C32" t="s">
        <v>7</v>
      </c>
      <c r="D32" t="s">
        <v>14</v>
      </c>
      <c r="E32">
        <v>1</v>
      </c>
      <c r="F32">
        <v>16.600000000000001</v>
      </c>
      <c r="G32">
        <v>0.5</v>
      </c>
      <c r="H32">
        <v>0</v>
      </c>
      <c r="I32">
        <f t="shared" si="6"/>
        <v>0.5</v>
      </c>
      <c r="J32">
        <f t="shared" si="7"/>
        <v>17.100000000000001</v>
      </c>
      <c r="K32">
        <f t="shared" si="9"/>
        <v>0.20000000000000284</v>
      </c>
      <c r="L32">
        <f t="shared" si="8"/>
        <v>8.0500000000000007</v>
      </c>
      <c r="M32">
        <f t="shared" si="2"/>
        <v>1.0000000000000002</v>
      </c>
      <c r="N32">
        <v>31</v>
      </c>
      <c r="O32">
        <f t="shared" si="3"/>
        <v>7</v>
      </c>
      <c r="P32">
        <f t="shared" si="4"/>
        <v>490</v>
      </c>
      <c r="Q32">
        <f t="shared" si="5"/>
        <v>0</v>
      </c>
      <c r="R32">
        <v>0</v>
      </c>
    </row>
    <row r="33" spans="1:18" x14ac:dyDescent="0.3">
      <c r="A33" t="s">
        <v>4</v>
      </c>
      <c r="B33" s="1">
        <v>45104</v>
      </c>
      <c r="C33" t="s">
        <v>7</v>
      </c>
      <c r="D33" t="s">
        <v>14</v>
      </c>
      <c r="E33">
        <v>1</v>
      </c>
      <c r="F33">
        <v>16.899999999999999</v>
      </c>
      <c r="G33">
        <v>0</v>
      </c>
      <c r="H33">
        <f t="shared" si="0"/>
        <v>0.10000000000000142</v>
      </c>
      <c r="I33">
        <f t="shared" si="6"/>
        <v>0.10000000000000142</v>
      </c>
      <c r="J33">
        <f>I33+F33</f>
        <v>17</v>
      </c>
      <c r="K33">
        <f t="shared" si="9"/>
        <v>0.60000000000000142</v>
      </c>
      <c r="L33">
        <f t="shared" si="8"/>
        <v>8.6500000000000021</v>
      </c>
      <c r="M33">
        <f t="shared" si="2"/>
        <v>0.98360655737704927</v>
      </c>
      <c r="N33">
        <v>32</v>
      </c>
      <c r="O33">
        <f t="shared" si="3"/>
        <v>7</v>
      </c>
      <c r="P33">
        <f t="shared" si="4"/>
        <v>490</v>
      </c>
      <c r="Q33">
        <f t="shared" si="5"/>
        <v>0</v>
      </c>
      <c r="R33">
        <v>0</v>
      </c>
    </row>
    <row r="34" spans="1:18" x14ac:dyDescent="0.3">
      <c r="A34" t="s">
        <v>5</v>
      </c>
      <c r="B34" s="1">
        <v>45105</v>
      </c>
      <c r="C34" t="s">
        <v>7</v>
      </c>
      <c r="D34" t="s">
        <v>14</v>
      </c>
      <c r="E34">
        <v>1</v>
      </c>
      <c r="F34">
        <v>16.399999999999999</v>
      </c>
      <c r="G34">
        <v>0</v>
      </c>
      <c r="H34">
        <f t="shared" si="0"/>
        <v>0.60000000000000142</v>
      </c>
      <c r="I34">
        <f t="shared" si="6"/>
        <v>0.60000000000000142</v>
      </c>
      <c r="J34">
        <f t="shared" si="7"/>
        <v>17</v>
      </c>
      <c r="K34">
        <f t="shared" si="9"/>
        <v>0.30000000000000071</v>
      </c>
      <c r="L34">
        <f t="shared" si="8"/>
        <v>8.9500000000000028</v>
      </c>
      <c r="M34">
        <f t="shared" si="2"/>
        <v>0.98360655737704927</v>
      </c>
      <c r="N34">
        <v>33</v>
      </c>
      <c r="O34">
        <f t="shared" si="3"/>
        <v>7</v>
      </c>
      <c r="P34">
        <f t="shared" si="4"/>
        <v>490</v>
      </c>
      <c r="Q34">
        <f t="shared" si="5"/>
        <v>0</v>
      </c>
      <c r="R34">
        <v>0</v>
      </c>
    </row>
    <row r="35" spans="1:18" x14ac:dyDescent="0.3">
      <c r="A35" t="s">
        <v>6</v>
      </c>
      <c r="B35" s="1">
        <v>45106</v>
      </c>
      <c r="C35" t="s">
        <v>7</v>
      </c>
      <c r="D35" t="s">
        <v>14</v>
      </c>
      <c r="E35">
        <v>1</v>
      </c>
      <c r="F35">
        <v>16.7</v>
      </c>
      <c r="G35">
        <v>0.5</v>
      </c>
      <c r="H35">
        <v>0</v>
      </c>
      <c r="I35">
        <f t="shared" si="6"/>
        <v>0.5</v>
      </c>
      <c r="J35">
        <f t="shared" si="7"/>
        <v>17.2</v>
      </c>
      <c r="K35">
        <f t="shared" si="9"/>
        <v>0.30000000000000071</v>
      </c>
      <c r="L35">
        <f t="shared" si="8"/>
        <v>9.2500000000000036</v>
      </c>
      <c r="M35">
        <f t="shared" si="2"/>
        <v>1.0163934426229508</v>
      </c>
      <c r="N35">
        <v>34</v>
      </c>
      <c r="O35">
        <f t="shared" si="3"/>
        <v>7.5</v>
      </c>
      <c r="P35">
        <f t="shared" si="4"/>
        <v>525</v>
      </c>
      <c r="Q35">
        <f t="shared" si="5"/>
        <v>0</v>
      </c>
      <c r="R35">
        <v>0</v>
      </c>
    </row>
    <row r="36" spans="1:18" x14ac:dyDescent="0.3">
      <c r="A36" t="s">
        <v>0</v>
      </c>
      <c r="B36" s="1">
        <v>45107</v>
      </c>
      <c r="C36" t="s">
        <v>7</v>
      </c>
      <c r="D36" t="s">
        <v>14</v>
      </c>
      <c r="E36">
        <v>1</v>
      </c>
      <c r="F36">
        <v>16.899999999999999</v>
      </c>
      <c r="G36">
        <v>0</v>
      </c>
      <c r="H36">
        <f t="shared" si="0"/>
        <v>0.10000000000000142</v>
      </c>
      <c r="I36">
        <f t="shared" si="6"/>
        <v>0.10000000000000142</v>
      </c>
      <c r="J36">
        <f t="shared" si="7"/>
        <v>17</v>
      </c>
      <c r="K36">
        <f t="shared" si="9"/>
        <v>0.10000000000000142</v>
      </c>
      <c r="L36">
        <f t="shared" si="8"/>
        <v>9.350000000000005</v>
      </c>
      <c r="M36">
        <f t="shared" si="2"/>
        <v>0.98360655737704927</v>
      </c>
      <c r="N36">
        <v>35</v>
      </c>
      <c r="O36">
        <f t="shared" si="3"/>
        <v>7.5</v>
      </c>
      <c r="P36">
        <f t="shared" si="4"/>
        <v>525</v>
      </c>
      <c r="Q36">
        <f t="shared" si="5"/>
        <v>0</v>
      </c>
      <c r="R36">
        <v>0</v>
      </c>
    </row>
    <row r="37" spans="1:18" x14ac:dyDescent="0.3">
      <c r="A37" t="s">
        <v>1</v>
      </c>
      <c r="B37" s="1">
        <v>45108</v>
      </c>
      <c r="C37" t="s">
        <v>7</v>
      </c>
      <c r="D37" t="s">
        <v>14</v>
      </c>
      <c r="E37">
        <v>1</v>
      </c>
      <c r="F37">
        <v>16.899999999999999</v>
      </c>
      <c r="G37">
        <v>0</v>
      </c>
      <c r="H37">
        <f t="shared" si="0"/>
        <v>0.10000000000000142</v>
      </c>
      <c r="I37">
        <f t="shared" si="6"/>
        <v>0.10000000000000142</v>
      </c>
      <c r="J37">
        <f t="shared" si="7"/>
        <v>17</v>
      </c>
      <c r="K37">
        <f t="shared" si="9"/>
        <v>0.19999999999999929</v>
      </c>
      <c r="L37">
        <f t="shared" si="8"/>
        <v>9.5500000000000043</v>
      </c>
      <c r="M37">
        <f t="shared" si="2"/>
        <v>0.98360655737704927</v>
      </c>
      <c r="N37">
        <v>36</v>
      </c>
      <c r="O37">
        <f t="shared" si="3"/>
        <v>7.5</v>
      </c>
      <c r="P37">
        <f t="shared" si="4"/>
        <v>525</v>
      </c>
      <c r="Q37">
        <f t="shared" si="5"/>
        <v>0</v>
      </c>
      <c r="R37">
        <v>0</v>
      </c>
    </row>
    <row r="38" spans="1:18" x14ac:dyDescent="0.3">
      <c r="A38" t="s">
        <v>2</v>
      </c>
      <c r="B38" s="1">
        <v>45109</v>
      </c>
      <c r="C38" t="s">
        <v>7</v>
      </c>
      <c r="D38" t="s">
        <v>14</v>
      </c>
      <c r="E38">
        <v>1</v>
      </c>
      <c r="F38">
        <v>16.8</v>
      </c>
      <c r="G38">
        <v>0</v>
      </c>
      <c r="H38">
        <f t="shared" si="0"/>
        <v>0.19999999999999929</v>
      </c>
      <c r="I38">
        <f t="shared" si="6"/>
        <v>0.19999999999999929</v>
      </c>
      <c r="J38">
        <f t="shared" si="7"/>
        <v>17</v>
      </c>
      <c r="K38">
        <f t="shared" si="9"/>
        <v>0.39999999999999858</v>
      </c>
      <c r="L38">
        <f t="shared" si="8"/>
        <v>9.9500000000000028</v>
      </c>
      <c r="M38">
        <f t="shared" si="2"/>
        <v>0.98360655737704927</v>
      </c>
      <c r="N38">
        <v>37</v>
      </c>
      <c r="O38">
        <f t="shared" si="3"/>
        <v>7.5</v>
      </c>
      <c r="P38">
        <f t="shared" si="4"/>
        <v>525</v>
      </c>
      <c r="Q38">
        <f t="shared" si="5"/>
        <v>0</v>
      </c>
      <c r="R38">
        <v>0</v>
      </c>
    </row>
    <row r="39" spans="1:18" x14ac:dyDescent="0.3">
      <c r="A39" t="s">
        <v>3</v>
      </c>
      <c r="B39" s="1">
        <v>45110</v>
      </c>
      <c r="C39" t="s">
        <v>7</v>
      </c>
      <c r="D39" t="s">
        <v>14</v>
      </c>
      <c r="E39">
        <v>1</v>
      </c>
      <c r="F39">
        <v>16.600000000000001</v>
      </c>
      <c r="G39">
        <v>0</v>
      </c>
      <c r="H39">
        <f t="shared" si="0"/>
        <v>0.39999999999999858</v>
      </c>
      <c r="I39">
        <f t="shared" si="6"/>
        <v>0.39999999999999858</v>
      </c>
      <c r="J39">
        <f t="shared" si="7"/>
        <v>17</v>
      </c>
      <c r="K39">
        <f t="shared" si="9"/>
        <v>0.10000000000000142</v>
      </c>
      <c r="L39">
        <f t="shared" si="8"/>
        <v>10.050000000000004</v>
      </c>
      <c r="M39">
        <f t="shared" si="2"/>
        <v>0.98360655737704927</v>
      </c>
      <c r="N39">
        <v>38</v>
      </c>
      <c r="O39">
        <f t="shared" si="3"/>
        <v>7.5</v>
      </c>
      <c r="P39">
        <f t="shared" si="4"/>
        <v>525</v>
      </c>
      <c r="Q39">
        <f t="shared" si="5"/>
        <v>0</v>
      </c>
      <c r="R39">
        <v>0</v>
      </c>
    </row>
    <row r="40" spans="1:18" x14ac:dyDescent="0.3">
      <c r="A40" t="s">
        <v>4</v>
      </c>
      <c r="B40" s="1">
        <v>45111</v>
      </c>
      <c r="C40" t="s">
        <v>7</v>
      </c>
      <c r="D40" t="s">
        <v>14</v>
      </c>
      <c r="E40">
        <v>1</v>
      </c>
      <c r="F40">
        <v>16.899999999999999</v>
      </c>
      <c r="Q40">
        <f t="shared" si="5"/>
        <v>0</v>
      </c>
      <c r="R40">
        <v>0</v>
      </c>
    </row>
    <row r="41" spans="1:18" x14ac:dyDescent="0.3">
      <c r="A41" t="s">
        <v>1</v>
      </c>
      <c r="B41" s="1">
        <v>45073</v>
      </c>
      <c r="C41" t="s">
        <v>7</v>
      </c>
      <c r="D41" t="s">
        <v>14</v>
      </c>
      <c r="E41">
        <v>2</v>
      </c>
      <c r="F41">
        <v>17</v>
      </c>
      <c r="G41">
        <v>0</v>
      </c>
      <c r="H41">
        <f>17-F41-G41</f>
        <v>0</v>
      </c>
      <c r="I41">
        <f t="shared" ref="I41:I49" si="10">H41+G41</f>
        <v>0</v>
      </c>
      <c r="J41">
        <f t="shared" ref="J41:J49" si="11">I41+F41</f>
        <v>17</v>
      </c>
      <c r="K41">
        <f>J41-F42</f>
        <v>0.10000000000000142</v>
      </c>
      <c r="M41">
        <f t="shared" ref="M41:M66" si="12">(J41-11)/6.1</f>
        <v>0.98360655737704927</v>
      </c>
      <c r="N41">
        <v>1</v>
      </c>
      <c r="O41">
        <v>2.5</v>
      </c>
      <c r="P41">
        <f>O41*70</f>
        <v>175</v>
      </c>
      <c r="Q41">
        <f t="shared" si="5"/>
        <v>0</v>
      </c>
      <c r="R41">
        <v>0</v>
      </c>
    </row>
    <row r="42" spans="1:18" x14ac:dyDescent="0.3">
      <c r="A42" t="s">
        <v>2</v>
      </c>
      <c r="B42" s="1">
        <v>45074</v>
      </c>
      <c r="C42" t="s">
        <v>7</v>
      </c>
      <c r="D42" t="s">
        <v>14</v>
      </c>
      <c r="E42">
        <v>2</v>
      </c>
      <c r="F42">
        <v>16.899999999999999</v>
      </c>
      <c r="G42">
        <v>0</v>
      </c>
      <c r="H42">
        <f t="shared" ref="H42:H78" si="13">17-F42-G42</f>
        <v>0.10000000000000142</v>
      </c>
      <c r="I42">
        <f t="shared" si="10"/>
        <v>0.10000000000000142</v>
      </c>
      <c r="J42">
        <f t="shared" si="11"/>
        <v>17</v>
      </c>
      <c r="K42">
        <f t="shared" ref="K42:K78" si="14">J42-F43</f>
        <v>0.10000000000000142</v>
      </c>
      <c r="L42">
        <f>K42+K41</f>
        <v>0.20000000000000284</v>
      </c>
      <c r="M42">
        <f t="shared" si="12"/>
        <v>0.98360655737704927</v>
      </c>
      <c r="N42">
        <v>2</v>
      </c>
      <c r="O42">
        <f t="shared" ref="O42:O78" si="15">O41+G42</f>
        <v>2.5</v>
      </c>
      <c r="P42">
        <f t="shared" ref="P42:P78" si="16">O42*70</f>
        <v>175</v>
      </c>
      <c r="Q42">
        <f t="shared" si="5"/>
        <v>0</v>
      </c>
      <c r="R42">
        <v>0</v>
      </c>
    </row>
    <row r="43" spans="1:18" x14ac:dyDescent="0.3">
      <c r="A43" t="s">
        <v>3</v>
      </c>
      <c r="B43" s="1">
        <v>45075</v>
      </c>
      <c r="C43" t="s">
        <v>7</v>
      </c>
      <c r="D43" t="s">
        <v>14</v>
      </c>
      <c r="E43">
        <v>2</v>
      </c>
      <c r="F43">
        <v>16.899999999999999</v>
      </c>
      <c r="G43">
        <v>0.25</v>
      </c>
      <c r="H43">
        <v>0</v>
      </c>
      <c r="I43">
        <f t="shared" si="10"/>
        <v>0.25</v>
      </c>
      <c r="J43">
        <f t="shared" si="11"/>
        <v>17.149999999999999</v>
      </c>
      <c r="K43">
        <f t="shared" si="14"/>
        <v>0.34999999999999787</v>
      </c>
      <c r="L43">
        <f>L42+K43</f>
        <v>0.55000000000000071</v>
      </c>
      <c r="M43">
        <f t="shared" si="12"/>
        <v>1.0081967213114753</v>
      </c>
      <c r="N43">
        <v>3</v>
      </c>
      <c r="O43">
        <f t="shared" si="15"/>
        <v>2.75</v>
      </c>
      <c r="P43">
        <f t="shared" si="16"/>
        <v>192.5</v>
      </c>
      <c r="Q43">
        <f t="shared" si="5"/>
        <v>0</v>
      </c>
      <c r="R43">
        <v>0</v>
      </c>
    </row>
    <row r="44" spans="1:18" x14ac:dyDescent="0.3">
      <c r="A44" t="s">
        <v>4</v>
      </c>
      <c r="B44" s="1">
        <v>45076</v>
      </c>
      <c r="C44" t="s">
        <v>7</v>
      </c>
      <c r="D44" t="s">
        <v>14</v>
      </c>
      <c r="E44">
        <v>2</v>
      </c>
      <c r="F44">
        <v>16.8</v>
      </c>
      <c r="G44">
        <v>0.25</v>
      </c>
      <c r="H44">
        <v>0</v>
      </c>
      <c r="I44">
        <f t="shared" si="10"/>
        <v>0.25</v>
      </c>
      <c r="J44">
        <f t="shared" si="11"/>
        <v>17.05</v>
      </c>
      <c r="K44">
        <f t="shared" si="14"/>
        <v>0.25</v>
      </c>
      <c r="L44">
        <f t="shared" ref="L44:L78" si="17">L43+K44</f>
        <v>0.80000000000000071</v>
      </c>
      <c r="M44">
        <f t="shared" si="12"/>
        <v>0.9918032786885248</v>
      </c>
      <c r="N44">
        <v>4</v>
      </c>
      <c r="O44">
        <f t="shared" si="15"/>
        <v>3</v>
      </c>
      <c r="P44">
        <f t="shared" si="16"/>
        <v>210</v>
      </c>
      <c r="Q44">
        <f t="shared" si="5"/>
        <v>0</v>
      </c>
      <c r="R44">
        <v>0</v>
      </c>
    </row>
    <row r="45" spans="1:18" x14ac:dyDescent="0.3">
      <c r="A45" t="s">
        <v>5</v>
      </c>
      <c r="B45" s="1">
        <v>45077</v>
      </c>
      <c r="C45" t="s">
        <v>7</v>
      </c>
      <c r="D45" t="s">
        <v>14</v>
      </c>
      <c r="E45">
        <v>2</v>
      </c>
      <c r="F45">
        <v>16.8</v>
      </c>
      <c r="G45">
        <v>0</v>
      </c>
      <c r="H45">
        <f t="shared" si="13"/>
        <v>0.19999999999999929</v>
      </c>
      <c r="I45">
        <f t="shared" si="10"/>
        <v>0.19999999999999929</v>
      </c>
      <c r="J45">
        <f t="shared" si="11"/>
        <v>17</v>
      </c>
      <c r="K45">
        <f t="shared" si="14"/>
        <v>0.30000000000000071</v>
      </c>
      <c r="L45">
        <f t="shared" si="17"/>
        <v>1.1000000000000014</v>
      </c>
      <c r="M45">
        <f t="shared" si="12"/>
        <v>0.98360655737704927</v>
      </c>
      <c r="N45">
        <v>5</v>
      </c>
      <c r="O45">
        <f t="shared" si="15"/>
        <v>3</v>
      </c>
      <c r="P45">
        <f t="shared" si="16"/>
        <v>210</v>
      </c>
      <c r="Q45">
        <f t="shared" si="5"/>
        <v>0</v>
      </c>
      <c r="R45">
        <v>0</v>
      </c>
    </row>
    <row r="46" spans="1:18" x14ac:dyDescent="0.3">
      <c r="A46" t="s">
        <v>6</v>
      </c>
      <c r="B46" s="1">
        <v>45078</v>
      </c>
      <c r="C46" t="s">
        <v>7</v>
      </c>
      <c r="D46" t="s">
        <v>14</v>
      </c>
      <c r="E46">
        <v>2</v>
      </c>
      <c r="F46">
        <v>16.7</v>
      </c>
      <c r="G46">
        <v>0.25</v>
      </c>
      <c r="H46">
        <f t="shared" si="13"/>
        <v>5.0000000000000711E-2</v>
      </c>
      <c r="I46">
        <f t="shared" si="10"/>
        <v>0.30000000000000071</v>
      </c>
      <c r="J46">
        <f t="shared" si="11"/>
        <v>17</v>
      </c>
      <c r="K46">
        <f t="shared" si="14"/>
        <v>0.19999999999999929</v>
      </c>
      <c r="L46">
        <f t="shared" si="17"/>
        <v>1.3000000000000007</v>
      </c>
      <c r="M46">
        <f t="shared" si="12"/>
        <v>0.98360655737704927</v>
      </c>
      <c r="N46">
        <v>6</v>
      </c>
      <c r="O46">
        <f t="shared" si="15"/>
        <v>3.25</v>
      </c>
      <c r="P46">
        <f t="shared" si="16"/>
        <v>227.5</v>
      </c>
      <c r="Q46">
        <f t="shared" si="5"/>
        <v>0</v>
      </c>
      <c r="R46">
        <v>0</v>
      </c>
    </row>
    <row r="47" spans="1:18" x14ac:dyDescent="0.3">
      <c r="A47" t="s">
        <v>0</v>
      </c>
      <c r="B47" s="1">
        <v>45079</v>
      </c>
      <c r="C47" t="s">
        <v>7</v>
      </c>
      <c r="D47" t="s">
        <v>14</v>
      </c>
      <c r="E47">
        <v>2</v>
      </c>
      <c r="F47">
        <v>16.8</v>
      </c>
      <c r="G47">
        <v>0.25</v>
      </c>
      <c r="H47">
        <v>0</v>
      </c>
      <c r="I47">
        <f t="shared" si="10"/>
        <v>0.25</v>
      </c>
      <c r="J47">
        <f t="shared" si="11"/>
        <v>17.05</v>
      </c>
      <c r="K47">
        <f t="shared" si="14"/>
        <v>5.0000000000000711E-2</v>
      </c>
      <c r="L47">
        <f t="shared" si="17"/>
        <v>1.3500000000000014</v>
      </c>
      <c r="M47">
        <f t="shared" si="12"/>
        <v>0.9918032786885248</v>
      </c>
      <c r="N47">
        <v>7</v>
      </c>
      <c r="O47">
        <f t="shared" si="15"/>
        <v>3.5</v>
      </c>
      <c r="P47">
        <f t="shared" si="16"/>
        <v>245</v>
      </c>
      <c r="Q47">
        <f t="shared" si="5"/>
        <v>0</v>
      </c>
      <c r="R47">
        <v>0</v>
      </c>
    </row>
    <row r="48" spans="1:18" x14ac:dyDescent="0.3">
      <c r="A48" t="s">
        <v>1</v>
      </c>
      <c r="B48" s="1">
        <v>45080</v>
      </c>
      <c r="C48" t="s">
        <v>7</v>
      </c>
      <c r="D48" t="s">
        <v>14</v>
      </c>
      <c r="E48">
        <v>2</v>
      </c>
      <c r="F48">
        <v>17</v>
      </c>
      <c r="G48">
        <v>0</v>
      </c>
      <c r="H48">
        <f t="shared" si="13"/>
        <v>0</v>
      </c>
      <c r="I48">
        <f t="shared" si="10"/>
        <v>0</v>
      </c>
      <c r="J48">
        <f t="shared" si="11"/>
        <v>17</v>
      </c>
      <c r="K48">
        <f t="shared" si="14"/>
        <v>0.10000000000000142</v>
      </c>
      <c r="L48">
        <f t="shared" si="17"/>
        <v>1.4500000000000028</v>
      </c>
      <c r="M48">
        <f t="shared" si="12"/>
        <v>0.98360655737704927</v>
      </c>
      <c r="N48">
        <v>8</v>
      </c>
      <c r="O48">
        <f t="shared" si="15"/>
        <v>3.5</v>
      </c>
      <c r="P48">
        <f t="shared" si="16"/>
        <v>245</v>
      </c>
      <c r="Q48">
        <f t="shared" si="5"/>
        <v>0</v>
      </c>
      <c r="R48">
        <v>0</v>
      </c>
    </row>
    <row r="49" spans="1:18" x14ac:dyDescent="0.3">
      <c r="A49" t="s">
        <v>2</v>
      </c>
      <c r="B49" s="1">
        <v>45081</v>
      </c>
      <c r="C49" t="s">
        <v>7</v>
      </c>
      <c r="D49" t="s">
        <v>14</v>
      </c>
      <c r="E49">
        <v>2</v>
      </c>
      <c r="F49">
        <v>16.899999999999999</v>
      </c>
      <c r="G49">
        <v>0</v>
      </c>
      <c r="H49">
        <f t="shared" si="13"/>
        <v>0.10000000000000142</v>
      </c>
      <c r="I49">
        <f t="shared" si="10"/>
        <v>0.10000000000000142</v>
      </c>
      <c r="J49">
        <f t="shared" si="11"/>
        <v>17</v>
      </c>
      <c r="K49">
        <f t="shared" si="14"/>
        <v>0.30000000000000071</v>
      </c>
      <c r="L49">
        <f t="shared" si="17"/>
        <v>1.7500000000000036</v>
      </c>
      <c r="M49">
        <f t="shared" si="12"/>
        <v>0.98360655737704927</v>
      </c>
      <c r="N49">
        <v>9</v>
      </c>
      <c r="O49">
        <f t="shared" si="15"/>
        <v>3.5</v>
      </c>
      <c r="P49">
        <f t="shared" si="16"/>
        <v>245</v>
      </c>
      <c r="Q49">
        <f t="shared" si="5"/>
        <v>0</v>
      </c>
      <c r="R49">
        <v>0</v>
      </c>
    </row>
    <row r="50" spans="1:18" x14ac:dyDescent="0.3">
      <c r="A50" t="s">
        <v>3</v>
      </c>
      <c r="B50" s="1">
        <v>45082</v>
      </c>
      <c r="C50" t="s">
        <v>7</v>
      </c>
      <c r="D50" t="s">
        <v>14</v>
      </c>
      <c r="E50">
        <v>2</v>
      </c>
      <c r="F50">
        <v>16.7</v>
      </c>
      <c r="G50">
        <v>0.25</v>
      </c>
      <c r="H50">
        <f t="shared" si="13"/>
        <v>5.0000000000000711E-2</v>
      </c>
      <c r="I50">
        <f t="shared" ref="I50:I113" si="18">H50+G50</f>
        <v>0.30000000000000071</v>
      </c>
      <c r="J50">
        <f t="shared" ref="J50:J113" si="19">I50+F50</f>
        <v>17</v>
      </c>
      <c r="K50">
        <f t="shared" si="14"/>
        <v>0.10000000000000142</v>
      </c>
      <c r="L50">
        <f t="shared" si="17"/>
        <v>1.850000000000005</v>
      </c>
      <c r="M50">
        <f t="shared" si="12"/>
        <v>0.98360655737704927</v>
      </c>
      <c r="N50">
        <v>10</v>
      </c>
      <c r="O50">
        <f t="shared" si="15"/>
        <v>3.75</v>
      </c>
      <c r="P50">
        <f t="shared" si="16"/>
        <v>262.5</v>
      </c>
      <c r="Q50">
        <f t="shared" si="5"/>
        <v>0</v>
      </c>
      <c r="R50">
        <v>0</v>
      </c>
    </row>
    <row r="51" spans="1:18" x14ac:dyDescent="0.3">
      <c r="A51" t="s">
        <v>4</v>
      </c>
      <c r="B51" s="1">
        <v>45083</v>
      </c>
      <c r="C51" t="s">
        <v>7</v>
      </c>
      <c r="D51" t="s">
        <v>14</v>
      </c>
      <c r="E51">
        <v>2</v>
      </c>
      <c r="F51">
        <v>16.899999999999999</v>
      </c>
      <c r="G51">
        <v>0.25</v>
      </c>
      <c r="H51">
        <v>0</v>
      </c>
      <c r="I51">
        <f t="shared" si="18"/>
        <v>0.25</v>
      </c>
      <c r="J51">
        <f t="shared" si="19"/>
        <v>17.149999999999999</v>
      </c>
      <c r="K51">
        <f t="shared" si="14"/>
        <v>0.25</v>
      </c>
      <c r="L51">
        <f t="shared" si="17"/>
        <v>2.100000000000005</v>
      </c>
      <c r="M51">
        <f t="shared" si="12"/>
        <v>1.0081967213114753</v>
      </c>
      <c r="N51">
        <v>11</v>
      </c>
      <c r="O51">
        <f t="shared" si="15"/>
        <v>4</v>
      </c>
      <c r="P51">
        <f t="shared" si="16"/>
        <v>280</v>
      </c>
      <c r="Q51">
        <f t="shared" si="5"/>
        <v>0</v>
      </c>
      <c r="R51">
        <v>0</v>
      </c>
    </row>
    <row r="52" spans="1:18" x14ac:dyDescent="0.3">
      <c r="A52" t="s">
        <v>5</v>
      </c>
      <c r="B52" s="1">
        <v>45084</v>
      </c>
      <c r="C52" t="s">
        <v>7</v>
      </c>
      <c r="D52" t="s">
        <v>14</v>
      </c>
      <c r="E52">
        <v>2</v>
      </c>
      <c r="F52">
        <v>16.899999999999999</v>
      </c>
      <c r="G52">
        <v>0</v>
      </c>
      <c r="H52">
        <f t="shared" si="13"/>
        <v>0.10000000000000142</v>
      </c>
      <c r="I52">
        <f t="shared" si="18"/>
        <v>0.10000000000000142</v>
      </c>
      <c r="J52">
        <f t="shared" si="19"/>
        <v>17</v>
      </c>
      <c r="K52">
        <f t="shared" si="14"/>
        <v>0.19999999999999929</v>
      </c>
      <c r="L52">
        <f t="shared" si="17"/>
        <v>2.3000000000000043</v>
      </c>
      <c r="M52">
        <f t="shared" si="12"/>
        <v>0.98360655737704927</v>
      </c>
      <c r="N52">
        <v>12</v>
      </c>
      <c r="O52">
        <f t="shared" si="15"/>
        <v>4</v>
      </c>
      <c r="P52">
        <f t="shared" si="16"/>
        <v>280</v>
      </c>
      <c r="Q52">
        <f t="shared" si="5"/>
        <v>0</v>
      </c>
      <c r="R52">
        <v>0</v>
      </c>
    </row>
    <row r="53" spans="1:18" x14ac:dyDescent="0.3">
      <c r="A53" t="s">
        <v>6</v>
      </c>
      <c r="B53" s="1">
        <v>45085</v>
      </c>
      <c r="C53" t="s">
        <v>7</v>
      </c>
      <c r="D53" t="s">
        <v>14</v>
      </c>
      <c r="E53">
        <v>2</v>
      </c>
      <c r="F53">
        <v>16.8</v>
      </c>
      <c r="G53">
        <v>0.25</v>
      </c>
      <c r="H53">
        <v>0</v>
      </c>
      <c r="I53">
        <f t="shared" si="18"/>
        <v>0.25</v>
      </c>
      <c r="J53">
        <f t="shared" si="19"/>
        <v>17.05</v>
      </c>
      <c r="K53">
        <f t="shared" si="14"/>
        <v>0.55000000000000071</v>
      </c>
      <c r="L53">
        <f t="shared" si="17"/>
        <v>2.850000000000005</v>
      </c>
      <c r="M53">
        <f t="shared" si="12"/>
        <v>0.9918032786885248</v>
      </c>
      <c r="N53">
        <v>13</v>
      </c>
      <c r="O53">
        <f t="shared" si="15"/>
        <v>4.25</v>
      </c>
      <c r="P53">
        <f t="shared" si="16"/>
        <v>297.5</v>
      </c>
      <c r="Q53">
        <f t="shared" si="5"/>
        <v>0</v>
      </c>
      <c r="R53">
        <v>0</v>
      </c>
    </row>
    <row r="54" spans="1:18" x14ac:dyDescent="0.3">
      <c r="A54" t="s">
        <v>0</v>
      </c>
      <c r="B54" s="1">
        <v>45086</v>
      </c>
      <c r="C54" t="s">
        <v>7</v>
      </c>
      <c r="D54" t="s">
        <v>14</v>
      </c>
      <c r="E54">
        <v>2</v>
      </c>
      <c r="F54">
        <v>16.5</v>
      </c>
      <c r="G54">
        <v>0.25</v>
      </c>
      <c r="H54">
        <f t="shared" si="13"/>
        <v>0.25</v>
      </c>
      <c r="I54">
        <f t="shared" si="18"/>
        <v>0.5</v>
      </c>
      <c r="J54">
        <f t="shared" si="19"/>
        <v>17</v>
      </c>
      <c r="K54">
        <f t="shared" si="14"/>
        <v>0.19999999999999929</v>
      </c>
      <c r="L54">
        <f t="shared" si="17"/>
        <v>3.0500000000000043</v>
      </c>
      <c r="M54">
        <f t="shared" si="12"/>
        <v>0.98360655737704927</v>
      </c>
      <c r="N54">
        <v>14</v>
      </c>
      <c r="O54">
        <f t="shared" si="15"/>
        <v>4.5</v>
      </c>
      <c r="P54">
        <f t="shared" si="16"/>
        <v>315</v>
      </c>
      <c r="Q54">
        <f t="shared" si="5"/>
        <v>0</v>
      </c>
      <c r="R54">
        <v>0</v>
      </c>
    </row>
    <row r="55" spans="1:18" x14ac:dyDescent="0.3">
      <c r="A55" t="s">
        <v>1</v>
      </c>
      <c r="B55" s="1">
        <v>45087</v>
      </c>
      <c r="C55" t="s">
        <v>7</v>
      </c>
      <c r="D55" t="s">
        <v>14</v>
      </c>
      <c r="E55">
        <v>2</v>
      </c>
      <c r="F55">
        <v>16.8</v>
      </c>
      <c r="G55">
        <v>0</v>
      </c>
      <c r="H55">
        <f t="shared" si="13"/>
        <v>0.19999999999999929</v>
      </c>
      <c r="I55">
        <f t="shared" si="18"/>
        <v>0.19999999999999929</v>
      </c>
      <c r="J55">
        <f t="shared" si="19"/>
        <v>17</v>
      </c>
      <c r="K55">
        <f t="shared" si="14"/>
        <v>0.39999999999999858</v>
      </c>
      <c r="L55">
        <f t="shared" si="17"/>
        <v>3.4500000000000028</v>
      </c>
      <c r="M55">
        <f t="shared" si="12"/>
        <v>0.98360655737704927</v>
      </c>
      <c r="N55">
        <v>15</v>
      </c>
      <c r="O55">
        <f t="shared" si="15"/>
        <v>4.5</v>
      </c>
      <c r="P55">
        <f t="shared" si="16"/>
        <v>315</v>
      </c>
      <c r="Q55">
        <f t="shared" si="5"/>
        <v>0</v>
      </c>
      <c r="R55">
        <v>0</v>
      </c>
    </row>
    <row r="56" spans="1:18" x14ac:dyDescent="0.3">
      <c r="A56" t="s">
        <v>2</v>
      </c>
      <c r="B56" s="1">
        <v>45088</v>
      </c>
      <c r="C56" t="s">
        <v>7</v>
      </c>
      <c r="D56" t="s">
        <v>14</v>
      </c>
      <c r="E56">
        <v>2</v>
      </c>
      <c r="F56">
        <v>16.600000000000001</v>
      </c>
      <c r="G56">
        <v>0</v>
      </c>
      <c r="H56">
        <f t="shared" si="13"/>
        <v>0.39999999999999858</v>
      </c>
      <c r="I56">
        <f t="shared" si="18"/>
        <v>0.39999999999999858</v>
      </c>
      <c r="J56">
        <f t="shared" si="19"/>
        <v>17</v>
      </c>
      <c r="K56">
        <f t="shared" si="14"/>
        <v>0.19999999999999929</v>
      </c>
      <c r="L56">
        <f t="shared" si="17"/>
        <v>3.6500000000000021</v>
      </c>
      <c r="M56">
        <f t="shared" si="12"/>
        <v>0.98360655737704927</v>
      </c>
      <c r="N56">
        <v>16</v>
      </c>
      <c r="O56">
        <f t="shared" si="15"/>
        <v>4.5</v>
      </c>
      <c r="P56">
        <f t="shared" si="16"/>
        <v>315</v>
      </c>
      <c r="Q56">
        <f t="shared" si="5"/>
        <v>0</v>
      </c>
      <c r="R56">
        <v>0</v>
      </c>
    </row>
    <row r="57" spans="1:18" x14ac:dyDescent="0.3">
      <c r="A57" t="s">
        <v>3</v>
      </c>
      <c r="B57" s="1">
        <v>45089</v>
      </c>
      <c r="C57" t="s">
        <v>7</v>
      </c>
      <c r="D57" t="s">
        <v>14</v>
      </c>
      <c r="E57">
        <v>2</v>
      </c>
      <c r="F57">
        <v>16.8</v>
      </c>
      <c r="G57">
        <v>0.5</v>
      </c>
      <c r="H57">
        <v>0</v>
      </c>
      <c r="I57">
        <f t="shared" si="18"/>
        <v>0.5</v>
      </c>
      <c r="J57">
        <f t="shared" si="19"/>
        <v>17.3</v>
      </c>
      <c r="K57">
        <f t="shared" si="14"/>
        <v>0.40000000000000213</v>
      </c>
      <c r="L57">
        <f t="shared" si="17"/>
        <v>4.0500000000000043</v>
      </c>
      <c r="M57">
        <f t="shared" si="12"/>
        <v>1.0327868852459019</v>
      </c>
      <c r="N57">
        <v>17</v>
      </c>
      <c r="O57">
        <f t="shared" si="15"/>
        <v>5</v>
      </c>
      <c r="P57">
        <f t="shared" si="16"/>
        <v>350</v>
      </c>
      <c r="Q57">
        <f t="shared" si="5"/>
        <v>0</v>
      </c>
      <c r="R57">
        <v>0</v>
      </c>
    </row>
    <row r="58" spans="1:18" x14ac:dyDescent="0.3">
      <c r="A58" t="s">
        <v>4</v>
      </c>
      <c r="B58" s="1">
        <v>45090</v>
      </c>
      <c r="C58" t="s">
        <v>7</v>
      </c>
      <c r="D58" t="s">
        <v>14</v>
      </c>
      <c r="E58">
        <v>2</v>
      </c>
      <c r="F58">
        <v>16.899999999999999</v>
      </c>
      <c r="G58">
        <v>0</v>
      </c>
      <c r="H58">
        <f t="shared" si="13"/>
        <v>0.10000000000000142</v>
      </c>
      <c r="I58">
        <f t="shared" si="18"/>
        <v>0.10000000000000142</v>
      </c>
      <c r="J58">
        <f t="shared" si="19"/>
        <v>17</v>
      </c>
      <c r="K58">
        <f t="shared" si="14"/>
        <v>0.10000000000000142</v>
      </c>
      <c r="L58">
        <f t="shared" si="17"/>
        <v>4.1500000000000057</v>
      </c>
      <c r="M58">
        <f t="shared" si="12"/>
        <v>0.98360655737704927</v>
      </c>
      <c r="N58">
        <v>18</v>
      </c>
      <c r="O58">
        <f t="shared" si="15"/>
        <v>5</v>
      </c>
      <c r="P58">
        <f t="shared" si="16"/>
        <v>350</v>
      </c>
      <c r="Q58">
        <f t="shared" si="5"/>
        <v>0</v>
      </c>
      <c r="R58">
        <v>0</v>
      </c>
    </row>
    <row r="59" spans="1:18" x14ac:dyDescent="0.3">
      <c r="A59" t="s">
        <v>5</v>
      </c>
      <c r="B59" s="1">
        <v>45091</v>
      </c>
      <c r="C59" t="s">
        <v>7</v>
      </c>
      <c r="D59" t="s">
        <v>14</v>
      </c>
      <c r="E59">
        <v>2</v>
      </c>
      <c r="F59">
        <v>16.899999999999999</v>
      </c>
      <c r="G59">
        <v>0</v>
      </c>
      <c r="H59">
        <f t="shared" si="13"/>
        <v>0.10000000000000142</v>
      </c>
      <c r="I59">
        <f t="shared" si="18"/>
        <v>0.10000000000000142</v>
      </c>
      <c r="J59">
        <f t="shared" si="19"/>
        <v>17</v>
      </c>
      <c r="K59">
        <f t="shared" si="14"/>
        <v>0.30000000000000071</v>
      </c>
      <c r="L59">
        <f t="shared" si="17"/>
        <v>4.4500000000000064</v>
      </c>
      <c r="M59">
        <f t="shared" si="12"/>
        <v>0.98360655737704927</v>
      </c>
      <c r="N59">
        <v>19</v>
      </c>
      <c r="O59">
        <f t="shared" si="15"/>
        <v>5</v>
      </c>
      <c r="P59">
        <f t="shared" si="16"/>
        <v>350</v>
      </c>
      <c r="Q59">
        <f t="shared" si="5"/>
        <v>0</v>
      </c>
      <c r="R59">
        <v>0</v>
      </c>
    </row>
    <row r="60" spans="1:18" x14ac:dyDescent="0.3">
      <c r="A60" t="s">
        <v>6</v>
      </c>
      <c r="B60" s="1">
        <v>45092</v>
      </c>
      <c r="C60" t="s">
        <v>7</v>
      </c>
      <c r="D60" t="s">
        <v>14</v>
      </c>
      <c r="E60">
        <v>2</v>
      </c>
      <c r="F60">
        <v>16.7</v>
      </c>
      <c r="G60">
        <v>0.5</v>
      </c>
      <c r="H60">
        <v>0</v>
      </c>
      <c r="I60">
        <f t="shared" si="18"/>
        <v>0.5</v>
      </c>
      <c r="J60">
        <f t="shared" si="19"/>
        <v>17.2</v>
      </c>
      <c r="K60">
        <f t="shared" si="14"/>
        <v>0.30000000000000071</v>
      </c>
      <c r="L60">
        <f t="shared" si="17"/>
        <v>4.7500000000000071</v>
      </c>
      <c r="M60">
        <f t="shared" si="12"/>
        <v>1.0163934426229508</v>
      </c>
      <c r="N60">
        <v>20</v>
      </c>
      <c r="O60">
        <f t="shared" si="15"/>
        <v>5.5</v>
      </c>
      <c r="P60">
        <f t="shared" si="16"/>
        <v>385</v>
      </c>
      <c r="Q60">
        <f t="shared" si="5"/>
        <v>0</v>
      </c>
      <c r="R60">
        <v>0</v>
      </c>
    </row>
    <row r="61" spans="1:18" x14ac:dyDescent="0.3">
      <c r="A61" t="s">
        <v>0</v>
      </c>
      <c r="B61" s="1">
        <v>45093</v>
      </c>
      <c r="C61" t="s">
        <v>7</v>
      </c>
      <c r="D61" t="s">
        <v>14</v>
      </c>
      <c r="E61">
        <v>2</v>
      </c>
      <c r="F61">
        <v>16.899999999999999</v>
      </c>
      <c r="G61">
        <v>0</v>
      </c>
      <c r="H61">
        <f t="shared" si="13"/>
        <v>0.10000000000000142</v>
      </c>
      <c r="I61">
        <f t="shared" si="18"/>
        <v>0.10000000000000142</v>
      </c>
      <c r="J61">
        <f t="shared" si="19"/>
        <v>17</v>
      </c>
      <c r="K61">
        <f t="shared" si="14"/>
        <v>0.30000000000000071</v>
      </c>
      <c r="L61">
        <f t="shared" si="17"/>
        <v>5.0500000000000078</v>
      </c>
      <c r="M61">
        <f t="shared" si="12"/>
        <v>0.98360655737704927</v>
      </c>
      <c r="N61">
        <v>21</v>
      </c>
      <c r="O61">
        <f t="shared" si="15"/>
        <v>5.5</v>
      </c>
      <c r="P61">
        <f t="shared" si="16"/>
        <v>385</v>
      </c>
      <c r="Q61">
        <f t="shared" si="5"/>
        <v>0</v>
      </c>
      <c r="R61">
        <v>0</v>
      </c>
    </row>
    <row r="62" spans="1:18" x14ac:dyDescent="0.3">
      <c r="A62" t="s">
        <v>1</v>
      </c>
      <c r="B62" s="1">
        <v>45094</v>
      </c>
      <c r="C62" t="s">
        <v>7</v>
      </c>
      <c r="D62" t="s">
        <v>14</v>
      </c>
      <c r="E62">
        <v>2</v>
      </c>
      <c r="F62">
        <v>16.7</v>
      </c>
      <c r="G62">
        <v>0</v>
      </c>
      <c r="H62">
        <f t="shared" si="13"/>
        <v>0.30000000000000071</v>
      </c>
      <c r="I62">
        <f t="shared" si="18"/>
        <v>0.30000000000000071</v>
      </c>
      <c r="J62">
        <f t="shared" si="19"/>
        <v>17</v>
      </c>
      <c r="K62">
        <f t="shared" si="14"/>
        <v>0.39999999999999858</v>
      </c>
      <c r="L62">
        <f t="shared" si="17"/>
        <v>5.4500000000000064</v>
      </c>
      <c r="M62">
        <f t="shared" si="12"/>
        <v>0.98360655737704927</v>
      </c>
      <c r="N62">
        <v>22</v>
      </c>
      <c r="O62">
        <f t="shared" si="15"/>
        <v>5.5</v>
      </c>
      <c r="P62">
        <f t="shared" si="16"/>
        <v>385</v>
      </c>
      <c r="Q62">
        <f t="shared" si="5"/>
        <v>0</v>
      </c>
      <c r="R62">
        <v>0</v>
      </c>
    </row>
    <row r="63" spans="1:18" x14ac:dyDescent="0.3">
      <c r="A63" t="s">
        <v>2</v>
      </c>
      <c r="B63" s="1">
        <v>45095</v>
      </c>
      <c r="C63" t="s">
        <v>7</v>
      </c>
      <c r="D63" t="s">
        <v>14</v>
      </c>
      <c r="E63">
        <v>2</v>
      </c>
      <c r="F63">
        <v>16.600000000000001</v>
      </c>
      <c r="G63">
        <v>0</v>
      </c>
      <c r="H63">
        <f t="shared" si="13"/>
        <v>0.39999999999999858</v>
      </c>
      <c r="I63">
        <f t="shared" si="18"/>
        <v>0.39999999999999858</v>
      </c>
      <c r="J63">
        <f t="shared" si="19"/>
        <v>17</v>
      </c>
      <c r="K63">
        <f t="shared" si="14"/>
        <v>0.10000000000000142</v>
      </c>
      <c r="L63">
        <f t="shared" si="17"/>
        <v>5.5500000000000078</v>
      </c>
      <c r="M63">
        <f t="shared" si="12"/>
        <v>0.98360655737704927</v>
      </c>
      <c r="N63">
        <v>23</v>
      </c>
      <c r="O63">
        <f t="shared" si="15"/>
        <v>5.5</v>
      </c>
      <c r="P63">
        <f t="shared" si="16"/>
        <v>385</v>
      </c>
      <c r="Q63">
        <f t="shared" si="5"/>
        <v>0</v>
      </c>
      <c r="R63">
        <v>0</v>
      </c>
    </row>
    <row r="64" spans="1:18" x14ac:dyDescent="0.3">
      <c r="A64" t="s">
        <v>3</v>
      </c>
      <c r="B64" s="1">
        <v>45096</v>
      </c>
      <c r="C64" t="s">
        <v>7</v>
      </c>
      <c r="D64" t="s">
        <v>14</v>
      </c>
      <c r="E64">
        <v>2</v>
      </c>
      <c r="F64">
        <v>16.899999999999999</v>
      </c>
      <c r="G64">
        <v>0.5</v>
      </c>
      <c r="H64">
        <v>0</v>
      </c>
      <c r="I64">
        <f t="shared" si="18"/>
        <v>0.5</v>
      </c>
      <c r="J64">
        <f t="shared" si="19"/>
        <v>17.399999999999999</v>
      </c>
      <c r="K64">
        <f t="shared" si="14"/>
        <v>0.39999999999999858</v>
      </c>
      <c r="L64">
        <f t="shared" si="17"/>
        <v>5.9500000000000064</v>
      </c>
      <c r="M64">
        <f t="shared" si="12"/>
        <v>1.0491803278688523</v>
      </c>
      <c r="N64">
        <v>24</v>
      </c>
      <c r="O64">
        <f t="shared" si="15"/>
        <v>6</v>
      </c>
      <c r="P64">
        <f t="shared" si="16"/>
        <v>420</v>
      </c>
      <c r="Q64">
        <f t="shared" si="5"/>
        <v>0</v>
      </c>
      <c r="R64">
        <v>0</v>
      </c>
    </row>
    <row r="65" spans="1:18" x14ac:dyDescent="0.3">
      <c r="A65" t="s">
        <v>4</v>
      </c>
      <c r="B65" s="1">
        <v>45097</v>
      </c>
      <c r="C65" t="s">
        <v>7</v>
      </c>
      <c r="D65" t="s">
        <v>14</v>
      </c>
      <c r="E65">
        <v>2</v>
      </c>
      <c r="F65">
        <v>17</v>
      </c>
      <c r="G65">
        <v>0</v>
      </c>
      <c r="H65">
        <f t="shared" si="13"/>
        <v>0</v>
      </c>
      <c r="I65">
        <f t="shared" si="18"/>
        <v>0</v>
      </c>
      <c r="J65">
        <f t="shared" si="19"/>
        <v>17</v>
      </c>
      <c r="K65">
        <f t="shared" si="14"/>
        <v>0.30000000000000071</v>
      </c>
      <c r="L65">
        <f t="shared" si="17"/>
        <v>6.2500000000000071</v>
      </c>
      <c r="M65">
        <f t="shared" si="12"/>
        <v>0.98360655737704927</v>
      </c>
      <c r="N65">
        <v>25</v>
      </c>
      <c r="O65">
        <f t="shared" si="15"/>
        <v>6</v>
      </c>
      <c r="P65">
        <f t="shared" si="16"/>
        <v>420</v>
      </c>
      <c r="Q65">
        <f t="shared" si="5"/>
        <v>0</v>
      </c>
      <c r="R65">
        <v>0</v>
      </c>
    </row>
    <row r="66" spans="1:18" x14ac:dyDescent="0.3">
      <c r="A66" t="s">
        <v>5</v>
      </c>
      <c r="B66" s="1">
        <v>45098</v>
      </c>
      <c r="C66" t="s">
        <v>7</v>
      </c>
      <c r="D66" t="s">
        <v>14</v>
      </c>
      <c r="E66">
        <v>2</v>
      </c>
      <c r="F66">
        <v>16.7</v>
      </c>
      <c r="G66">
        <v>0</v>
      </c>
      <c r="H66">
        <f t="shared" si="13"/>
        <v>0.30000000000000071</v>
      </c>
      <c r="I66">
        <f t="shared" si="18"/>
        <v>0.30000000000000071</v>
      </c>
      <c r="J66">
        <f t="shared" si="19"/>
        <v>17</v>
      </c>
      <c r="K66">
        <f t="shared" si="14"/>
        <v>0.30000000000000071</v>
      </c>
      <c r="L66">
        <f t="shared" si="17"/>
        <v>6.5500000000000078</v>
      </c>
      <c r="M66">
        <f t="shared" si="12"/>
        <v>0.98360655737704927</v>
      </c>
      <c r="N66">
        <v>26</v>
      </c>
      <c r="O66">
        <f t="shared" si="15"/>
        <v>6</v>
      </c>
      <c r="P66">
        <f t="shared" si="16"/>
        <v>420</v>
      </c>
      <c r="Q66">
        <f t="shared" si="5"/>
        <v>0</v>
      </c>
      <c r="R66">
        <v>0</v>
      </c>
    </row>
    <row r="67" spans="1:18" x14ac:dyDescent="0.3">
      <c r="A67" t="s">
        <v>6</v>
      </c>
      <c r="B67" s="1">
        <v>45099</v>
      </c>
      <c r="C67" t="s">
        <v>7</v>
      </c>
      <c r="D67" t="s">
        <v>14</v>
      </c>
      <c r="E67">
        <v>2</v>
      </c>
      <c r="F67">
        <v>16.7</v>
      </c>
      <c r="G67">
        <v>0.5</v>
      </c>
      <c r="H67">
        <v>0</v>
      </c>
      <c r="I67">
        <f t="shared" si="18"/>
        <v>0.5</v>
      </c>
      <c r="J67">
        <f t="shared" si="19"/>
        <v>17.2</v>
      </c>
      <c r="K67">
        <f t="shared" si="14"/>
        <v>0.30000000000000071</v>
      </c>
      <c r="L67">
        <f t="shared" si="17"/>
        <v>6.8500000000000085</v>
      </c>
      <c r="M67">
        <f t="shared" ref="M67:M78" si="20">(J67-11)/6.1</f>
        <v>1.0163934426229508</v>
      </c>
      <c r="N67">
        <v>27</v>
      </c>
      <c r="O67">
        <f t="shared" si="15"/>
        <v>6.5</v>
      </c>
      <c r="P67">
        <f t="shared" si="16"/>
        <v>455</v>
      </c>
      <c r="Q67">
        <f t="shared" ref="Q67:Q130" si="21">M67-M67</f>
        <v>0</v>
      </c>
      <c r="R67">
        <v>0</v>
      </c>
    </row>
    <row r="68" spans="1:18" x14ac:dyDescent="0.3">
      <c r="A68" t="s">
        <v>0</v>
      </c>
      <c r="B68" s="1">
        <v>45100</v>
      </c>
      <c r="C68" t="s">
        <v>7</v>
      </c>
      <c r="D68" t="s">
        <v>14</v>
      </c>
      <c r="E68">
        <v>2</v>
      </c>
      <c r="F68">
        <v>16.899999999999999</v>
      </c>
      <c r="G68">
        <v>0</v>
      </c>
      <c r="H68">
        <f t="shared" si="13"/>
        <v>0.10000000000000142</v>
      </c>
      <c r="I68">
        <f t="shared" si="18"/>
        <v>0.10000000000000142</v>
      </c>
      <c r="J68">
        <f t="shared" si="19"/>
        <v>17</v>
      </c>
      <c r="K68">
        <f t="shared" si="14"/>
        <v>0.19999999999999929</v>
      </c>
      <c r="L68">
        <f>L67+K68</f>
        <v>7.0500000000000078</v>
      </c>
      <c r="M68">
        <f t="shared" si="20"/>
        <v>0.98360655737704927</v>
      </c>
      <c r="N68">
        <v>28</v>
      </c>
      <c r="O68">
        <f t="shared" si="15"/>
        <v>6.5</v>
      </c>
      <c r="P68">
        <f t="shared" si="16"/>
        <v>455</v>
      </c>
      <c r="Q68">
        <f t="shared" si="21"/>
        <v>0</v>
      </c>
      <c r="R68">
        <v>0</v>
      </c>
    </row>
    <row r="69" spans="1:18" x14ac:dyDescent="0.3">
      <c r="A69" t="s">
        <v>1</v>
      </c>
      <c r="B69" s="1">
        <v>45101</v>
      </c>
      <c r="C69" t="s">
        <v>7</v>
      </c>
      <c r="D69" t="s">
        <v>14</v>
      </c>
      <c r="E69">
        <v>2</v>
      </c>
      <c r="F69">
        <v>16.8</v>
      </c>
      <c r="G69">
        <v>0</v>
      </c>
      <c r="H69">
        <f t="shared" si="13"/>
        <v>0.19999999999999929</v>
      </c>
      <c r="I69">
        <f t="shared" si="18"/>
        <v>0.19999999999999929</v>
      </c>
      <c r="J69">
        <f t="shared" si="19"/>
        <v>17</v>
      </c>
      <c r="K69">
        <f t="shared" si="14"/>
        <v>0.69999999999999929</v>
      </c>
      <c r="L69">
        <f t="shared" si="17"/>
        <v>7.7500000000000071</v>
      </c>
      <c r="M69">
        <f t="shared" si="20"/>
        <v>0.98360655737704927</v>
      </c>
      <c r="N69">
        <v>29</v>
      </c>
      <c r="O69">
        <f t="shared" si="15"/>
        <v>6.5</v>
      </c>
      <c r="P69">
        <f t="shared" si="16"/>
        <v>455</v>
      </c>
      <c r="Q69">
        <f t="shared" si="21"/>
        <v>0</v>
      </c>
      <c r="R69">
        <v>0</v>
      </c>
    </row>
    <row r="70" spans="1:18" x14ac:dyDescent="0.3">
      <c r="A70" t="s">
        <v>2</v>
      </c>
      <c r="B70" s="1">
        <v>45102</v>
      </c>
      <c r="C70" t="s">
        <v>7</v>
      </c>
      <c r="D70" t="s">
        <v>14</v>
      </c>
      <c r="E70">
        <v>2</v>
      </c>
      <c r="F70">
        <v>16.3</v>
      </c>
      <c r="G70">
        <v>0</v>
      </c>
      <c r="H70">
        <f t="shared" si="13"/>
        <v>0.69999999999999929</v>
      </c>
      <c r="I70">
        <f t="shared" si="18"/>
        <v>0.69999999999999929</v>
      </c>
      <c r="J70">
        <f t="shared" si="19"/>
        <v>17</v>
      </c>
      <c r="K70">
        <f t="shared" si="14"/>
        <v>0.30000000000000071</v>
      </c>
      <c r="L70">
        <f t="shared" si="17"/>
        <v>8.0500000000000078</v>
      </c>
      <c r="M70">
        <f t="shared" si="20"/>
        <v>0.98360655737704927</v>
      </c>
      <c r="N70">
        <v>30</v>
      </c>
      <c r="O70">
        <f t="shared" si="15"/>
        <v>6.5</v>
      </c>
      <c r="P70">
        <f t="shared" si="16"/>
        <v>455</v>
      </c>
      <c r="Q70">
        <f t="shared" si="21"/>
        <v>0</v>
      </c>
      <c r="R70">
        <v>0</v>
      </c>
    </row>
    <row r="71" spans="1:18" x14ac:dyDescent="0.3">
      <c r="A71" t="s">
        <v>3</v>
      </c>
      <c r="B71" s="1">
        <v>45103</v>
      </c>
      <c r="C71" t="s">
        <v>7</v>
      </c>
      <c r="D71" t="s">
        <v>14</v>
      </c>
      <c r="E71">
        <v>2</v>
      </c>
      <c r="F71">
        <v>16.7</v>
      </c>
      <c r="G71">
        <v>0.5</v>
      </c>
      <c r="H71">
        <v>0</v>
      </c>
      <c r="I71">
        <f t="shared" si="18"/>
        <v>0.5</v>
      </c>
      <c r="J71">
        <f t="shared" si="19"/>
        <v>17.2</v>
      </c>
      <c r="K71">
        <f t="shared" si="14"/>
        <v>0.30000000000000071</v>
      </c>
      <c r="L71">
        <f t="shared" si="17"/>
        <v>8.3500000000000085</v>
      </c>
      <c r="M71">
        <f t="shared" si="20"/>
        <v>1.0163934426229508</v>
      </c>
      <c r="N71">
        <v>31</v>
      </c>
      <c r="O71">
        <f t="shared" si="15"/>
        <v>7</v>
      </c>
      <c r="P71">
        <f t="shared" si="16"/>
        <v>490</v>
      </c>
      <c r="Q71">
        <f t="shared" si="21"/>
        <v>0</v>
      </c>
      <c r="R71">
        <v>0</v>
      </c>
    </row>
    <row r="72" spans="1:18" x14ac:dyDescent="0.3">
      <c r="A72" t="s">
        <v>4</v>
      </c>
      <c r="B72" s="1">
        <v>45104</v>
      </c>
      <c r="C72" t="s">
        <v>7</v>
      </c>
      <c r="D72" t="s">
        <v>14</v>
      </c>
      <c r="E72">
        <v>2</v>
      </c>
      <c r="F72">
        <v>16.899999999999999</v>
      </c>
      <c r="G72">
        <v>0</v>
      </c>
      <c r="H72">
        <f t="shared" si="13"/>
        <v>0.10000000000000142</v>
      </c>
      <c r="I72">
        <f t="shared" si="18"/>
        <v>0.10000000000000142</v>
      </c>
      <c r="J72">
        <f t="shared" si="19"/>
        <v>17</v>
      </c>
      <c r="K72">
        <f t="shared" si="14"/>
        <v>0.60000000000000142</v>
      </c>
      <c r="L72">
        <f t="shared" si="17"/>
        <v>8.9500000000000099</v>
      </c>
      <c r="M72">
        <f t="shared" si="20"/>
        <v>0.98360655737704927</v>
      </c>
      <c r="N72">
        <v>32</v>
      </c>
      <c r="O72">
        <f t="shared" si="15"/>
        <v>7</v>
      </c>
      <c r="P72">
        <f t="shared" si="16"/>
        <v>490</v>
      </c>
      <c r="Q72">
        <f t="shared" si="21"/>
        <v>0</v>
      </c>
      <c r="R72">
        <v>0</v>
      </c>
    </row>
    <row r="73" spans="1:18" x14ac:dyDescent="0.3">
      <c r="A73" t="s">
        <v>5</v>
      </c>
      <c r="B73" s="1">
        <v>45105</v>
      </c>
      <c r="C73" t="s">
        <v>7</v>
      </c>
      <c r="D73" t="s">
        <v>14</v>
      </c>
      <c r="E73">
        <v>2</v>
      </c>
      <c r="F73">
        <v>16.399999999999999</v>
      </c>
      <c r="G73">
        <v>0</v>
      </c>
      <c r="H73">
        <f t="shared" si="13"/>
        <v>0.60000000000000142</v>
      </c>
      <c r="I73">
        <f t="shared" si="18"/>
        <v>0.60000000000000142</v>
      </c>
      <c r="J73">
        <f t="shared" si="19"/>
        <v>17</v>
      </c>
      <c r="K73">
        <f t="shared" si="14"/>
        <v>0.39999999999999858</v>
      </c>
      <c r="L73">
        <f t="shared" si="17"/>
        <v>9.3500000000000085</v>
      </c>
      <c r="M73">
        <f t="shared" si="20"/>
        <v>0.98360655737704927</v>
      </c>
      <c r="N73">
        <v>33</v>
      </c>
      <c r="O73">
        <f t="shared" si="15"/>
        <v>7</v>
      </c>
      <c r="P73">
        <f t="shared" si="16"/>
        <v>490</v>
      </c>
      <c r="Q73">
        <f t="shared" si="21"/>
        <v>0</v>
      </c>
      <c r="R73">
        <v>0</v>
      </c>
    </row>
    <row r="74" spans="1:18" x14ac:dyDescent="0.3">
      <c r="A74" t="s">
        <v>6</v>
      </c>
      <c r="B74" s="1">
        <v>45106</v>
      </c>
      <c r="C74" t="s">
        <v>7</v>
      </c>
      <c r="D74" t="s">
        <v>14</v>
      </c>
      <c r="E74">
        <v>2</v>
      </c>
      <c r="F74">
        <v>16.600000000000001</v>
      </c>
      <c r="G74">
        <v>0.5</v>
      </c>
      <c r="H74">
        <v>0</v>
      </c>
      <c r="I74">
        <f t="shared" si="18"/>
        <v>0.5</v>
      </c>
      <c r="J74">
        <f t="shared" si="19"/>
        <v>17.100000000000001</v>
      </c>
      <c r="K74">
        <f t="shared" si="14"/>
        <v>0.40000000000000213</v>
      </c>
      <c r="L74">
        <f t="shared" si="17"/>
        <v>9.7500000000000107</v>
      </c>
      <c r="M74">
        <f t="shared" si="20"/>
        <v>1.0000000000000002</v>
      </c>
      <c r="N74">
        <v>34</v>
      </c>
      <c r="O74">
        <f t="shared" si="15"/>
        <v>7.5</v>
      </c>
      <c r="P74">
        <f t="shared" si="16"/>
        <v>525</v>
      </c>
      <c r="Q74">
        <f t="shared" si="21"/>
        <v>0</v>
      </c>
      <c r="R74">
        <v>0</v>
      </c>
    </row>
    <row r="75" spans="1:18" x14ac:dyDescent="0.3">
      <c r="A75" t="s">
        <v>0</v>
      </c>
      <c r="B75" s="1">
        <v>45107</v>
      </c>
      <c r="C75" t="s">
        <v>7</v>
      </c>
      <c r="D75" t="s">
        <v>14</v>
      </c>
      <c r="E75">
        <v>2</v>
      </c>
      <c r="F75">
        <v>16.7</v>
      </c>
      <c r="G75">
        <v>0</v>
      </c>
      <c r="H75">
        <f t="shared" si="13"/>
        <v>0.30000000000000071</v>
      </c>
      <c r="I75">
        <f t="shared" si="18"/>
        <v>0.30000000000000071</v>
      </c>
      <c r="J75">
        <f t="shared" si="19"/>
        <v>17</v>
      </c>
      <c r="K75">
        <f t="shared" si="14"/>
        <v>0.10000000000000142</v>
      </c>
      <c r="L75">
        <f t="shared" si="17"/>
        <v>9.8500000000000121</v>
      </c>
      <c r="M75">
        <f t="shared" si="20"/>
        <v>0.98360655737704927</v>
      </c>
      <c r="N75">
        <v>35</v>
      </c>
      <c r="O75">
        <f t="shared" si="15"/>
        <v>7.5</v>
      </c>
      <c r="P75">
        <f t="shared" si="16"/>
        <v>525</v>
      </c>
      <c r="Q75">
        <f t="shared" si="21"/>
        <v>0</v>
      </c>
      <c r="R75">
        <v>0</v>
      </c>
    </row>
    <row r="76" spans="1:18" x14ac:dyDescent="0.3">
      <c r="A76" t="s">
        <v>1</v>
      </c>
      <c r="B76" s="1">
        <v>45108</v>
      </c>
      <c r="C76" t="s">
        <v>7</v>
      </c>
      <c r="D76" t="s">
        <v>14</v>
      </c>
      <c r="E76">
        <v>2</v>
      </c>
      <c r="F76">
        <v>16.899999999999999</v>
      </c>
      <c r="G76">
        <v>0</v>
      </c>
      <c r="H76">
        <f t="shared" si="13"/>
        <v>0.10000000000000142</v>
      </c>
      <c r="I76">
        <f t="shared" si="18"/>
        <v>0.10000000000000142</v>
      </c>
      <c r="J76">
        <f t="shared" si="19"/>
        <v>17</v>
      </c>
      <c r="K76">
        <f t="shared" si="14"/>
        <v>0.39999999999999858</v>
      </c>
      <c r="L76">
        <f t="shared" si="17"/>
        <v>10.250000000000011</v>
      </c>
      <c r="M76">
        <f t="shared" si="20"/>
        <v>0.98360655737704927</v>
      </c>
      <c r="N76">
        <v>36</v>
      </c>
      <c r="O76">
        <f t="shared" si="15"/>
        <v>7.5</v>
      </c>
      <c r="P76">
        <f t="shared" si="16"/>
        <v>525</v>
      </c>
      <c r="Q76">
        <f t="shared" si="21"/>
        <v>0</v>
      </c>
      <c r="R76">
        <v>0</v>
      </c>
    </row>
    <row r="77" spans="1:18" x14ac:dyDescent="0.3">
      <c r="A77" t="s">
        <v>2</v>
      </c>
      <c r="B77" s="1">
        <v>45109</v>
      </c>
      <c r="C77" t="s">
        <v>7</v>
      </c>
      <c r="D77" t="s">
        <v>14</v>
      </c>
      <c r="E77">
        <v>2</v>
      </c>
      <c r="F77">
        <v>16.600000000000001</v>
      </c>
      <c r="G77">
        <v>0</v>
      </c>
      <c r="H77">
        <f t="shared" si="13"/>
        <v>0.39999999999999858</v>
      </c>
      <c r="I77">
        <f t="shared" si="18"/>
        <v>0.39999999999999858</v>
      </c>
      <c r="J77">
        <f t="shared" si="19"/>
        <v>17</v>
      </c>
      <c r="K77">
        <f t="shared" si="14"/>
        <v>0.39999999999999858</v>
      </c>
      <c r="L77">
        <f t="shared" si="17"/>
        <v>10.650000000000009</v>
      </c>
      <c r="M77">
        <f t="shared" si="20"/>
        <v>0.98360655737704927</v>
      </c>
      <c r="N77">
        <v>37</v>
      </c>
      <c r="O77">
        <f t="shared" si="15"/>
        <v>7.5</v>
      </c>
      <c r="P77">
        <f t="shared" si="16"/>
        <v>525</v>
      </c>
      <c r="Q77">
        <f t="shared" si="21"/>
        <v>0</v>
      </c>
      <c r="R77">
        <v>0</v>
      </c>
    </row>
    <row r="78" spans="1:18" x14ac:dyDescent="0.3">
      <c r="A78" t="s">
        <v>3</v>
      </c>
      <c r="B78" s="1">
        <v>45110</v>
      </c>
      <c r="C78" t="s">
        <v>7</v>
      </c>
      <c r="D78" t="s">
        <v>14</v>
      </c>
      <c r="E78">
        <v>2</v>
      </c>
      <c r="F78">
        <v>16.600000000000001</v>
      </c>
      <c r="G78">
        <v>0</v>
      </c>
      <c r="H78">
        <f t="shared" si="13"/>
        <v>0.39999999999999858</v>
      </c>
      <c r="I78">
        <f t="shared" si="18"/>
        <v>0.39999999999999858</v>
      </c>
      <c r="J78">
        <f t="shared" si="19"/>
        <v>17</v>
      </c>
      <c r="K78">
        <f t="shared" si="14"/>
        <v>0.39999999999999858</v>
      </c>
      <c r="L78">
        <f t="shared" si="17"/>
        <v>11.050000000000008</v>
      </c>
      <c r="M78">
        <f t="shared" si="20"/>
        <v>0.98360655737704927</v>
      </c>
      <c r="N78">
        <v>38</v>
      </c>
      <c r="O78">
        <f t="shared" si="15"/>
        <v>7.5</v>
      </c>
      <c r="P78">
        <f t="shared" si="16"/>
        <v>525</v>
      </c>
      <c r="Q78">
        <f t="shared" si="21"/>
        <v>0</v>
      </c>
      <c r="R78">
        <v>0</v>
      </c>
    </row>
    <row r="79" spans="1:18" x14ac:dyDescent="0.3">
      <c r="A79" t="s">
        <v>4</v>
      </c>
      <c r="B79" s="1">
        <v>45111</v>
      </c>
      <c r="C79" t="s">
        <v>7</v>
      </c>
      <c r="D79" t="s">
        <v>14</v>
      </c>
      <c r="E79">
        <v>2</v>
      </c>
      <c r="F79">
        <v>16.600000000000001</v>
      </c>
      <c r="Q79">
        <f t="shared" si="21"/>
        <v>0</v>
      </c>
      <c r="R79">
        <v>0</v>
      </c>
    </row>
    <row r="80" spans="1:18" x14ac:dyDescent="0.3">
      <c r="A80" t="s">
        <v>1</v>
      </c>
      <c r="B80" s="1">
        <v>45073</v>
      </c>
      <c r="C80" t="s">
        <v>7</v>
      </c>
      <c r="D80" t="s">
        <v>14</v>
      </c>
      <c r="E80">
        <v>3</v>
      </c>
      <c r="F80">
        <v>17</v>
      </c>
      <c r="G80">
        <v>0</v>
      </c>
      <c r="H80">
        <f>17-F80-G80</f>
        <v>0</v>
      </c>
      <c r="I80">
        <f t="shared" si="18"/>
        <v>0</v>
      </c>
      <c r="J80">
        <f t="shared" si="19"/>
        <v>17</v>
      </c>
      <c r="K80">
        <f>J80-F81</f>
        <v>0.10000000000000142</v>
      </c>
      <c r="M80">
        <f t="shared" ref="M80:M130" si="22">(J80-11)/6.1</f>
        <v>0.98360655737704927</v>
      </c>
      <c r="N80">
        <v>1</v>
      </c>
      <c r="O80">
        <v>2.5</v>
      </c>
      <c r="P80">
        <f>O80*70</f>
        <v>175</v>
      </c>
      <c r="Q80">
        <f t="shared" si="21"/>
        <v>0</v>
      </c>
      <c r="R80">
        <v>0</v>
      </c>
    </row>
    <row r="81" spans="1:18" x14ac:dyDescent="0.3">
      <c r="A81" t="s">
        <v>2</v>
      </c>
      <c r="B81" s="1">
        <v>45074</v>
      </c>
      <c r="C81" t="s">
        <v>7</v>
      </c>
      <c r="D81" t="s">
        <v>14</v>
      </c>
      <c r="E81">
        <v>3</v>
      </c>
      <c r="F81">
        <v>16.899999999999999</v>
      </c>
      <c r="G81">
        <v>0</v>
      </c>
      <c r="H81">
        <f t="shared" ref="H81:H117" si="23">17-F81-G81</f>
        <v>0.10000000000000142</v>
      </c>
      <c r="I81">
        <f t="shared" si="18"/>
        <v>0.10000000000000142</v>
      </c>
      <c r="J81">
        <f t="shared" si="19"/>
        <v>17</v>
      </c>
      <c r="K81">
        <f t="shared" ref="K81:K117" si="24">J81-F82</f>
        <v>0.10000000000000142</v>
      </c>
      <c r="L81">
        <f>K80+K81</f>
        <v>0.20000000000000284</v>
      </c>
      <c r="M81">
        <f t="shared" si="22"/>
        <v>0.98360655737704927</v>
      </c>
      <c r="N81">
        <v>2</v>
      </c>
      <c r="O81">
        <f t="shared" ref="O81:O117" si="25">O80+G81</f>
        <v>2.5</v>
      </c>
      <c r="P81">
        <f t="shared" ref="P81:P117" si="26">O81*70</f>
        <v>175</v>
      </c>
      <c r="Q81">
        <f t="shared" si="21"/>
        <v>0</v>
      </c>
      <c r="R81">
        <v>0</v>
      </c>
    </row>
    <row r="82" spans="1:18" x14ac:dyDescent="0.3">
      <c r="A82" t="s">
        <v>3</v>
      </c>
      <c r="B82" s="1">
        <v>45075</v>
      </c>
      <c r="C82" t="s">
        <v>7</v>
      </c>
      <c r="D82" t="s">
        <v>14</v>
      </c>
      <c r="E82">
        <v>3</v>
      </c>
      <c r="F82">
        <v>16.899999999999999</v>
      </c>
      <c r="G82">
        <v>0.25</v>
      </c>
      <c r="H82">
        <v>0</v>
      </c>
      <c r="I82">
        <f t="shared" si="18"/>
        <v>0.25</v>
      </c>
      <c r="J82">
        <f t="shared" si="19"/>
        <v>17.149999999999999</v>
      </c>
      <c r="K82">
        <f t="shared" si="24"/>
        <v>0.25</v>
      </c>
      <c r="L82">
        <f>L81+K82</f>
        <v>0.45000000000000284</v>
      </c>
      <c r="M82">
        <f t="shared" si="22"/>
        <v>1.0081967213114753</v>
      </c>
      <c r="N82">
        <v>3</v>
      </c>
      <c r="O82">
        <f t="shared" si="25"/>
        <v>2.75</v>
      </c>
      <c r="P82">
        <f t="shared" si="26"/>
        <v>192.5</v>
      </c>
      <c r="Q82">
        <f t="shared" si="21"/>
        <v>0</v>
      </c>
      <c r="R82">
        <v>0</v>
      </c>
    </row>
    <row r="83" spans="1:18" x14ac:dyDescent="0.3">
      <c r="A83" t="s">
        <v>4</v>
      </c>
      <c r="B83" s="1">
        <v>45076</v>
      </c>
      <c r="C83" t="s">
        <v>7</v>
      </c>
      <c r="D83" t="s">
        <v>14</v>
      </c>
      <c r="E83">
        <v>3</v>
      </c>
      <c r="F83">
        <v>16.899999999999999</v>
      </c>
      <c r="G83">
        <v>0.25</v>
      </c>
      <c r="H83">
        <v>0</v>
      </c>
      <c r="I83">
        <f t="shared" si="18"/>
        <v>0.25</v>
      </c>
      <c r="J83">
        <f t="shared" si="19"/>
        <v>17.149999999999999</v>
      </c>
      <c r="K83">
        <f t="shared" si="24"/>
        <v>0.14999999999999858</v>
      </c>
      <c r="L83">
        <f t="shared" ref="L83:L117" si="27">L82+K83</f>
        <v>0.60000000000000142</v>
      </c>
      <c r="M83">
        <f t="shared" si="22"/>
        <v>1.0081967213114753</v>
      </c>
      <c r="N83">
        <v>4</v>
      </c>
      <c r="O83">
        <f t="shared" si="25"/>
        <v>3</v>
      </c>
      <c r="P83">
        <f t="shared" si="26"/>
        <v>210</v>
      </c>
      <c r="Q83">
        <f t="shared" si="21"/>
        <v>0</v>
      </c>
      <c r="R83">
        <v>0</v>
      </c>
    </row>
    <row r="84" spans="1:18" x14ac:dyDescent="0.3">
      <c r="A84" t="s">
        <v>5</v>
      </c>
      <c r="B84" s="1">
        <v>45077</v>
      </c>
      <c r="C84" t="s">
        <v>7</v>
      </c>
      <c r="D84" t="s">
        <v>14</v>
      </c>
      <c r="E84">
        <v>3</v>
      </c>
      <c r="F84">
        <v>17</v>
      </c>
      <c r="G84">
        <v>0</v>
      </c>
      <c r="H84">
        <f t="shared" si="23"/>
        <v>0</v>
      </c>
      <c r="I84">
        <f t="shared" si="18"/>
        <v>0</v>
      </c>
      <c r="J84">
        <f t="shared" si="19"/>
        <v>17</v>
      </c>
      <c r="K84">
        <f t="shared" si="24"/>
        <v>0.19999999999999929</v>
      </c>
      <c r="L84">
        <f t="shared" si="27"/>
        <v>0.80000000000000071</v>
      </c>
      <c r="M84">
        <f t="shared" si="22"/>
        <v>0.98360655737704927</v>
      </c>
      <c r="N84">
        <v>5</v>
      </c>
      <c r="O84">
        <f t="shared" si="25"/>
        <v>3</v>
      </c>
      <c r="P84">
        <f t="shared" si="26"/>
        <v>210</v>
      </c>
      <c r="Q84">
        <f t="shared" si="21"/>
        <v>0</v>
      </c>
      <c r="R84">
        <v>0</v>
      </c>
    </row>
    <row r="85" spans="1:18" x14ac:dyDescent="0.3">
      <c r="A85" t="s">
        <v>6</v>
      </c>
      <c r="B85" s="1">
        <v>45078</v>
      </c>
      <c r="C85" t="s">
        <v>7</v>
      </c>
      <c r="D85" t="s">
        <v>14</v>
      </c>
      <c r="E85">
        <v>3</v>
      </c>
      <c r="F85">
        <v>16.8</v>
      </c>
      <c r="G85">
        <v>0.25</v>
      </c>
      <c r="H85">
        <v>0</v>
      </c>
      <c r="I85">
        <f t="shared" si="18"/>
        <v>0.25</v>
      </c>
      <c r="J85">
        <f t="shared" si="19"/>
        <v>17.05</v>
      </c>
      <c r="K85">
        <f t="shared" si="24"/>
        <v>0.25</v>
      </c>
      <c r="L85">
        <f t="shared" si="27"/>
        <v>1.0500000000000007</v>
      </c>
      <c r="M85">
        <f t="shared" si="22"/>
        <v>0.9918032786885248</v>
      </c>
      <c r="N85">
        <v>6</v>
      </c>
      <c r="O85">
        <f t="shared" si="25"/>
        <v>3.25</v>
      </c>
      <c r="P85">
        <f t="shared" si="26"/>
        <v>227.5</v>
      </c>
      <c r="Q85">
        <f t="shared" si="21"/>
        <v>0</v>
      </c>
      <c r="R85">
        <v>0</v>
      </c>
    </row>
    <row r="86" spans="1:18" x14ac:dyDescent="0.3">
      <c r="A86" t="s">
        <v>0</v>
      </c>
      <c r="B86" s="1">
        <v>45079</v>
      </c>
      <c r="C86" t="s">
        <v>7</v>
      </c>
      <c r="D86" t="s">
        <v>14</v>
      </c>
      <c r="E86">
        <v>3</v>
      </c>
      <c r="F86">
        <v>16.8</v>
      </c>
      <c r="G86">
        <v>0.25</v>
      </c>
      <c r="H86">
        <v>0</v>
      </c>
      <c r="I86">
        <f t="shared" si="18"/>
        <v>0.25</v>
      </c>
      <c r="J86">
        <f t="shared" si="19"/>
        <v>17.05</v>
      </c>
      <c r="K86">
        <f t="shared" si="24"/>
        <v>5.0000000000000711E-2</v>
      </c>
      <c r="L86">
        <f t="shared" si="27"/>
        <v>1.1000000000000014</v>
      </c>
      <c r="M86">
        <f t="shared" si="22"/>
        <v>0.9918032786885248</v>
      </c>
      <c r="N86">
        <v>7</v>
      </c>
      <c r="O86">
        <f t="shared" si="25"/>
        <v>3.5</v>
      </c>
      <c r="P86">
        <f t="shared" si="26"/>
        <v>245</v>
      </c>
      <c r="Q86">
        <f t="shared" si="21"/>
        <v>0</v>
      </c>
      <c r="R86">
        <v>0</v>
      </c>
    </row>
    <row r="87" spans="1:18" x14ac:dyDescent="0.3">
      <c r="A87" t="s">
        <v>1</v>
      </c>
      <c r="B87" s="1">
        <v>45080</v>
      </c>
      <c r="C87" t="s">
        <v>7</v>
      </c>
      <c r="D87" t="s">
        <v>14</v>
      </c>
      <c r="E87">
        <v>3</v>
      </c>
      <c r="F87">
        <v>17</v>
      </c>
      <c r="G87">
        <v>0</v>
      </c>
      <c r="H87">
        <f t="shared" si="23"/>
        <v>0</v>
      </c>
      <c r="I87">
        <f t="shared" si="18"/>
        <v>0</v>
      </c>
      <c r="J87">
        <f t="shared" si="19"/>
        <v>17</v>
      </c>
      <c r="K87">
        <f t="shared" si="24"/>
        <v>0.10000000000000142</v>
      </c>
      <c r="L87">
        <f t="shared" si="27"/>
        <v>1.2000000000000028</v>
      </c>
      <c r="M87">
        <f t="shared" si="22"/>
        <v>0.98360655737704927</v>
      </c>
      <c r="N87">
        <v>8</v>
      </c>
      <c r="O87">
        <f t="shared" si="25"/>
        <v>3.5</v>
      </c>
      <c r="P87">
        <f t="shared" si="26"/>
        <v>245</v>
      </c>
      <c r="Q87">
        <f t="shared" si="21"/>
        <v>0</v>
      </c>
      <c r="R87">
        <v>0</v>
      </c>
    </row>
    <row r="88" spans="1:18" x14ac:dyDescent="0.3">
      <c r="A88" t="s">
        <v>2</v>
      </c>
      <c r="B88" s="1">
        <v>45081</v>
      </c>
      <c r="C88" t="s">
        <v>7</v>
      </c>
      <c r="D88" t="s">
        <v>14</v>
      </c>
      <c r="E88">
        <v>3</v>
      </c>
      <c r="F88">
        <v>16.899999999999999</v>
      </c>
      <c r="G88">
        <v>0</v>
      </c>
      <c r="H88">
        <f t="shared" si="23"/>
        <v>0.10000000000000142</v>
      </c>
      <c r="I88">
        <f t="shared" si="18"/>
        <v>0.10000000000000142</v>
      </c>
      <c r="J88">
        <f t="shared" si="19"/>
        <v>17</v>
      </c>
      <c r="K88">
        <f t="shared" si="24"/>
        <v>0.10000000000000142</v>
      </c>
      <c r="L88">
        <f t="shared" si="27"/>
        <v>1.3000000000000043</v>
      </c>
      <c r="M88">
        <f t="shared" si="22"/>
        <v>0.98360655737704927</v>
      </c>
      <c r="N88">
        <v>9</v>
      </c>
      <c r="O88">
        <f t="shared" si="25"/>
        <v>3.5</v>
      </c>
      <c r="P88">
        <f t="shared" si="26"/>
        <v>245</v>
      </c>
      <c r="Q88">
        <f t="shared" si="21"/>
        <v>0</v>
      </c>
      <c r="R88">
        <v>0</v>
      </c>
    </row>
    <row r="89" spans="1:18" x14ac:dyDescent="0.3">
      <c r="A89" t="s">
        <v>3</v>
      </c>
      <c r="B89" s="1">
        <v>45082</v>
      </c>
      <c r="C89" t="s">
        <v>7</v>
      </c>
      <c r="D89" t="s">
        <v>14</v>
      </c>
      <c r="E89">
        <v>3</v>
      </c>
      <c r="F89">
        <v>16.899999999999999</v>
      </c>
      <c r="G89">
        <v>0.25</v>
      </c>
      <c r="H89">
        <v>0</v>
      </c>
      <c r="I89">
        <f t="shared" si="18"/>
        <v>0.25</v>
      </c>
      <c r="J89">
        <f t="shared" si="19"/>
        <v>17.149999999999999</v>
      </c>
      <c r="K89">
        <f t="shared" si="24"/>
        <v>4.9999999999997158E-2</v>
      </c>
      <c r="L89">
        <f t="shared" si="27"/>
        <v>1.3500000000000014</v>
      </c>
      <c r="M89">
        <f t="shared" si="22"/>
        <v>1.0081967213114753</v>
      </c>
      <c r="N89">
        <v>10</v>
      </c>
      <c r="O89">
        <f t="shared" si="25"/>
        <v>3.75</v>
      </c>
      <c r="P89">
        <f t="shared" si="26"/>
        <v>262.5</v>
      </c>
      <c r="Q89">
        <f t="shared" si="21"/>
        <v>0</v>
      </c>
      <c r="R89">
        <v>0</v>
      </c>
    </row>
    <row r="90" spans="1:18" x14ac:dyDescent="0.3">
      <c r="A90" t="s">
        <v>4</v>
      </c>
      <c r="B90" s="1">
        <v>45083</v>
      </c>
      <c r="C90" t="s">
        <v>7</v>
      </c>
      <c r="D90" t="s">
        <v>14</v>
      </c>
      <c r="E90">
        <v>3</v>
      </c>
      <c r="F90">
        <v>17.100000000000001</v>
      </c>
      <c r="G90">
        <v>0.25</v>
      </c>
      <c r="H90">
        <v>0</v>
      </c>
      <c r="I90">
        <f t="shared" si="18"/>
        <v>0.25</v>
      </c>
      <c r="J90">
        <f t="shared" si="19"/>
        <v>17.350000000000001</v>
      </c>
      <c r="K90">
        <f t="shared" si="24"/>
        <v>0.25</v>
      </c>
      <c r="L90">
        <f t="shared" si="27"/>
        <v>1.6000000000000014</v>
      </c>
      <c r="M90">
        <f t="shared" si="22"/>
        <v>1.0409836065573774</v>
      </c>
      <c r="N90">
        <v>11</v>
      </c>
      <c r="O90">
        <f t="shared" si="25"/>
        <v>4</v>
      </c>
      <c r="P90">
        <f t="shared" si="26"/>
        <v>280</v>
      </c>
      <c r="Q90">
        <f t="shared" si="21"/>
        <v>0</v>
      </c>
      <c r="R90">
        <v>0</v>
      </c>
    </row>
    <row r="91" spans="1:18" x14ac:dyDescent="0.3">
      <c r="A91" t="s">
        <v>5</v>
      </c>
      <c r="B91" s="1">
        <v>45084</v>
      </c>
      <c r="C91" t="s">
        <v>7</v>
      </c>
      <c r="D91" t="s">
        <v>14</v>
      </c>
      <c r="E91">
        <v>3</v>
      </c>
      <c r="F91">
        <v>17.100000000000001</v>
      </c>
      <c r="G91">
        <v>0</v>
      </c>
      <c r="H91">
        <v>0</v>
      </c>
      <c r="I91">
        <f t="shared" si="18"/>
        <v>0</v>
      </c>
      <c r="J91">
        <f t="shared" si="19"/>
        <v>17.100000000000001</v>
      </c>
      <c r="K91">
        <f t="shared" si="24"/>
        <v>0.10000000000000142</v>
      </c>
      <c r="L91">
        <f t="shared" si="27"/>
        <v>1.7000000000000028</v>
      </c>
      <c r="M91">
        <f t="shared" si="22"/>
        <v>1.0000000000000002</v>
      </c>
      <c r="N91">
        <v>12</v>
      </c>
      <c r="O91">
        <f t="shared" si="25"/>
        <v>4</v>
      </c>
      <c r="P91">
        <f t="shared" si="26"/>
        <v>280</v>
      </c>
      <c r="Q91">
        <f t="shared" si="21"/>
        <v>0</v>
      </c>
      <c r="R91">
        <v>0</v>
      </c>
    </row>
    <row r="92" spans="1:18" x14ac:dyDescent="0.3">
      <c r="A92" t="s">
        <v>6</v>
      </c>
      <c r="B92" s="1">
        <v>45085</v>
      </c>
      <c r="C92" t="s">
        <v>7</v>
      </c>
      <c r="D92" t="s">
        <v>14</v>
      </c>
      <c r="E92">
        <v>3</v>
      </c>
      <c r="F92">
        <v>17</v>
      </c>
      <c r="G92">
        <v>0.25</v>
      </c>
      <c r="H92">
        <v>0</v>
      </c>
      <c r="I92">
        <f t="shared" si="18"/>
        <v>0.25</v>
      </c>
      <c r="J92">
        <f t="shared" si="19"/>
        <v>17.25</v>
      </c>
      <c r="K92">
        <f t="shared" si="24"/>
        <v>0.25</v>
      </c>
      <c r="L92">
        <f t="shared" si="27"/>
        <v>1.9500000000000028</v>
      </c>
      <c r="M92">
        <f t="shared" si="22"/>
        <v>1.0245901639344264</v>
      </c>
      <c r="N92">
        <v>13</v>
      </c>
      <c r="O92">
        <f t="shared" si="25"/>
        <v>4.25</v>
      </c>
      <c r="P92">
        <f t="shared" si="26"/>
        <v>297.5</v>
      </c>
      <c r="Q92">
        <f t="shared" si="21"/>
        <v>0</v>
      </c>
      <c r="R92">
        <v>0</v>
      </c>
    </row>
    <row r="93" spans="1:18" x14ac:dyDescent="0.3">
      <c r="A93" t="s">
        <v>0</v>
      </c>
      <c r="B93" s="1">
        <v>45086</v>
      </c>
      <c r="C93" t="s">
        <v>7</v>
      </c>
      <c r="D93" t="s">
        <v>14</v>
      </c>
      <c r="E93">
        <v>3</v>
      </c>
      <c r="F93">
        <v>17</v>
      </c>
      <c r="G93">
        <v>0.25</v>
      </c>
      <c r="H93">
        <v>0</v>
      </c>
      <c r="I93">
        <f t="shared" si="18"/>
        <v>0.25</v>
      </c>
      <c r="J93">
        <f t="shared" si="19"/>
        <v>17.25</v>
      </c>
      <c r="K93">
        <f t="shared" si="24"/>
        <v>0.35000000000000142</v>
      </c>
      <c r="L93">
        <f t="shared" si="27"/>
        <v>2.3000000000000043</v>
      </c>
      <c r="M93">
        <f t="shared" si="22"/>
        <v>1.0245901639344264</v>
      </c>
      <c r="N93">
        <v>14</v>
      </c>
      <c r="O93">
        <f t="shared" si="25"/>
        <v>4.5</v>
      </c>
      <c r="P93">
        <f t="shared" si="26"/>
        <v>315</v>
      </c>
      <c r="Q93">
        <f t="shared" si="21"/>
        <v>0</v>
      </c>
      <c r="R93">
        <v>0</v>
      </c>
    </row>
    <row r="94" spans="1:18" x14ac:dyDescent="0.3">
      <c r="A94" t="s">
        <v>1</v>
      </c>
      <c r="B94" s="1">
        <v>45087</v>
      </c>
      <c r="C94" t="s">
        <v>7</v>
      </c>
      <c r="D94" t="s">
        <v>14</v>
      </c>
      <c r="E94">
        <v>3</v>
      </c>
      <c r="F94">
        <v>16.899999999999999</v>
      </c>
      <c r="G94">
        <v>0</v>
      </c>
      <c r="H94">
        <f t="shared" si="23"/>
        <v>0.10000000000000142</v>
      </c>
      <c r="I94">
        <f t="shared" si="18"/>
        <v>0.10000000000000142</v>
      </c>
      <c r="J94">
        <f t="shared" si="19"/>
        <v>17</v>
      </c>
      <c r="K94">
        <f t="shared" si="24"/>
        <v>0.30000000000000071</v>
      </c>
      <c r="L94">
        <f t="shared" si="27"/>
        <v>2.600000000000005</v>
      </c>
      <c r="M94">
        <f t="shared" si="22"/>
        <v>0.98360655737704927</v>
      </c>
      <c r="N94">
        <v>15</v>
      </c>
      <c r="O94">
        <f t="shared" si="25"/>
        <v>4.5</v>
      </c>
      <c r="P94">
        <f t="shared" si="26"/>
        <v>315</v>
      </c>
      <c r="Q94">
        <f t="shared" si="21"/>
        <v>0</v>
      </c>
      <c r="R94">
        <v>0</v>
      </c>
    </row>
    <row r="95" spans="1:18" x14ac:dyDescent="0.3">
      <c r="A95" t="s">
        <v>2</v>
      </c>
      <c r="B95" s="1">
        <v>45088</v>
      </c>
      <c r="C95" t="s">
        <v>7</v>
      </c>
      <c r="D95" t="s">
        <v>14</v>
      </c>
      <c r="E95">
        <v>3</v>
      </c>
      <c r="F95">
        <v>16.7</v>
      </c>
      <c r="G95">
        <v>0</v>
      </c>
      <c r="H95">
        <f t="shared" si="23"/>
        <v>0.30000000000000071</v>
      </c>
      <c r="I95">
        <f t="shared" si="18"/>
        <v>0.30000000000000071</v>
      </c>
      <c r="J95">
        <f t="shared" si="19"/>
        <v>17</v>
      </c>
      <c r="K95">
        <f t="shared" si="24"/>
        <v>0.19999999999999929</v>
      </c>
      <c r="L95">
        <f t="shared" si="27"/>
        <v>2.8000000000000043</v>
      </c>
      <c r="M95">
        <f t="shared" si="22"/>
        <v>0.98360655737704927</v>
      </c>
      <c r="N95">
        <v>16</v>
      </c>
      <c r="O95">
        <f t="shared" si="25"/>
        <v>4.5</v>
      </c>
      <c r="P95">
        <f t="shared" si="26"/>
        <v>315</v>
      </c>
      <c r="Q95">
        <f t="shared" si="21"/>
        <v>0</v>
      </c>
      <c r="R95">
        <v>0</v>
      </c>
    </row>
    <row r="96" spans="1:18" x14ac:dyDescent="0.3">
      <c r="A96" t="s">
        <v>3</v>
      </c>
      <c r="B96" s="1">
        <v>45089</v>
      </c>
      <c r="C96" t="s">
        <v>7</v>
      </c>
      <c r="D96" t="s">
        <v>14</v>
      </c>
      <c r="E96">
        <v>3</v>
      </c>
      <c r="F96">
        <v>16.8</v>
      </c>
      <c r="G96">
        <v>0.5</v>
      </c>
      <c r="H96">
        <v>0</v>
      </c>
      <c r="I96">
        <f t="shared" si="18"/>
        <v>0.5</v>
      </c>
      <c r="J96">
        <f t="shared" si="19"/>
        <v>17.3</v>
      </c>
      <c r="K96">
        <f t="shared" si="24"/>
        <v>0.40000000000000213</v>
      </c>
      <c r="L96">
        <f t="shared" si="27"/>
        <v>3.2000000000000064</v>
      </c>
      <c r="M96">
        <f t="shared" si="22"/>
        <v>1.0327868852459019</v>
      </c>
      <c r="N96">
        <v>17</v>
      </c>
      <c r="O96">
        <f t="shared" si="25"/>
        <v>5</v>
      </c>
      <c r="P96">
        <f t="shared" si="26"/>
        <v>350</v>
      </c>
      <c r="Q96">
        <f t="shared" si="21"/>
        <v>0</v>
      </c>
      <c r="R96">
        <v>0</v>
      </c>
    </row>
    <row r="97" spans="1:18" x14ac:dyDescent="0.3">
      <c r="A97" t="s">
        <v>4</v>
      </c>
      <c r="B97" s="1">
        <v>45090</v>
      </c>
      <c r="C97" t="s">
        <v>7</v>
      </c>
      <c r="D97" t="s">
        <v>14</v>
      </c>
      <c r="E97">
        <v>3</v>
      </c>
      <c r="F97">
        <v>16.899999999999999</v>
      </c>
      <c r="G97">
        <v>0</v>
      </c>
      <c r="H97">
        <f t="shared" si="23"/>
        <v>0.10000000000000142</v>
      </c>
      <c r="I97">
        <f t="shared" si="18"/>
        <v>0.10000000000000142</v>
      </c>
      <c r="J97">
        <f t="shared" si="19"/>
        <v>17</v>
      </c>
      <c r="K97">
        <f t="shared" si="24"/>
        <v>-0.10000000000000142</v>
      </c>
      <c r="L97">
        <f t="shared" si="27"/>
        <v>3.100000000000005</v>
      </c>
      <c r="M97">
        <f t="shared" si="22"/>
        <v>0.98360655737704927</v>
      </c>
      <c r="N97">
        <v>18</v>
      </c>
      <c r="O97">
        <f t="shared" si="25"/>
        <v>5</v>
      </c>
      <c r="P97">
        <f t="shared" si="26"/>
        <v>350</v>
      </c>
      <c r="Q97">
        <f t="shared" si="21"/>
        <v>0</v>
      </c>
      <c r="R97">
        <v>0</v>
      </c>
    </row>
    <row r="98" spans="1:18" x14ac:dyDescent="0.3">
      <c r="A98" t="s">
        <v>5</v>
      </c>
      <c r="B98" s="1">
        <v>45091</v>
      </c>
      <c r="C98" t="s">
        <v>7</v>
      </c>
      <c r="D98" t="s">
        <v>14</v>
      </c>
      <c r="E98">
        <v>3</v>
      </c>
      <c r="F98">
        <v>17.100000000000001</v>
      </c>
      <c r="G98">
        <v>0</v>
      </c>
      <c r="H98">
        <f t="shared" si="23"/>
        <v>-0.10000000000000142</v>
      </c>
      <c r="I98">
        <f t="shared" si="18"/>
        <v>-0.10000000000000142</v>
      </c>
      <c r="J98">
        <f t="shared" si="19"/>
        <v>17</v>
      </c>
      <c r="K98">
        <f t="shared" si="24"/>
        <v>0.10000000000000142</v>
      </c>
      <c r="L98">
        <f t="shared" si="27"/>
        <v>3.2000000000000064</v>
      </c>
      <c r="M98">
        <f t="shared" si="22"/>
        <v>0.98360655737704927</v>
      </c>
      <c r="N98">
        <v>19</v>
      </c>
      <c r="O98">
        <f t="shared" si="25"/>
        <v>5</v>
      </c>
      <c r="P98">
        <f t="shared" si="26"/>
        <v>350</v>
      </c>
      <c r="Q98">
        <f t="shared" si="21"/>
        <v>0</v>
      </c>
      <c r="R98">
        <v>0</v>
      </c>
    </row>
    <row r="99" spans="1:18" x14ac:dyDescent="0.3">
      <c r="A99" t="s">
        <v>6</v>
      </c>
      <c r="B99" s="1">
        <v>45092</v>
      </c>
      <c r="C99" t="s">
        <v>7</v>
      </c>
      <c r="D99" t="s">
        <v>14</v>
      </c>
      <c r="E99">
        <v>3</v>
      </c>
      <c r="F99">
        <v>16.899999999999999</v>
      </c>
      <c r="G99">
        <v>0.5</v>
      </c>
      <c r="H99">
        <v>0</v>
      </c>
      <c r="I99">
        <f t="shared" si="18"/>
        <v>0.5</v>
      </c>
      <c r="J99">
        <f t="shared" si="19"/>
        <v>17.399999999999999</v>
      </c>
      <c r="K99">
        <f t="shared" si="24"/>
        <v>0.5</v>
      </c>
      <c r="L99">
        <f t="shared" si="27"/>
        <v>3.7000000000000064</v>
      </c>
      <c r="M99">
        <f t="shared" si="22"/>
        <v>1.0491803278688523</v>
      </c>
      <c r="N99">
        <v>20</v>
      </c>
      <c r="O99">
        <f t="shared" si="25"/>
        <v>5.5</v>
      </c>
      <c r="P99">
        <f t="shared" si="26"/>
        <v>385</v>
      </c>
      <c r="Q99">
        <f t="shared" si="21"/>
        <v>0</v>
      </c>
      <c r="R99">
        <v>0</v>
      </c>
    </row>
    <row r="100" spans="1:18" x14ac:dyDescent="0.3">
      <c r="A100" t="s">
        <v>0</v>
      </c>
      <c r="B100" s="1">
        <v>45093</v>
      </c>
      <c r="C100" t="s">
        <v>7</v>
      </c>
      <c r="D100" t="s">
        <v>14</v>
      </c>
      <c r="E100">
        <v>3</v>
      </c>
      <c r="F100">
        <v>16.899999999999999</v>
      </c>
      <c r="G100">
        <v>0</v>
      </c>
      <c r="H100">
        <f t="shared" si="23"/>
        <v>0.10000000000000142</v>
      </c>
      <c r="I100">
        <f t="shared" si="18"/>
        <v>0.10000000000000142</v>
      </c>
      <c r="J100">
        <f t="shared" si="19"/>
        <v>17</v>
      </c>
      <c r="K100">
        <f t="shared" si="24"/>
        <v>0.10000000000000142</v>
      </c>
      <c r="L100">
        <f t="shared" si="27"/>
        <v>3.8000000000000078</v>
      </c>
      <c r="M100">
        <f t="shared" si="22"/>
        <v>0.98360655737704927</v>
      </c>
      <c r="N100">
        <v>21</v>
      </c>
      <c r="O100">
        <f t="shared" si="25"/>
        <v>5.5</v>
      </c>
      <c r="P100">
        <f t="shared" si="26"/>
        <v>385</v>
      </c>
      <c r="Q100">
        <f t="shared" si="21"/>
        <v>0</v>
      </c>
      <c r="R100">
        <v>0</v>
      </c>
    </row>
    <row r="101" spans="1:18" x14ac:dyDescent="0.3">
      <c r="A101" t="s">
        <v>1</v>
      </c>
      <c r="B101" s="1">
        <v>45094</v>
      </c>
      <c r="C101" t="s">
        <v>7</v>
      </c>
      <c r="D101" t="s">
        <v>14</v>
      </c>
      <c r="E101">
        <v>3</v>
      </c>
      <c r="F101">
        <v>16.899999999999999</v>
      </c>
      <c r="G101">
        <v>0</v>
      </c>
      <c r="H101">
        <f t="shared" si="23"/>
        <v>0.10000000000000142</v>
      </c>
      <c r="I101">
        <f t="shared" si="18"/>
        <v>0.10000000000000142</v>
      </c>
      <c r="J101">
        <f t="shared" si="19"/>
        <v>17</v>
      </c>
      <c r="K101">
        <f t="shared" si="24"/>
        <v>0.39999999999999858</v>
      </c>
      <c r="L101">
        <f t="shared" si="27"/>
        <v>4.2000000000000064</v>
      </c>
      <c r="M101">
        <f t="shared" si="22"/>
        <v>0.98360655737704927</v>
      </c>
      <c r="N101">
        <v>22</v>
      </c>
      <c r="O101">
        <f t="shared" si="25"/>
        <v>5.5</v>
      </c>
      <c r="P101">
        <f t="shared" si="26"/>
        <v>385</v>
      </c>
      <c r="Q101">
        <f t="shared" si="21"/>
        <v>0</v>
      </c>
      <c r="R101">
        <v>0</v>
      </c>
    </row>
    <row r="102" spans="1:18" x14ac:dyDescent="0.3">
      <c r="A102" t="s">
        <v>2</v>
      </c>
      <c r="B102" s="1">
        <v>45095</v>
      </c>
      <c r="C102" t="s">
        <v>7</v>
      </c>
      <c r="D102" t="s">
        <v>14</v>
      </c>
      <c r="E102">
        <v>3</v>
      </c>
      <c r="F102">
        <v>16.600000000000001</v>
      </c>
      <c r="G102">
        <v>0</v>
      </c>
      <c r="H102">
        <f t="shared" si="23"/>
        <v>0.39999999999999858</v>
      </c>
      <c r="I102">
        <f t="shared" si="18"/>
        <v>0.39999999999999858</v>
      </c>
      <c r="J102">
        <f t="shared" si="19"/>
        <v>17</v>
      </c>
      <c r="K102">
        <f t="shared" si="24"/>
        <v>0.30000000000000071</v>
      </c>
      <c r="L102">
        <f t="shared" si="27"/>
        <v>4.5000000000000071</v>
      </c>
      <c r="M102">
        <f t="shared" si="22"/>
        <v>0.98360655737704927</v>
      </c>
      <c r="N102">
        <v>23</v>
      </c>
      <c r="O102">
        <f t="shared" si="25"/>
        <v>5.5</v>
      </c>
      <c r="P102">
        <f t="shared" si="26"/>
        <v>385</v>
      </c>
      <c r="Q102">
        <f t="shared" si="21"/>
        <v>0</v>
      </c>
      <c r="R102">
        <v>0</v>
      </c>
    </row>
    <row r="103" spans="1:18" x14ac:dyDescent="0.3">
      <c r="A103" t="s">
        <v>3</v>
      </c>
      <c r="B103" s="1">
        <v>45096</v>
      </c>
      <c r="C103" t="s">
        <v>7</v>
      </c>
      <c r="D103" t="s">
        <v>14</v>
      </c>
      <c r="E103">
        <v>3</v>
      </c>
      <c r="F103">
        <v>16.7</v>
      </c>
      <c r="G103">
        <v>0.5</v>
      </c>
      <c r="H103">
        <v>0</v>
      </c>
      <c r="I103">
        <f t="shared" si="18"/>
        <v>0.5</v>
      </c>
      <c r="J103">
        <f t="shared" si="19"/>
        <v>17.2</v>
      </c>
      <c r="K103">
        <f t="shared" si="24"/>
        <v>0.19999999999999929</v>
      </c>
      <c r="L103">
        <f t="shared" si="27"/>
        <v>4.7000000000000064</v>
      </c>
      <c r="M103">
        <f t="shared" si="22"/>
        <v>1.0163934426229508</v>
      </c>
      <c r="N103">
        <v>24</v>
      </c>
      <c r="O103">
        <f t="shared" si="25"/>
        <v>6</v>
      </c>
      <c r="P103">
        <f t="shared" si="26"/>
        <v>420</v>
      </c>
      <c r="Q103">
        <f t="shared" si="21"/>
        <v>0</v>
      </c>
      <c r="R103">
        <v>0</v>
      </c>
    </row>
    <row r="104" spans="1:18" x14ac:dyDescent="0.3">
      <c r="A104" t="s">
        <v>4</v>
      </c>
      <c r="B104" s="1">
        <v>45097</v>
      </c>
      <c r="C104" t="s">
        <v>7</v>
      </c>
      <c r="D104" t="s">
        <v>14</v>
      </c>
      <c r="E104">
        <v>3</v>
      </c>
      <c r="F104">
        <v>17</v>
      </c>
      <c r="G104">
        <v>0</v>
      </c>
      <c r="H104">
        <f t="shared" si="23"/>
        <v>0</v>
      </c>
      <c r="I104">
        <f t="shared" si="18"/>
        <v>0</v>
      </c>
      <c r="J104">
        <f t="shared" si="19"/>
        <v>17</v>
      </c>
      <c r="K104">
        <f t="shared" si="24"/>
        <v>0.19999999999999929</v>
      </c>
      <c r="L104">
        <f t="shared" si="27"/>
        <v>4.9000000000000057</v>
      </c>
      <c r="M104">
        <f t="shared" si="22"/>
        <v>0.98360655737704927</v>
      </c>
      <c r="N104">
        <v>25</v>
      </c>
      <c r="O104">
        <f t="shared" si="25"/>
        <v>6</v>
      </c>
      <c r="P104">
        <f t="shared" si="26"/>
        <v>420</v>
      </c>
      <c r="Q104">
        <f t="shared" si="21"/>
        <v>0</v>
      </c>
      <c r="R104">
        <v>0</v>
      </c>
    </row>
    <row r="105" spans="1:18" x14ac:dyDescent="0.3">
      <c r="A105" t="s">
        <v>5</v>
      </c>
      <c r="B105" s="1">
        <v>45098</v>
      </c>
      <c r="C105" t="s">
        <v>7</v>
      </c>
      <c r="D105" t="s">
        <v>14</v>
      </c>
      <c r="E105">
        <v>3</v>
      </c>
      <c r="F105">
        <v>16.8</v>
      </c>
      <c r="G105">
        <v>0</v>
      </c>
      <c r="H105">
        <f t="shared" si="23"/>
        <v>0.19999999999999929</v>
      </c>
      <c r="I105">
        <f t="shared" si="18"/>
        <v>0.19999999999999929</v>
      </c>
      <c r="J105">
        <f t="shared" si="19"/>
        <v>17</v>
      </c>
      <c r="K105">
        <f t="shared" si="24"/>
        <v>0.19999999999999929</v>
      </c>
      <c r="L105">
        <f t="shared" si="27"/>
        <v>5.100000000000005</v>
      </c>
      <c r="M105">
        <f t="shared" si="22"/>
        <v>0.98360655737704927</v>
      </c>
      <c r="N105">
        <v>26</v>
      </c>
      <c r="O105">
        <f t="shared" si="25"/>
        <v>6</v>
      </c>
      <c r="P105">
        <f t="shared" si="26"/>
        <v>420</v>
      </c>
      <c r="Q105">
        <f t="shared" si="21"/>
        <v>0</v>
      </c>
      <c r="R105">
        <v>0</v>
      </c>
    </row>
    <row r="106" spans="1:18" x14ac:dyDescent="0.3">
      <c r="A106" t="s">
        <v>6</v>
      </c>
      <c r="B106" s="1">
        <v>45099</v>
      </c>
      <c r="C106" t="s">
        <v>7</v>
      </c>
      <c r="D106" t="s">
        <v>14</v>
      </c>
      <c r="E106">
        <v>3</v>
      </c>
      <c r="F106">
        <v>16.8</v>
      </c>
      <c r="G106">
        <v>0.5</v>
      </c>
      <c r="H106">
        <v>0</v>
      </c>
      <c r="I106">
        <f t="shared" si="18"/>
        <v>0.5</v>
      </c>
      <c r="J106">
        <f t="shared" si="19"/>
        <v>17.3</v>
      </c>
      <c r="K106">
        <f t="shared" si="24"/>
        <v>0.19999999999999929</v>
      </c>
      <c r="L106">
        <f t="shared" si="27"/>
        <v>5.3000000000000043</v>
      </c>
      <c r="M106">
        <f t="shared" si="22"/>
        <v>1.0327868852459019</v>
      </c>
      <c r="N106">
        <v>27</v>
      </c>
      <c r="O106">
        <f t="shared" si="25"/>
        <v>6.5</v>
      </c>
      <c r="P106">
        <f t="shared" si="26"/>
        <v>455</v>
      </c>
      <c r="Q106">
        <f t="shared" si="21"/>
        <v>0</v>
      </c>
      <c r="R106">
        <v>0</v>
      </c>
    </row>
    <row r="107" spans="1:18" x14ac:dyDescent="0.3">
      <c r="A107" t="s">
        <v>0</v>
      </c>
      <c r="B107" s="1">
        <v>45100</v>
      </c>
      <c r="C107" t="s">
        <v>7</v>
      </c>
      <c r="D107" t="s">
        <v>14</v>
      </c>
      <c r="E107">
        <v>3</v>
      </c>
      <c r="F107">
        <v>17.100000000000001</v>
      </c>
      <c r="G107">
        <v>0</v>
      </c>
      <c r="H107">
        <v>0</v>
      </c>
      <c r="I107">
        <f t="shared" si="18"/>
        <v>0</v>
      </c>
      <c r="J107">
        <f t="shared" si="19"/>
        <v>17.100000000000001</v>
      </c>
      <c r="K107">
        <f t="shared" si="24"/>
        <v>0.20000000000000284</v>
      </c>
      <c r="L107">
        <f t="shared" si="27"/>
        <v>5.5000000000000071</v>
      </c>
      <c r="M107">
        <f t="shared" si="22"/>
        <v>1.0000000000000002</v>
      </c>
      <c r="N107">
        <v>28</v>
      </c>
      <c r="O107">
        <f t="shared" si="25"/>
        <v>6.5</v>
      </c>
      <c r="P107">
        <f t="shared" si="26"/>
        <v>455</v>
      </c>
      <c r="Q107">
        <f t="shared" si="21"/>
        <v>0</v>
      </c>
      <c r="R107">
        <v>0</v>
      </c>
    </row>
    <row r="108" spans="1:18" x14ac:dyDescent="0.3">
      <c r="A108" t="s">
        <v>1</v>
      </c>
      <c r="B108" s="1">
        <v>45101</v>
      </c>
      <c r="C108" t="s">
        <v>7</v>
      </c>
      <c r="D108" t="s">
        <v>14</v>
      </c>
      <c r="E108">
        <v>3</v>
      </c>
      <c r="F108">
        <v>16.899999999999999</v>
      </c>
      <c r="G108">
        <v>0</v>
      </c>
      <c r="H108">
        <f t="shared" si="23"/>
        <v>0.10000000000000142</v>
      </c>
      <c r="I108">
        <f t="shared" si="18"/>
        <v>0.10000000000000142</v>
      </c>
      <c r="J108">
        <f t="shared" si="19"/>
        <v>17</v>
      </c>
      <c r="K108">
        <f t="shared" si="24"/>
        <v>0.30000000000000071</v>
      </c>
      <c r="L108">
        <f>L107+K108</f>
        <v>5.8000000000000078</v>
      </c>
      <c r="M108">
        <f t="shared" si="22"/>
        <v>0.98360655737704927</v>
      </c>
      <c r="N108">
        <v>29</v>
      </c>
      <c r="O108">
        <f t="shared" si="25"/>
        <v>6.5</v>
      </c>
      <c r="P108">
        <f t="shared" si="26"/>
        <v>455</v>
      </c>
      <c r="Q108">
        <f t="shared" si="21"/>
        <v>0</v>
      </c>
      <c r="R108">
        <v>0</v>
      </c>
    </row>
    <row r="109" spans="1:18" x14ac:dyDescent="0.3">
      <c r="A109" t="s">
        <v>2</v>
      </c>
      <c r="B109" s="1">
        <v>45102</v>
      </c>
      <c r="C109" t="s">
        <v>7</v>
      </c>
      <c r="D109" t="s">
        <v>14</v>
      </c>
      <c r="E109">
        <v>3</v>
      </c>
      <c r="F109">
        <v>16.7</v>
      </c>
      <c r="G109">
        <v>0</v>
      </c>
      <c r="H109">
        <f t="shared" si="23"/>
        <v>0.30000000000000071</v>
      </c>
      <c r="I109">
        <f t="shared" si="18"/>
        <v>0.30000000000000071</v>
      </c>
      <c r="J109">
        <f t="shared" si="19"/>
        <v>17</v>
      </c>
      <c r="K109">
        <f t="shared" si="24"/>
        <v>0.5</v>
      </c>
      <c r="L109">
        <f t="shared" si="27"/>
        <v>6.3000000000000078</v>
      </c>
      <c r="M109">
        <f t="shared" si="22"/>
        <v>0.98360655737704927</v>
      </c>
      <c r="N109">
        <v>30</v>
      </c>
      <c r="O109">
        <f t="shared" si="25"/>
        <v>6.5</v>
      </c>
      <c r="P109">
        <f t="shared" si="26"/>
        <v>455</v>
      </c>
      <c r="Q109">
        <f t="shared" si="21"/>
        <v>0</v>
      </c>
      <c r="R109">
        <v>0</v>
      </c>
    </row>
    <row r="110" spans="1:18" x14ac:dyDescent="0.3">
      <c r="A110" t="s">
        <v>3</v>
      </c>
      <c r="B110" s="1">
        <v>45103</v>
      </c>
      <c r="C110" t="s">
        <v>7</v>
      </c>
      <c r="D110" t="s">
        <v>14</v>
      </c>
      <c r="E110">
        <v>3</v>
      </c>
      <c r="F110">
        <v>16.5</v>
      </c>
      <c r="G110">
        <v>0.5</v>
      </c>
      <c r="H110">
        <f t="shared" si="23"/>
        <v>0</v>
      </c>
      <c r="I110">
        <f t="shared" si="18"/>
        <v>0.5</v>
      </c>
      <c r="J110">
        <f t="shared" si="19"/>
        <v>17</v>
      </c>
      <c r="K110">
        <f t="shared" si="24"/>
        <v>0.10000000000000142</v>
      </c>
      <c r="L110">
        <f t="shared" si="27"/>
        <v>6.4000000000000092</v>
      </c>
      <c r="M110">
        <f t="shared" si="22"/>
        <v>0.98360655737704927</v>
      </c>
      <c r="N110">
        <v>31</v>
      </c>
      <c r="O110">
        <f t="shared" si="25"/>
        <v>7</v>
      </c>
      <c r="P110">
        <f t="shared" si="26"/>
        <v>490</v>
      </c>
      <c r="Q110">
        <f t="shared" si="21"/>
        <v>0</v>
      </c>
      <c r="R110">
        <v>0</v>
      </c>
    </row>
    <row r="111" spans="1:18" x14ac:dyDescent="0.3">
      <c r="A111" t="s">
        <v>4</v>
      </c>
      <c r="B111" s="1">
        <v>45104</v>
      </c>
      <c r="C111" t="s">
        <v>7</v>
      </c>
      <c r="D111" t="s">
        <v>14</v>
      </c>
      <c r="E111">
        <v>3</v>
      </c>
      <c r="F111">
        <v>16.899999999999999</v>
      </c>
      <c r="G111">
        <v>0</v>
      </c>
      <c r="H111">
        <f t="shared" si="23"/>
        <v>0.10000000000000142</v>
      </c>
      <c r="I111">
        <f t="shared" si="18"/>
        <v>0.10000000000000142</v>
      </c>
      <c r="J111">
        <f t="shared" si="19"/>
        <v>17</v>
      </c>
      <c r="K111">
        <f t="shared" si="24"/>
        <v>0.5</v>
      </c>
      <c r="L111">
        <f t="shared" si="27"/>
        <v>6.9000000000000092</v>
      </c>
      <c r="M111">
        <f t="shared" si="22"/>
        <v>0.98360655737704927</v>
      </c>
      <c r="N111">
        <v>32</v>
      </c>
      <c r="O111">
        <f t="shared" si="25"/>
        <v>7</v>
      </c>
      <c r="P111">
        <f t="shared" si="26"/>
        <v>490</v>
      </c>
      <c r="Q111">
        <f t="shared" si="21"/>
        <v>0</v>
      </c>
      <c r="R111">
        <v>0</v>
      </c>
    </row>
    <row r="112" spans="1:18" x14ac:dyDescent="0.3">
      <c r="A112" t="s">
        <v>5</v>
      </c>
      <c r="B112" s="1">
        <v>45105</v>
      </c>
      <c r="C112" t="s">
        <v>7</v>
      </c>
      <c r="D112" t="s">
        <v>14</v>
      </c>
      <c r="E112">
        <v>3</v>
      </c>
      <c r="F112">
        <v>16.5</v>
      </c>
      <c r="G112">
        <v>0</v>
      </c>
      <c r="H112">
        <f t="shared" si="23"/>
        <v>0.5</v>
      </c>
      <c r="I112">
        <f t="shared" si="18"/>
        <v>0.5</v>
      </c>
      <c r="J112">
        <f t="shared" si="19"/>
        <v>17</v>
      </c>
      <c r="K112">
        <f t="shared" si="24"/>
        <v>0.30000000000000071</v>
      </c>
      <c r="L112">
        <f t="shared" si="27"/>
        <v>7.2000000000000099</v>
      </c>
      <c r="M112">
        <f t="shared" si="22"/>
        <v>0.98360655737704927</v>
      </c>
      <c r="N112">
        <v>33</v>
      </c>
      <c r="O112">
        <f t="shared" si="25"/>
        <v>7</v>
      </c>
      <c r="P112">
        <f t="shared" si="26"/>
        <v>490</v>
      </c>
      <c r="Q112">
        <f t="shared" si="21"/>
        <v>0</v>
      </c>
      <c r="R112">
        <v>0</v>
      </c>
    </row>
    <row r="113" spans="1:18" x14ac:dyDescent="0.3">
      <c r="A113" t="s">
        <v>6</v>
      </c>
      <c r="B113" s="1">
        <v>45106</v>
      </c>
      <c r="C113" t="s">
        <v>7</v>
      </c>
      <c r="D113" t="s">
        <v>14</v>
      </c>
      <c r="E113">
        <v>3</v>
      </c>
      <c r="F113">
        <v>16.7</v>
      </c>
      <c r="G113">
        <v>0.5</v>
      </c>
      <c r="H113">
        <v>0</v>
      </c>
      <c r="I113">
        <f t="shared" si="18"/>
        <v>0.5</v>
      </c>
      <c r="J113">
        <f t="shared" si="19"/>
        <v>17.2</v>
      </c>
      <c r="K113">
        <f t="shared" si="24"/>
        <v>0.30000000000000071</v>
      </c>
      <c r="L113">
        <f t="shared" si="27"/>
        <v>7.5000000000000107</v>
      </c>
      <c r="M113">
        <f t="shared" si="22"/>
        <v>1.0163934426229508</v>
      </c>
      <c r="N113">
        <v>34</v>
      </c>
      <c r="O113">
        <f t="shared" si="25"/>
        <v>7.5</v>
      </c>
      <c r="P113">
        <f t="shared" si="26"/>
        <v>525</v>
      </c>
      <c r="Q113">
        <f t="shared" si="21"/>
        <v>0</v>
      </c>
      <c r="R113">
        <v>0</v>
      </c>
    </row>
    <row r="114" spans="1:18" x14ac:dyDescent="0.3">
      <c r="A114" t="s">
        <v>0</v>
      </c>
      <c r="B114" s="1">
        <v>45107</v>
      </c>
      <c r="C114" t="s">
        <v>7</v>
      </c>
      <c r="D114" t="s">
        <v>14</v>
      </c>
      <c r="E114">
        <v>3</v>
      </c>
      <c r="F114">
        <v>16.899999999999999</v>
      </c>
      <c r="G114">
        <v>0</v>
      </c>
      <c r="H114">
        <f t="shared" si="23"/>
        <v>0.10000000000000142</v>
      </c>
      <c r="I114">
        <f t="shared" ref="I114:I177" si="28">H114+G114</f>
        <v>0.10000000000000142</v>
      </c>
      <c r="J114">
        <f t="shared" ref="J114:J177" si="29">I114+F114</f>
        <v>17</v>
      </c>
      <c r="K114">
        <f t="shared" si="24"/>
        <v>0.10000000000000142</v>
      </c>
      <c r="L114">
        <f t="shared" si="27"/>
        <v>7.6000000000000121</v>
      </c>
      <c r="M114">
        <f t="shared" si="22"/>
        <v>0.98360655737704927</v>
      </c>
      <c r="N114">
        <v>35</v>
      </c>
      <c r="O114">
        <f t="shared" si="25"/>
        <v>7.5</v>
      </c>
      <c r="P114">
        <f t="shared" si="26"/>
        <v>525</v>
      </c>
      <c r="Q114">
        <f t="shared" si="21"/>
        <v>0</v>
      </c>
      <c r="R114">
        <v>0</v>
      </c>
    </row>
    <row r="115" spans="1:18" x14ac:dyDescent="0.3">
      <c r="A115" t="s">
        <v>1</v>
      </c>
      <c r="B115" s="1">
        <v>45108</v>
      </c>
      <c r="C115" t="s">
        <v>7</v>
      </c>
      <c r="D115" t="s">
        <v>14</v>
      </c>
      <c r="E115">
        <v>3</v>
      </c>
      <c r="F115">
        <v>16.899999999999999</v>
      </c>
      <c r="G115">
        <v>0</v>
      </c>
      <c r="H115">
        <f t="shared" si="23"/>
        <v>0.10000000000000142</v>
      </c>
      <c r="I115">
        <f t="shared" si="28"/>
        <v>0.10000000000000142</v>
      </c>
      <c r="J115">
        <f t="shared" si="29"/>
        <v>17</v>
      </c>
      <c r="K115">
        <f t="shared" si="24"/>
        <v>0.10000000000000142</v>
      </c>
      <c r="L115">
        <f t="shared" si="27"/>
        <v>7.7000000000000135</v>
      </c>
      <c r="M115">
        <f t="shared" si="22"/>
        <v>0.98360655737704927</v>
      </c>
      <c r="N115">
        <v>36</v>
      </c>
      <c r="O115">
        <f t="shared" si="25"/>
        <v>7.5</v>
      </c>
      <c r="P115">
        <f t="shared" si="26"/>
        <v>525</v>
      </c>
      <c r="Q115">
        <f t="shared" si="21"/>
        <v>0</v>
      </c>
      <c r="R115">
        <v>0</v>
      </c>
    </row>
    <row r="116" spans="1:18" x14ac:dyDescent="0.3">
      <c r="A116" t="s">
        <v>2</v>
      </c>
      <c r="B116" s="1">
        <v>45109</v>
      </c>
      <c r="C116" t="s">
        <v>7</v>
      </c>
      <c r="D116" t="s">
        <v>14</v>
      </c>
      <c r="E116">
        <v>3</v>
      </c>
      <c r="F116">
        <v>16.899999999999999</v>
      </c>
      <c r="G116">
        <v>0</v>
      </c>
      <c r="H116">
        <f t="shared" si="23"/>
        <v>0.10000000000000142</v>
      </c>
      <c r="I116">
        <f t="shared" si="28"/>
        <v>0.10000000000000142</v>
      </c>
      <c r="J116">
        <f t="shared" si="29"/>
        <v>17</v>
      </c>
      <c r="K116">
        <f t="shared" si="24"/>
        <v>0.30000000000000071</v>
      </c>
      <c r="L116">
        <f t="shared" si="27"/>
        <v>8.0000000000000142</v>
      </c>
      <c r="M116">
        <f t="shared" si="22"/>
        <v>0.98360655737704927</v>
      </c>
      <c r="N116">
        <v>37</v>
      </c>
      <c r="O116">
        <f t="shared" si="25"/>
        <v>7.5</v>
      </c>
      <c r="P116">
        <f t="shared" si="26"/>
        <v>525</v>
      </c>
      <c r="Q116">
        <f t="shared" si="21"/>
        <v>0</v>
      </c>
      <c r="R116">
        <v>0</v>
      </c>
    </row>
    <row r="117" spans="1:18" x14ac:dyDescent="0.3">
      <c r="A117" t="s">
        <v>3</v>
      </c>
      <c r="B117" s="1">
        <v>45110</v>
      </c>
      <c r="C117" t="s">
        <v>7</v>
      </c>
      <c r="D117" t="s">
        <v>14</v>
      </c>
      <c r="E117">
        <v>3</v>
      </c>
      <c r="F117">
        <v>16.7</v>
      </c>
      <c r="G117">
        <v>0</v>
      </c>
      <c r="H117">
        <f t="shared" si="23"/>
        <v>0.30000000000000071</v>
      </c>
      <c r="I117">
        <f t="shared" si="28"/>
        <v>0.30000000000000071</v>
      </c>
      <c r="J117">
        <f t="shared" si="29"/>
        <v>17</v>
      </c>
      <c r="K117">
        <f t="shared" si="24"/>
        <v>0.10000000000000142</v>
      </c>
      <c r="L117">
        <f t="shared" si="27"/>
        <v>8.1000000000000156</v>
      </c>
      <c r="M117">
        <f t="shared" si="22"/>
        <v>0.98360655737704927</v>
      </c>
      <c r="N117">
        <v>38</v>
      </c>
      <c r="O117">
        <f t="shared" si="25"/>
        <v>7.5</v>
      </c>
      <c r="P117">
        <f t="shared" si="26"/>
        <v>525</v>
      </c>
      <c r="Q117">
        <f t="shared" si="21"/>
        <v>0</v>
      </c>
      <c r="R117">
        <v>0</v>
      </c>
    </row>
    <row r="118" spans="1:18" x14ac:dyDescent="0.3">
      <c r="A118" t="s">
        <v>4</v>
      </c>
      <c r="B118" s="1">
        <v>45111</v>
      </c>
      <c r="C118" t="s">
        <v>7</v>
      </c>
      <c r="D118" t="s">
        <v>14</v>
      </c>
      <c r="E118">
        <v>3</v>
      </c>
      <c r="F118">
        <v>16.899999999999999</v>
      </c>
      <c r="Q118">
        <f t="shared" si="21"/>
        <v>0</v>
      </c>
      <c r="R118">
        <v>0</v>
      </c>
    </row>
    <row r="119" spans="1:18" x14ac:dyDescent="0.3">
      <c r="A119" t="s">
        <v>1</v>
      </c>
      <c r="B119" s="1">
        <v>45073</v>
      </c>
      <c r="C119" t="s">
        <v>7</v>
      </c>
      <c r="D119" t="s">
        <v>14</v>
      </c>
      <c r="E119">
        <v>4</v>
      </c>
      <c r="F119">
        <v>17</v>
      </c>
      <c r="G119">
        <v>0</v>
      </c>
      <c r="H119">
        <f>17-F119-G119</f>
        <v>0</v>
      </c>
      <c r="I119">
        <f t="shared" si="28"/>
        <v>0</v>
      </c>
      <c r="J119">
        <f t="shared" si="29"/>
        <v>17</v>
      </c>
      <c r="K119">
        <f>J119-F120</f>
        <v>0.30000000000000071</v>
      </c>
      <c r="M119">
        <f t="shared" si="22"/>
        <v>0.98360655737704927</v>
      </c>
      <c r="N119">
        <v>1</v>
      </c>
      <c r="O119">
        <v>2.5</v>
      </c>
      <c r="P119">
        <f>O119*70</f>
        <v>175</v>
      </c>
      <c r="Q119">
        <f t="shared" si="21"/>
        <v>0</v>
      </c>
      <c r="R119">
        <v>0</v>
      </c>
    </row>
    <row r="120" spans="1:18" x14ac:dyDescent="0.3">
      <c r="A120" t="s">
        <v>2</v>
      </c>
      <c r="B120" s="1">
        <v>45074</v>
      </c>
      <c r="C120" t="s">
        <v>7</v>
      </c>
      <c r="D120" t="s">
        <v>14</v>
      </c>
      <c r="E120">
        <v>4</v>
      </c>
      <c r="F120">
        <v>16.7</v>
      </c>
      <c r="G120">
        <v>0</v>
      </c>
      <c r="H120">
        <f t="shared" ref="H120:H156" si="30">17-F120-G120</f>
        <v>0.30000000000000071</v>
      </c>
      <c r="I120">
        <f t="shared" si="28"/>
        <v>0.30000000000000071</v>
      </c>
      <c r="J120">
        <f t="shared" si="29"/>
        <v>17</v>
      </c>
      <c r="K120">
        <f t="shared" ref="K120:K156" si="31">J120-F121</f>
        <v>0.10000000000000142</v>
      </c>
      <c r="L120">
        <f>K119+K120</f>
        <v>0.40000000000000213</v>
      </c>
      <c r="M120">
        <f t="shared" si="22"/>
        <v>0.98360655737704927</v>
      </c>
      <c r="N120">
        <v>2</v>
      </c>
      <c r="O120">
        <f t="shared" ref="O120:O156" si="32">O119+G120</f>
        <v>2.5</v>
      </c>
      <c r="P120">
        <f t="shared" ref="P120:P156" si="33">O120*70</f>
        <v>175</v>
      </c>
      <c r="Q120">
        <f t="shared" si="21"/>
        <v>0</v>
      </c>
      <c r="R120">
        <v>0</v>
      </c>
    </row>
    <row r="121" spans="1:18" x14ac:dyDescent="0.3">
      <c r="A121" t="s">
        <v>3</v>
      </c>
      <c r="B121" s="1">
        <v>45075</v>
      </c>
      <c r="C121" t="s">
        <v>7</v>
      </c>
      <c r="D121" t="s">
        <v>14</v>
      </c>
      <c r="E121">
        <v>4</v>
      </c>
      <c r="F121">
        <v>16.899999999999999</v>
      </c>
      <c r="G121">
        <v>0.25</v>
      </c>
      <c r="H121">
        <v>0</v>
      </c>
      <c r="I121">
        <f t="shared" si="28"/>
        <v>0.25</v>
      </c>
      <c r="J121">
        <f t="shared" si="29"/>
        <v>17.149999999999999</v>
      </c>
      <c r="K121">
        <f t="shared" si="31"/>
        <v>0.44999999999999929</v>
      </c>
      <c r="L121">
        <f>L120+K121</f>
        <v>0.85000000000000142</v>
      </c>
      <c r="M121">
        <f t="shared" si="22"/>
        <v>1.0081967213114753</v>
      </c>
      <c r="N121">
        <v>3</v>
      </c>
      <c r="O121">
        <f t="shared" si="32"/>
        <v>2.75</v>
      </c>
      <c r="P121">
        <f t="shared" si="33"/>
        <v>192.5</v>
      </c>
      <c r="Q121">
        <f t="shared" si="21"/>
        <v>0</v>
      </c>
      <c r="R121">
        <v>0</v>
      </c>
    </row>
    <row r="122" spans="1:18" x14ac:dyDescent="0.3">
      <c r="A122" t="s">
        <v>4</v>
      </c>
      <c r="B122" s="1">
        <v>45076</v>
      </c>
      <c r="C122" t="s">
        <v>7</v>
      </c>
      <c r="D122" t="s">
        <v>14</v>
      </c>
      <c r="E122">
        <v>4</v>
      </c>
      <c r="F122">
        <v>16.7</v>
      </c>
      <c r="G122">
        <v>0.25</v>
      </c>
      <c r="H122">
        <f t="shared" si="30"/>
        <v>5.0000000000000711E-2</v>
      </c>
      <c r="I122">
        <f t="shared" si="28"/>
        <v>0.30000000000000071</v>
      </c>
      <c r="J122">
        <f t="shared" si="29"/>
        <v>17</v>
      </c>
      <c r="K122">
        <f t="shared" si="31"/>
        <v>0.19999999999999929</v>
      </c>
      <c r="L122">
        <f t="shared" ref="L122:L156" si="34">L121+K122</f>
        <v>1.0500000000000007</v>
      </c>
      <c r="M122">
        <f t="shared" si="22"/>
        <v>0.98360655737704927</v>
      </c>
      <c r="N122">
        <v>4</v>
      </c>
      <c r="O122">
        <f t="shared" si="32"/>
        <v>3</v>
      </c>
      <c r="P122">
        <f t="shared" si="33"/>
        <v>210</v>
      </c>
      <c r="Q122">
        <f t="shared" si="21"/>
        <v>0</v>
      </c>
      <c r="R122">
        <v>0</v>
      </c>
    </row>
    <row r="123" spans="1:18" x14ac:dyDescent="0.3">
      <c r="A123" t="s">
        <v>5</v>
      </c>
      <c r="B123" s="1">
        <v>45077</v>
      </c>
      <c r="C123" t="s">
        <v>7</v>
      </c>
      <c r="D123" t="s">
        <v>14</v>
      </c>
      <c r="E123">
        <v>4</v>
      </c>
      <c r="F123">
        <v>16.8</v>
      </c>
      <c r="G123">
        <v>0</v>
      </c>
      <c r="H123">
        <f t="shared" si="30"/>
        <v>0.19999999999999929</v>
      </c>
      <c r="I123">
        <f t="shared" si="28"/>
        <v>0.19999999999999929</v>
      </c>
      <c r="J123">
        <f t="shared" si="29"/>
        <v>17</v>
      </c>
      <c r="K123">
        <f t="shared" si="31"/>
        <v>0.30000000000000071</v>
      </c>
      <c r="L123">
        <f t="shared" si="34"/>
        <v>1.3500000000000014</v>
      </c>
      <c r="M123">
        <f t="shared" si="22"/>
        <v>0.98360655737704927</v>
      </c>
      <c r="N123">
        <v>5</v>
      </c>
      <c r="O123">
        <f t="shared" si="32"/>
        <v>3</v>
      </c>
      <c r="P123">
        <f t="shared" si="33"/>
        <v>210</v>
      </c>
      <c r="Q123">
        <f t="shared" si="21"/>
        <v>0</v>
      </c>
      <c r="R123">
        <v>0</v>
      </c>
    </row>
    <row r="124" spans="1:18" x14ac:dyDescent="0.3">
      <c r="A124" t="s">
        <v>6</v>
      </c>
      <c r="B124" s="1">
        <v>45078</v>
      </c>
      <c r="C124" t="s">
        <v>7</v>
      </c>
      <c r="D124" t="s">
        <v>14</v>
      </c>
      <c r="E124">
        <v>4</v>
      </c>
      <c r="F124">
        <v>16.7</v>
      </c>
      <c r="G124">
        <v>0.25</v>
      </c>
      <c r="H124">
        <f t="shared" si="30"/>
        <v>5.0000000000000711E-2</v>
      </c>
      <c r="I124">
        <f t="shared" si="28"/>
        <v>0.30000000000000071</v>
      </c>
      <c r="J124">
        <f t="shared" si="29"/>
        <v>17</v>
      </c>
      <c r="K124">
        <f t="shared" si="31"/>
        <v>0.19999999999999929</v>
      </c>
      <c r="L124">
        <f t="shared" si="34"/>
        <v>1.5500000000000007</v>
      </c>
      <c r="M124">
        <f t="shared" si="22"/>
        <v>0.98360655737704927</v>
      </c>
      <c r="N124">
        <v>6</v>
      </c>
      <c r="O124">
        <f t="shared" si="32"/>
        <v>3.25</v>
      </c>
      <c r="P124">
        <f t="shared" si="33"/>
        <v>227.5</v>
      </c>
      <c r="Q124">
        <f t="shared" si="21"/>
        <v>0</v>
      </c>
      <c r="R124">
        <v>0</v>
      </c>
    </row>
    <row r="125" spans="1:18" x14ac:dyDescent="0.3">
      <c r="A125" t="s">
        <v>0</v>
      </c>
      <c r="B125" s="1">
        <v>45079</v>
      </c>
      <c r="C125" t="s">
        <v>7</v>
      </c>
      <c r="D125" t="s">
        <v>14</v>
      </c>
      <c r="E125">
        <v>4</v>
      </c>
      <c r="F125">
        <v>16.8</v>
      </c>
      <c r="G125">
        <v>0.25</v>
      </c>
      <c r="H125">
        <v>0</v>
      </c>
      <c r="I125">
        <f t="shared" si="28"/>
        <v>0.25</v>
      </c>
      <c r="J125">
        <f t="shared" si="29"/>
        <v>17.05</v>
      </c>
      <c r="K125">
        <f t="shared" si="31"/>
        <v>0.15000000000000213</v>
      </c>
      <c r="L125">
        <f t="shared" si="34"/>
        <v>1.7000000000000028</v>
      </c>
      <c r="M125">
        <f t="shared" si="22"/>
        <v>0.9918032786885248</v>
      </c>
      <c r="N125">
        <v>7</v>
      </c>
      <c r="O125">
        <f t="shared" si="32"/>
        <v>3.5</v>
      </c>
      <c r="P125">
        <f t="shared" si="33"/>
        <v>245</v>
      </c>
      <c r="Q125">
        <f t="shared" si="21"/>
        <v>0</v>
      </c>
      <c r="R125">
        <v>0</v>
      </c>
    </row>
    <row r="126" spans="1:18" x14ac:dyDescent="0.3">
      <c r="A126" t="s">
        <v>1</v>
      </c>
      <c r="B126" s="1">
        <v>45080</v>
      </c>
      <c r="C126" t="s">
        <v>7</v>
      </c>
      <c r="D126" t="s">
        <v>14</v>
      </c>
      <c r="E126">
        <v>4</v>
      </c>
      <c r="F126">
        <v>16.899999999999999</v>
      </c>
      <c r="G126">
        <v>0</v>
      </c>
      <c r="H126">
        <f t="shared" si="30"/>
        <v>0.10000000000000142</v>
      </c>
      <c r="I126">
        <f t="shared" si="28"/>
        <v>0.10000000000000142</v>
      </c>
      <c r="J126">
        <f t="shared" si="29"/>
        <v>17</v>
      </c>
      <c r="K126">
        <f t="shared" si="31"/>
        <v>0.19999999999999929</v>
      </c>
      <c r="L126">
        <f t="shared" si="34"/>
        <v>1.9000000000000021</v>
      </c>
      <c r="M126">
        <f t="shared" si="22"/>
        <v>0.98360655737704927</v>
      </c>
      <c r="N126">
        <v>8</v>
      </c>
      <c r="O126">
        <f t="shared" si="32"/>
        <v>3.5</v>
      </c>
      <c r="P126">
        <f t="shared" si="33"/>
        <v>245</v>
      </c>
      <c r="Q126">
        <f t="shared" si="21"/>
        <v>0</v>
      </c>
      <c r="R126">
        <v>0</v>
      </c>
    </row>
    <row r="127" spans="1:18" x14ac:dyDescent="0.3">
      <c r="A127" t="s">
        <v>2</v>
      </c>
      <c r="B127" s="1">
        <v>45081</v>
      </c>
      <c r="C127" t="s">
        <v>7</v>
      </c>
      <c r="D127" t="s">
        <v>14</v>
      </c>
      <c r="E127">
        <v>4</v>
      </c>
      <c r="F127">
        <v>16.8</v>
      </c>
      <c r="G127">
        <v>0</v>
      </c>
      <c r="H127">
        <f t="shared" si="30"/>
        <v>0.19999999999999929</v>
      </c>
      <c r="I127">
        <f t="shared" si="28"/>
        <v>0.19999999999999929</v>
      </c>
      <c r="J127">
        <f t="shared" si="29"/>
        <v>17</v>
      </c>
      <c r="K127">
        <f t="shared" si="31"/>
        <v>0.30000000000000071</v>
      </c>
      <c r="L127">
        <f t="shared" si="34"/>
        <v>2.2000000000000028</v>
      </c>
      <c r="M127">
        <f t="shared" si="22"/>
        <v>0.98360655737704927</v>
      </c>
      <c r="N127">
        <v>9</v>
      </c>
      <c r="O127">
        <f t="shared" si="32"/>
        <v>3.5</v>
      </c>
      <c r="P127">
        <f t="shared" si="33"/>
        <v>245</v>
      </c>
      <c r="Q127">
        <f t="shared" si="21"/>
        <v>0</v>
      </c>
      <c r="R127">
        <v>0</v>
      </c>
    </row>
    <row r="128" spans="1:18" x14ac:dyDescent="0.3">
      <c r="A128" t="s">
        <v>3</v>
      </c>
      <c r="B128" s="1">
        <v>45082</v>
      </c>
      <c r="C128" t="s">
        <v>7</v>
      </c>
      <c r="D128" t="s">
        <v>14</v>
      </c>
      <c r="E128">
        <v>4</v>
      </c>
      <c r="F128">
        <v>16.7</v>
      </c>
      <c r="G128">
        <v>0.25</v>
      </c>
      <c r="H128">
        <f t="shared" si="30"/>
        <v>5.0000000000000711E-2</v>
      </c>
      <c r="I128">
        <f t="shared" si="28"/>
        <v>0.30000000000000071</v>
      </c>
      <c r="J128">
        <f t="shared" si="29"/>
        <v>17</v>
      </c>
      <c r="K128">
        <f t="shared" si="31"/>
        <v>0.19999999999999929</v>
      </c>
      <c r="L128">
        <f t="shared" si="34"/>
        <v>2.4000000000000021</v>
      </c>
      <c r="M128">
        <f t="shared" si="22"/>
        <v>0.98360655737704927</v>
      </c>
      <c r="N128">
        <v>10</v>
      </c>
      <c r="O128">
        <f t="shared" si="32"/>
        <v>3.75</v>
      </c>
      <c r="P128">
        <f t="shared" si="33"/>
        <v>262.5</v>
      </c>
      <c r="Q128">
        <f t="shared" si="21"/>
        <v>0</v>
      </c>
      <c r="R128">
        <v>0</v>
      </c>
    </row>
    <row r="129" spans="1:18" x14ac:dyDescent="0.3">
      <c r="A129" t="s">
        <v>4</v>
      </c>
      <c r="B129" s="1">
        <v>45083</v>
      </c>
      <c r="C129" t="s">
        <v>7</v>
      </c>
      <c r="D129" t="s">
        <v>14</v>
      </c>
      <c r="E129">
        <v>4</v>
      </c>
      <c r="F129">
        <v>16.8</v>
      </c>
      <c r="G129">
        <v>0.25</v>
      </c>
      <c r="H129">
        <v>0</v>
      </c>
      <c r="I129">
        <f t="shared" si="28"/>
        <v>0.25</v>
      </c>
      <c r="J129">
        <f t="shared" si="29"/>
        <v>17.05</v>
      </c>
      <c r="K129">
        <f t="shared" si="31"/>
        <v>0.35000000000000142</v>
      </c>
      <c r="L129">
        <f t="shared" si="34"/>
        <v>2.7500000000000036</v>
      </c>
      <c r="M129">
        <f t="shared" si="22"/>
        <v>0.9918032786885248</v>
      </c>
      <c r="N129">
        <v>11</v>
      </c>
      <c r="O129">
        <f t="shared" si="32"/>
        <v>4</v>
      </c>
      <c r="P129">
        <f t="shared" si="33"/>
        <v>280</v>
      </c>
      <c r="Q129">
        <f t="shared" si="21"/>
        <v>0</v>
      </c>
      <c r="R129">
        <v>0</v>
      </c>
    </row>
    <row r="130" spans="1:18" x14ac:dyDescent="0.3">
      <c r="A130" t="s">
        <v>5</v>
      </c>
      <c r="B130" s="1">
        <v>45084</v>
      </c>
      <c r="C130" t="s">
        <v>7</v>
      </c>
      <c r="D130" t="s">
        <v>14</v>
      </c>
      <c r="E130">
        <v>4</v>
      </c>
      <c r="F130">
        <v>16.7</v>
      </c>
      <c r="G130">
        <v>0</v>
      </c>
      <c r="H130">
        <f t="shared" si="30"/>
        <v>0.30000000000000071</v>
      </c>
      <c r="I130">
        <f t="shared" si="28"/>
        <v>0.30000000000000071</v>
      </c>
      <c r="J130">
        <f t="shared" si="29"/>
        <v>17</v>
      </c>
      <c r="K130">
        <f t="shared" si="31"/>
        <v>0.30000000000000071</v>
      </c>
      <c r="L130">
        <f t="shared" si="34"/>
        <v>3.0500000000000043</v>
      </c>
      <c r="M130">
        <f t="shared" si="22"/>
        <v>0.98360655737704927</v>
      </c>
      <c r="N130">
        <v>12</v>
      </c>
      <c r="O130">
        <f t="shared" si="32"/>
        <v>4</v>
      </c>
      <c r="P130">
        <f t="shared" si="33"/>
        <v>280</v>
      </c>
      <c r="Q130">
        <f t="shared" si="21"/>
        <v>0</v>
      </c>
      <c r="R130">
        <v>0</v>
      </c>
    </row>
    <row r="131" spans="1:18" x14ac:dyDescent="0.3">
      <c r="A131" t="s">
        <v>6</v>
      </c>
      <c r="B131" s="1">
        <v>45085</v>
      </c>
      <c r="C131" t="s">
        <v>7</v>
      </c>
      <c r="D131" t="s">
        <v>14</v>
      </c>
      <c r="E131">
        <v>4</v>
      </c>
      <c r="F131">
        <v>16.7</v>
      </c>
      <c r="G131">
        <v>0.25</v>
      </c>
      <c r="H131">
        <f t="shared" si="30"/>
        <v>5.0000000000000711E-2</v>
      </c>
      <c r="I131">
        <f t="shared" si="28"/>
        <v>0.30000000000000071</v>
      </c>
      <c r="J131">
        <f t="shared" si="29"/>
        <v>17</v>
      </c>
      <c r="K131">
        <f t="shared" si="31"/>
        <v>0.30000000000000071</v>
      </c>
      <c r="L131">
        <f t="shared" si="34"/>
        <v>3.350000000000005</v>
      </c>
      <c r="M131">
        <f t="shared" ref="M131:M156" si="35">(J131-11)/6.1</f>
        <v>0.98360655737704927</v>
      </c>
      <c r="N131">
        <v>13</v>
      </c>
      <c r="O131">
        <f t="shared" si="32"/>
        <v>4.25</v>
      </c>
      <c r="P131">
        <f t="shared" si="33"/>
        <v>297.5</v>
      </c>
      <c r="Q131">
        <f t="shared" ref="Q131:Q194" si="36">M131-M131</f>
        <v>0</v>
      </c>
      <c r="R131">
        <v>0</v>
      </c>
    </row>
    <row r="132" spans="1:18" x14ac:dyDescent="0.3">
      <c r="A132" t="s">
        <v>0</v>
      </c>
      <c r="B132" s="1">
        <v>45086</v>
      </c>
      <c r="C132" t="s">
        <v>7</v>
      </c>
      <c r="D132" t="s">
        <v>14</v>
      </c>
      <c r="E132">
        <v>4</v>
      </c>
      <c r="F132">
        <v>16.7</v>
      </c>
      <c r="G132">
        <v>0.25</v>
      </c>
      <c r="H132">
        <f t="shared" si="30"/>
        <v>5.0000000000000711E-2</v>
      </c>
      <c r="I132">
        <f t="shared" si="28"/>
        <v>0.30000000000000071</v>
      </c>
      <c r="J132">
        <f t="shared" si="29"/>
        <v>17</v>
      </c>
      <c r="K132">
        <f>J132-F133</f>
        <v>0.39999999999999858</v>
      </c>
      <c r="L132">
        <f t="shared" si="34"/>
        <v>3.7500000000000036</v>
      </c>
      <c r="M132">
        <f t="shared" si="35"/>
        <v>0.98360655737704927</v>
      </c>
      <c r="N132">
        <v>14</v>
      </c>
      <c r="O132">
        <f t="shared" si="32"/>
        <v>4.5</v>
      </c>
      <c r="P132">
        <f t="shared" si="33"/>
        <v>315</v>
      </c>
      <c r="Q132">
        <f t="shared" si="36"/>
        <v>0</v>
      </c>
      <c r="R132">
        <v>0</v>
      </c>
    </row>
    <row r="133" spans="1:18" x14ac:dyDescent="0.3">
      <c r="A133" t="s">
        <v>1</v>
      </c>
      <c r="B133" s="1">
        <v>45087</v>
      </c>
      <c r="C133" t="s">
        <v>7</v>
      </c>
      <c r="D133" t="s">
        <v>14</v>
      </c>
      <c r="E133">
        <v>4</v>
      </c>
      <c r="F133">
        <v>16.600000000000001</v>
      </c>
      <c r="G133">
        <v>0</v>
      </c>
      <c r="H133">
        <f t="shared" si="30"/>
        <v>0.39999999999999858</v>
      </c>
      <c r="I133">
        <f t="shared" si="28"/>
        <v>0.39999999999999858</v>
      </c>
      <c r="J133">
        <f t="shared" si="29"/>
        <v>17</v>
      </c>
      <c r="K133">
        <f t="shared" si="31"/>
        <v>0.39999999999999858</v>
      </c>
      <c r="L133">
        <f t="shared" si="34"/>
        <v>4.1500000000000021</v>
      </c>
      <c r="M133">
        <f t="shared" si="35"/>
        <v>0.98360655737704927</v>
      </c>
      <c r="N133">
        <v>15</v>
      </c>
      <c r="O133">
        <f t="shared" si="32"/>
        <v>4.5</v>
      </c>
      <c r="P133">
        <f t="shared" si="33"/>
        <v>315</v>
      </c>
      <c r="Q133">
        <f t="shared" si="36"/>
        <v>0</v>
      </c>
      <c r="R133">
        <v>0</v>
      </c>
    </row>
    <row r="134" spans="1:18" x14ac:dyDescent="0.3">
      <c r="A134" t="s">
        <v>2</v>
      </c>
      <c r="B134" s="1">
        <v>45088</v>
      </c>
      <c r="C134" t="s">
        <v>7</v>
      </c>
      <c r="D134" t="s">
        <v>14</v>
      </c>
      <c r="E134">
        <v>4</v>
      </c>
      <c r="F134">
        <v>16.600000000000001</v>
      </c>
      <c r="G134">
        <v>0</v>
      </c>
      <c r="H134">
        <f t="shared" si="30"/>
        <v>0.39999999999999858</v>
      </c>
      <c r="I134">
        <f t="shared" si="28"/>
        <v>0.39999999999999858</v>
      </c>
      <c r="J134">
        <f t="shared" si="29"/>
        <v>17</v>
      </c>
      <c r="K134">
        <f t="shared" si="31"/>
        <v>0.30000000000000071</v>
      </c>
      <c r="L134">
        <f t="shared" si="34"/>
        <v>4.4500000000000028</v>
      </c>
      <c r="M134">
        <f t="shared" si="35"/>
        <v>0.98360655737704927</v>
      </c>
      <c r="N134">
        <v>16</v>
      </c>
      <c r="O134">
        <f t="shared" si="32"/>
        <v>4.5</v>
      </c>
      <c r="P134">
        <f t="shared" si="33"/>
        <v>315</v>
      </c>
      <c r="Q134">
        <f t="shared" si="36"/>
        <v>0</v>
      </c>
      <c r="R134">
        <v>0</v>
      </c>
    </row>
    <row r="135" spans="1:18" x14ac:dyDescent="0.3">
      <c r="A135" t="s">
        <v>3</v>
      </c>
      <c r="B135" s="1">
        <v>45089</v>
      </c>
      <c r="C135" t="s">
        <v>7</v>
      </c>
      <c r="D135" t="s">
        <v>14</v>
      </c>
      <c r="E135">
        <v>4</v>
      </c>
      <c r="F135">
        <v>16.7</v>
      </c>
      <c r="G135">
        <v>0.5</v>
      </c>
      <c r="H135">
        <v>0</v>
      </c>
      <c r="I135">
        <f t="shared" si="28"/>
        <v>0.5</v>
      </c>
      <c r="J135">
        <f t="shared" si="29"/>
        <v>17.2</v>
      </c>
      <c r="K135">
        <f t="shared" si="31"/>
        <v>0.39999999999999858</v>
      </c>
      <c r="L135">
        <f>L134+K135</f>
        <v>4.8500000000000014</v>
      </c>
      <c r="M135">
        <f t="shared" si="35"/>
        <v>1.0163934426229508</v>
      </c>
      <c r="N135">
        <v>17</v>
      </c>
      <c r="O135">
        <f t="shared" si="32"/>
        <v>5</v>
      </c>
      <c r="P135">
        <f t="shared" si="33"/>
        <v>350</v>
      </c>
      <c r="Q135">
        <f t="shared" si="36"/>
        <v>0</v>
      </c>
      <c r="R135">
        <v>0</v>
      </c>
    </row>
    <row r="136" spans="1:18" x14ac:dyDescent="0.3">
      <c r="A136" t="s">
        <v>4</v>
      </c>
      <c r="B136" s="1">
        <v>45090</v>
      </c>
      <c r="C136" t="s">
        <v>7</v>
      </c>
      <c r="D136" t="s">
        <v>14</v>
      </c>
      <c r="E136">
        <v>4</v>
      </c>
      <c r="F136">
        <v>16.8</v>
      </c>
      <c r="G136">
        <v>0</v>
      </c>
      <c r="H136">
        <f t="shared" si="30"/>
        <v>0.19999999999999929</v>
      </c>
      <c r="I136">
        <f t="shared" si="28"/>
        <v>0.19999999999999929</v>
      </c>
      <c r="J136">
        <f t="shared" si="29"/>
        <v>17</v>
      </c>
      <c r="K136">
        <f t="shared" si="31"/>
        <v>0.30000000000000071</v>
      </c>
      <c r="L136">
        <f t="shared" si="34"/>
        <v>5.1500000000000021</v>
      </c>
      <c r="M136">
        <f t="shared" si="35"/>
        <v>0.98360655737704927</v>
      </c>
      <c r="N136">
        <v>18</v>
      </c>
      <c r="O136">
        <f t="shared" si="32"/>
        <v>5</v>
      </c>
      <c r="P136">
        <f t="shared" si="33"/>
        <v>350</v>
      </c>
      <c r="Q136">
        <f t="shared" si="36"/>
        <v>0</v>
      </c>
      <c r="R136">
        <v>0</v>
      </c>
    </row>
    <row r="137" spans="1:18" x14ac:dyDescent="0.3">
      <c r="A137" t="s">
        <v>5</v>
      </c>
      <c r="B137" s="1">
        <v>45091</v>
      </c>
      <c r="C137" t="s">
        <v>7</v>
      </c>
      <c r="D137" t="s">
        <v>14</v>
      </c>
      <c r="E137">
        <v>4</v>
      </c>
      <c r="F137">
        <v>16.7</v>
      </c>
      <c r="G137">
        <v>0</v>
      </c>
      <c r="H137">
        <f t="shared" si="30"/>
        <v>0.30000000000000071</v>
      </c>
      <c r="I137">
        <f t="shared" si="28"/>
        <v>0.30000000000000071</v>
      </c>
      <c r="J137">
        <f t="shared" si="29"/>
        <v>17</v>
      </c>
      <c r="K137">
        <f>J137-F138</f>
        <v>0.39999999999999858</v>
      </c>
      <c r="L137">
        <f t="shared" si="34"/>
        <v>5.5500000000000007</v>
      </c>
      <c r="M137">
        <f t="shared" si="35"/>
        <v>0.98360655737704927</v>
      </c>
      <c r="N137">
        <v>19</v>
      </c>
      <c r="O137">
        <f t="shared" si="32"/>
        <v>5</v>
      </c>
      <c r="P137">
        <f t="shared" si="33"/>
        <v>350</v>
      </c>
      <c r="Q137">
        <f t="shared" si="36"/>
        <v>0</v>
      </c>
      <c r="R137">
        <v>0</v>
      </c>
    </row>
    <row r="138" spans="1:18" x14ac:dyDescent="0.3">
      <c r="A138" t="s">
        <v>6</v>
      </c>
      <c r="B138" s="1">
        <v>45092</v>
      </c>
      <c r="C138" t="s">
        <v>7</v>
      </c>
      <c r="D138" t="s">
        <v>14</v>
      </c>
      <c r="E138">
        <v>4</v>
      </c>
      <c r="F138">
        <v>16.600000000000001</v>
      </c>
      <c r="G138">
        <v>0.5</v>
      </c>
      <c r="H138">
        <v>0</v>
      </c>
      <c r="I138">
        <f t="shared" si="28"/>
        <v>0.5</v>
      </c>
      <c r="J138">
        <f t="shared" si="29"/>
        <v>17.100000000000001</v>
      </c>
      <c r="K138">
        <f t="shared" si="31"/>
        <v>0.60000000000000142</v>
      </c>
      <c r="L138">
        <f t="shared" si="34"/>
        <v>6.1500000000000021</v>
      </c>
      <c r="M138">
        <f t="shared" si="35"/>
        <v>1.0000000000000002</v>
      </c>
      <c r="N138">
        <v>20</v>
      </c>
      <c r="O138">
        <f t="shared" si="32"/>
        <v>5.5</v>
      </c>
      <c r="P138">
        <f t="shared" si="33"/>
        <v>385</v>
      </c>
      <c r="Q138">
        <f t="shared" si="36"/>
        <v>0</v>
      </c>
      <c r="R138">
        <v>0</v>
      </c>
    </row>
    <row r="139" spans="1:18" x14ac:dyDescent="0.3">
      <c r="A139" t="s">
        <v>0</v>
      </c>
      <c r="B139" s="1">
        <v>45093</v>
      </c>
      <c r="C139" t="s">
        <v>7</v>
      </c>
      <c r="D139" t="s">
        <v>14</v>
      </c>
      <c r="E139">
        <v>4</v>
      </c>
      <c r="F139">
        <v>16.5</v>
      </c>
      <c r="G139">
        <v>0</v>
      </c>
      <c r="H139">
        <f t="shared" si="30"/>
        <v>0.5</v>
      </c>
      <c r="I139">
        <f t="shared" si="28"/>
        <v>0.5</v>
      </c>
      <c r="J139">
        <f t="shared" si="29"/>
        <v>17</v>
      </c>
      <c r="K139">
        <f t="shared" si="31"/>
        <v>0.5</v>
      </c>
      <c r="L139">
        <f t="shared" si="34"/>
        <v>6.6500000000000021</v>
      </c>
      <c r="M139">
        <f t="shared" si="35"/>
        <v>0.98360655737704927</v>
      </c>
      <c r="N139">
        <v>21</v>
      </c>
      <c r="O139">
        <f t="shared" si="32"/>
        <v>5.5</v>
      </c>
      <c r="P139">
        <f t="shared" si="33"/>
        <v>385</v>
      </c>
      <c r="Q139">
        <f t="shared" si="36"/>
        <v>0</v>
      </c>
      <c r="R139">
        <v>0</v>
      </c>
    </row>
    <row r="140" spans="1:18" x14ac:dyDescent="0.3">
      <c r="A140" t="s">
        <v>1</v>
      </c>
      <c r="B140" s="1">
        <v>45094</v>
      </c>
      <c r="C140" t="s">
        <v>7</v>
      </c>
      <c r="D140" t="s">
        <v>14</v>
      </c>
      <c r="E140">
        <v>4</v>
      </c>
      <c r="F140">
        <v>16.5</v>
      </c>
      <c r="G140">
        <v>0</v>
      </c>
      <c r="H140">
        <f t="shared" si="30"/>
        <v>0.5</v>
      </c>
      <c r="I140">
        <f t="shared" si="28"/>
        <v>0.5</v>
      </c>
      <c r="J140">
        <f t="shared" si="29"/>
        <v>17</v>
      </c>
      <c r="K140">
        <f t="shared" si="31"/>
        <v>0.30000000000000071</v>
      </c>
      <c r="L140">
        <f t="shared" si="34"/>
        <v>6.9500000000000028</v>
      </c>
      <c r="M140">
        <f t="shared" si="35"/>
        <v>0.98360655737704927</v>
      </c>
      <c r="N140">
        <v>22</v>
      </c>
      <c r="O140">
        <f t="shared" si="32"/>
        <v>5.5</v>
      </c>
      <c r="P140">
        <f t="shared" si="33"/>
        <v>385</v>
      </c>
      <c r="Q140">
        <f t="shared" si="36"/>
        <v>0</v>
      </c>
      <c r="R140">
        <v>0</v>
      </c>
    </row>
    <row r="141" spans="1:18" x14ac:dyDescent="0.3">
      <c r="A141" t="s">
        <v>2</v>
      </c>
      <c r="B141" s="1">
        <v>45095</v>
      </c>
      <c r="C141" t="s">
        <v>7</v>
      </c>
      <c r="D141" t="s">
        <v>14</v>
      </c>
      <c r="E141">
        <v>4</v>
      </c>
      <c r="F141">
        <v>16.7</v>
      </c>
      <c r="G141">
        <v>0</v>
      </c>
      <c r="H141">
        <f t="shared" si="30"/>
        <v>0.30000000000000071</v>
      </c>
      <c r="I141">
        <f t="shared" si="28"/>
        <v>0.30000000000000071</v>
      </c>
      <c r="J141">
        <f t="shared" si="29"/>
        <v>17</v>
      </c>
      <c r="K141">
        <f t="shared" si="31"/>
        <v>0.39999999999999858</v>
      </c>
      <c r="L141">
        <f t="shared" si="34"/>
        <v>7.3500000000000014</v>
      </c>
      <c r="M141">
        <f t="shared" si="35"/>
        <v>0.98360655737704927</v>
      </c>
      <c r="N141">
        <v>23</v>
      </c>
      <c r="O141">
        <f t="shared" si="32"/>
        <v>5.5</v>
      </c>
      <c r="P141">
        <f t="shared" si="33"/>
        <v>385</v>
      </c>
      <c r="Q141">
        <f t="shared" si="36"/>
        <v>0</v>
      </c>
      <c r="R141">
        <v>0</v>
      </c>
    </row>
    <row r="142" spans="1:18" x14ac:dyDescent="0.3">
      <c r="A142" t="s">
        <v>3</v>
      </c>
      <c r="B142" s="1">
        <v>45096</v>
      </c>
      <c r="C142" t="s">
        <v>7</v>
      </c>
      <c r="D142" t="s">
        <v>14</v>
      </c>
      <c r="E142">
        <v>4</v>
      </c>
      <c r="F142">
        <v>16.600000000000001</v>
      </c>
      <c r="G142">
        <v>0.5</v>
      </c>
      <c r="H142">
        <v>0</v>
      </c>
      <c r="I142">
        <f t="shared" si="28"/>
        <v>0.5</v>
      </c>
      <c r="J142">
        <f t="shared" si="29"/>
        <v>17.100000000000001</v>
      </c>
      <c r="K142">
        <f t="shared" si="31"/>
        <v>0.40000000000000213</v>
      </c>
      <c r="L142">
        <f t="shared" si="34"/>
        <v>7.7500000000000036</v>
      </c>
      <c r="M142">
        <f t="shared" si="35"/>
        <v>1.0000000000000002</v>
      </c>
      <c r="N142">
        <v>24</v>
      </c>
      <c r="O142">
        <f t="shared" si="32"/>
        <v>6</v>
      </c>
      <c r="P142">
        <f t="shared" si="33"/>
        <v>420</v>
      </c>
      <c r="Q142">
        <f t="shared" si="36"/>
        <v>0</v>
      </c>
      <c r="R142">
        <v>0</v>
      </c>
    </row>
    <row r="143" spans="1:18" x14ac:dyDescent="0.3">
      <c r="A143" t="s">
        <v>4</v>
      </c>
      <c r="B143" s="1">
        <v>45097</v>
      </c>
      <c r="C143" t="s">
        <v>7</v>
      </c>
      <c r="D143" t="s">
        <v>14</v>
      </c>
      <c r="E143">
        <v>4</v>
      </c>
      <c r="F143">
        <v>16.7</v>
      </c>
      <c r="G143">
        <v>0</v>
      </c>
      <c r="H143">
        <f t="shared" si="30"/>
        <v>0.30000000000000071</v>
      </c>
      <c r="I143">
        <f t="shared" si="28"/>
        <v>0.30000000000000071</v>
      </c>
      <c r="J143">
        <f t="shared" si="29"/>
        <v>17</v>
      </c>
      <c r="K143">
        <f t="shared" si="31"/>
        <v>0.5</v>
      </c>
      <c r="L143">
        <f t="shared" si="34"/>
        <v>8.2500000000000036</v>
      </c>
      <c r="M143">
        <f t="shared" si="35"/>
        <v>0.98360655737704927</v>
      </c>
      <c r="N143">
        <v>25</v>
      </c>
      <c r="O143">
        <f t="shared" si="32"/>
        <v>6</v>
      </c>
      <c r="P143">
        <f t="shared" si="33"/>
        <v>420</v>
      </c>
      <c r="Q143">
        <f t="shared" si="36"/>
        <v>0</v>
      </c>
      <c r="R143">
        <v>0</v>
      </c>
    </row>
    <row r="144" spans="1:18" x14ac:dyDescent="0.3">
      <c r="A144" t="s">
        <v>5</v>
      </c>
      <c r="B144" s="1">
        <v>45098</v>
      </c>
      <c r="C144" t="s">
        <v>7</v>
      </c>
      <c r="D144" t="s">
        <v>14</v>
      </c>
      <c r="E144">
        <v>4</v>
      </c>
      <c r="F144">
        <v>16.5</v>
      </c>
      <c r="G144">
        <v>0</v>
      </c>
      <c r="H144">
        <f t="shared" si="30"/>
        <v>0.5</v>
      </c>
      <c r="I144">
        <f t="shared" si="28"/>
        <v>0.5</v>
      </c>
      <c r="J144">
        <f t="shared" si="29"/>
        <v>17</v>
      </c>
      <c r="K144">
        <f t="shared" si="31"/>
        <v>0.39999999999999858</v>
      </c>
      <c r="L144">
        <f t="shared" si="34"/>
        <v>8.6500000000000021</v>
      </c>
      <c r="M144">
        <f t="shared" si="35"/>
        <v>0.98360655737704927</v>
      </c>
      <c r="N144">
        <v>26</v>
      </c>
      <c r="O144">
        <f t="shared" si="32"/>
        <v>6</v>
      </c>
      <c r="P144">
        <f t="shared" si="33"/>
        <v>420</v>
      </c>
      <c r="Q144">
        <f t="shared" si="36"/>
        <v>0</v>
      </c>
      <c r="R144">
        <v>0</v>
      </c>
    </row>
    <row r="145" spans="1:18" x14ac:dyDescent="0.3">
      <c r="A145" t="s">
        <v>6</v>
      </c>
      <c r="B145" s="1">
        <v>45099</v>
      </c>
      <c r="C145" t="s">
        <v>7</v>
      </c>
      <c r="D145" t="s">
        <v>14</v>
      </c>
      <c r="E145">
        <v>4</v>
      </c>
      <c r="F145">
        <v>16.600000000000001</v>
      </c>
      <c r="G145">
        <v>0.5</v>
      </c>
      <c r="H145">
        <v>0</v>
      </c>
      <c r="I145">
        <f t="shared" si="28"/>
        <v>0.5</v>
      </c>
      <c r="J145">
        <f t="shared" si="29"/>
        <v>17.100000000000001</v>
      </c>
      <c r="K145">
        <f t="shared" si="31"/>
        <v>0.30000000000000071</v>
      </c>
      <c r="L145">
        <f t="shared" si="34"/>
        <v>8.9500000000000028</v>
      </c>
      <c r="M145">
        <f t="shared" si="35"/>
        <v>1.0000000000000002</v>
      </c>
      <c r="N145">
        <v>27</v>
      </c>
      <c r="O145">
        <f t="shared" si="32"/>
        <v>6.5</v>
      </c>
      <c r="P145">
        <f t="shared" si="33"/>
        <v>455</v>
      </c>
      <c r="Q145">
        <f t="shared" si="36"/>
        <v>0</v>
      </c>
      <c r="R145">
        <v>0</v>
      </c>
    </row>
    <row r="146" spans="1:18" x14ac:dyDescent="0.3">
      <c r="A146" t="s">
        <v>0</v>
      </c>
      <c r="B146" s="1">
        <v>45100</v>
      </c>
      <c r="C146" t="s">
        <v>7</v>
      </c>
      <c r="D146" t="s">
        <v>14</v>
      </c>
      <c r="E146">
        <v>4</v>
      </c>
      <c r="F146">
        <v>16.8</v>
      </c>
      <c r="G146">
        <v>0</v>
      </c>
      <c r="H146">
        <f t="shared" si="30"/>
        <v>0.19999999999999929</v>
      </c>
      <c r="I146">
        <f t="shared" si="28"/>
        <v>0.19999999999999929</v>
      </c>
      <c r="J146">
        <f t="shared" si="29"/>
        <v>17</v>
      </c>
      <c r="K146">
        <f t="shared" si="31"/>
        <v>0.30000000000000071</v>
      </c>
      <c r="L146">
        <f>L145+K146</f>
        <v>9.2500000000000036</v>
      </c>
      <c r="M146">
        <f t="shared" si="35"/>
        <v>0.98360655737704927</v>
      </c>
      <c r="N146">
        <v>28</v>
      </c>
      <c r="O146">
        <f t="shared" si="32"/>
        <v>6.5</v>
      </c>
      <c r="P146">
        <f t="shared" si="33"/>
        <v>455</v>
      </c>
      <c r="Q146">
        <f t="shared" si="36"/>
        <v>0</v>
      </c>
      <c r="R146">
        <v>0</v>
      </c>
    </row>
    <row r="147" spans="1:18" x14ac:dyDescent="0.3">
      <c r="A147" t="s">
        <v>1</v>
      </c>
      <c r="B147" s="1">
        <v>45101</v>
      </c>
      <c r="C147" t="s">
        <v>7</v>
      </c>
      <c r="D147" t="s">
        <v>14</v>
      </c>
      <c r="E147">
        <v>4</v>
      </c>
      <c r="F147">
        <v>16.7</v>
      </c>
      <c r="G147">
        <v>0</v>
      </c>
      <c r="H147">
        <f t="shared" si="30"/>
        <v>0.30000000000000071</v>
      </c>
      <c r="I147">
        <f t="shared" si="28"/>
        <v>0.30000000000000071</v>
      </c>
      <c r="J147">
        <f t="shared" si="29"/>
        <v>17</v>
      </c>
      <c r="K147">
        <f t="shared" si="31"/>
        <v>0.60000000000000142</v>
      </c>
      <c r="L147">
        <f t="shared" si="34"/>
        <v>9.850000000000005</v>
      </c>
      <c r="M147">
        <f t="shared" si="35"/>
        <v>0.98360655737704927</v>
      </c>
      <c r="N147">
        <v>29</v>
      </c>
      <c r="O147">
        <f t="shared" si="32"/>
        <v>6.5</v>
      </c>
      <c r="P147">
        <f t="shared" si="33"/>
        <v>455</v>
      </c>
      <c r="Q147">
        <f t="shared" si="36"/>
        <v>0</v>
      </c>
      <c r="R147">
        <v>0</v>
      </c>
    </row>
    <row r="148" spans="1:18" x14ac:dyDescent="0.3">
      <c r="A148" t="s">
        <v>2</v>
      </c>
      <c r="B148" s="1">
        <v>45102</v>
      </c>
      <c r="C148" t="s">
        <v>7</v>
      </c>
      <c r="D148" t="s">
        <v>14</v>
      </c>
      <c r="E148">
        <v>4</v>
      </c>
      <c r="F148">
        <v>16.399999999999999</v>
      </c>
      <c r="G148">
        <v>0</v>
      </c>
      <c r="H148">
        <f t="shared" si="30"/>
        <v>0.60000000000000142</v>
      </c>
      <c r="I148">
        <f t="shared" si="28"/>
        <v>0.60000000000000142</v>
      </c>
      <c r="J148">
        <f t="shared" si="29"/>
        <v>17</v>
      </c>
      <c r="K148">
        <f>J148-F149</f>
        <v>0.5</v>
      </c>
      <c r="L148">
        <f t="shared" si="34"/>
        <v>10.350000000000005</v>
      </c>
      <c r="M148">
        <f t="shared" si="35"/>
        <v>0.98360655737704927</v>
      </c>
      <c r="N148">
        <v>30</v>
      </c>
      <c r="O148">
        <f t="shared" si="32"/>
        <v>6.5</v>
      </c>
      <c r="P148">
        <f t="shared" si="33"/>
        <v>455</v>
      </c>
      <c r="Q148">
        <f t="shared" si="36"/>
        <v>0</v>
      </c>
      <c r="R148">
        <v>0</v>
      </c>
    </row>
    <row r="149" spans="1:18" x14ac:dyDescent="0.3">
      <c r="A149" t="s">
        <v>3</v>
      </c>
      <c r="B149" s="1">
        <v>45103</v>
      </c>
      <c r="C149" t="s">
        <v>7</v>
      </c>
      <c r="D149" t="s">
        <v>14</v>
      </c>
      <c r="E149">
        <v>4</v>
      </c>
      <c r="F149">
        <v>16.5</v>
      </c>
      <c r="G149">
        <v>0.5</v>
      </c>
      <c r="H149">
        <f t="shared" si="30"/>
        <v>0</v>
      </c>
      <c r="I149">
        <f t="shared" si="28"/>
        <v>0.5</v>
      </c>
      <c r="J149">
        <f t="shared" si="29"/>
        <v>17</v>
      </c>
      <c r="K149">
        <f t="shared" si="31"/>
        <v>0.39999999999999858</v>
      </c>
      <c r="L149">
        <f t="shared" si="34"/>
        <v>10.750000000000004</v>
      </c>
      <c r="M149">
        <f t="shared" si="35"/>
        <v>0.98360655737704927</v>
      </c>
      <c r="N149">
        <v>31</v>
      </c>
      <c r="O149">
        <f t="shared" si="32"/>
        <v>7</v>
      </c>
      <c r="P149">
        <f t="shared" si="33"/>
        <v>490</v>
      </c>
      <c r="Q149">
        <f t="shared" si="36"/>
        <v>0</v>
      </c>
      <c r="R149">
        <v>0</v>
      </c>
    </row>
    <row r="150" spans="1:18" x14ac:dyDescent="0.3">
      <c r="A150" t="s">
        <v>4</v>
      </c>
      <c r="B150" s="1">
        <v>45104</v>
      </c>
      <c r="C150" t="s">
        <v>7</v>
      </c>
      <c r="D150" t="s">
        <v>14</v>
      </c>
      <c r="E150">
        <v>4</v>
      </c>
      <c r="F150">
        <v>16.600000000000001</v>
      </c>
      <c r="G150">
        <v>0</v>
      </c>
      <c r="H150">
        <f t="shared" si="30"/>
        <v>0.39999999999999858</v>
      </c>
      <c r="I150">
        <f t="shared" si="28"/>
        <v>0.39999999999999858</v>
      </c>
      <c r="J150">
        <f t="shared" si="29"/>
        <v>17</v>
      </c>
      <c r="K150">
        <f t="shared" si="31"/>
        <v>0.5</v>
      </c>
      <c r="L150">
        <f t="shared" si="34"/>
        <v>11.250000000000004</v>
      </c>
      <c r="M150">
        <f t="shared" si="35"/>
        <v>0.98360655737704927</v>
      </c>
      <c r="N150">
        <v>32</v>
      </c>
      <c r="O150">
        <f t="shared" si="32"/>
        <v>7</v>
      </c>
      <c r="P150">
        <f t="shared" si="33"/>
        <v>490</v>
      </c>
      <c r="Q150">
        <f t="shared" si="36"/>
        <v>0</v>
      </c>
      <c r="R150">
        <v>0</v>
      </c>
    </row>
    <row r="151" spans="1:18" x14ac:dyDescent="0.3">
      <c r="A151" t="s">
        <v>5</v>
      </c>
      <c r="B151" s="1">
        <v>45105</v>
      </c>
      <c r="C151" t="s">
        <v>7</v>
      </c>
      <c r="D151" t="s">
        <v>14</v>
      </c>
      <c r="E151">
        <v>4</v>
      </c>
      <c r="F151">
        <v>16.5</v>
      </c>
      <c r="G151">
        <v>0</v>
      </c>
      <c r="H151">
        <f t="shared" si="30"/>
        <v>0.5</v>
      </c>
      <c r="I151">
        <f t="shared" si="28"/>
        <v>0.5</v>
      </c>
      <c r="J151">
        <f t="shared" si="29"/>
        <v>17</v>
      </c>
      <c r="K151">
        <f t="shared" si="31"/>
        <v>0.60000000000000142</v>
      </c>
      <c r="L151">
        <f t="shared" si="34"/>
        <v>11.850000000000005</v>
      </c>
      <c r="M151">
        <f t="shared" si="35"/>
        <v>0.98360655737704927</v>
      </c>
      <c r="N151">
        <v>33</v>
      </c>
      <c r="O151">
        <f t="shared" si="32"/>
        <v>7</v>
      </c>
      <c r="P151">
        <f t="shared" si="33"/>
        <v>490</v>
      </c>
      <c r="Q151">
        <f t="shared" si="36"/>
        <v>0</v>
      </c>
      <c r="R151">
        <v>0</v>
      </c>
    </row>
    <row r="152" spans="1:18" x14ac:dyDescent="0.3">
      <c r="A152" t="s">
        <v>6</v>
      </c>
      <c r="B152" s="1">
        <v>45106</v>
      </c>
      <c r="C152" t="s">
        <v>7</v>
      </c>
      <c r="D152" t="s">
        <v>14</v>
      </c>
      <c r="E152">
        <v>4</v>
      </c>
      <c r="F152">
        <v>16.399999999999999</v>
      </c>
      <c r="G152">
        <v>0.5</v>
      </c>
      <c r="H152">
        <f t="shared" si="30"/>
        <v>0.10000000000000142</v>
      </c>
      <c r="I152">
        <f t="shared" si="28"/>
        <v>0.60000000000000142</v>
      </c>
      <c r="J152">
        <f t="shared" si="29"/>
        <v>17</v>
      </c>
      <c r="K152">
        <f t="shared" si="31"/>
        <v>0.60000000000000142</v>
      </c>
      <c r="L152">
        <f t="shared" si="34"/>
        <v>12.450000000000006</v>
      </c>
      <c r="M152">
        <f t="shared" si="35"/>
        <v>0.98360655737704927</v>
      </c>
      <c r="N152">
        <v>34</v>
      </c>
      <c r="O152">
        <f t="shared" si="32"/>
        <v>7.5</v>
      </c>
      <c r="P152">
        <f t="shared" si="33"/>
        <v>525</v>
      </c>
      <c r="Q152">
        <f t="shared" si="36"/>
        <v>0</v>
      </c>
      <c r="R152">
        <v>0</v>
      </c>
    </row>
    <row r="153" spans="1:18" x14ac:dyDescent="0.3">
      <c r="A153" t="s">
        <v>0</v>
      </c>
      <c r="B153" s="1">
        <v>45107</v>
      </c>
      <c r="C153" t="s">
        <v>7</v>
      </c>
      <c r="D153" t="s">
        <v>14</v>
      </c>
      <c r="E153">
        <v>4</v>
      </c>
      <c r="F153">
        <v>16.399999999999999</v>
      </c>
      <c r="G153">
        <v>0</v>
      </c>
      <c r="H153">
        <f t="shared" si="30"/>
        <v>0.60000000000000142</v>
      </c>
      <c r="I153">
        <f t="shared" si="28"/>
        <v>0.60000000000000142</v>
      </c>
      <c r="J153">
        <f t="shared" si="29"/>
        <v>17</v>
      </c>
      <c r="K153">
        <f t="shared" si="31"/>
        <v>0.39999999999999858</v>
      </c>
      <c r="L153">
        <f t="shared" si="34"/>
        <v>12.850000000000005</v>
      </c>
      <c r="M153">
        <f t="shared" si="35"/>
        <v>0.98360655737704927</v>
      </c>
      <c r="N153">
        <v>35</v>
      </c>
      <c r="O153">
        <f t="shared" si="32"/>
        <v>7.5</v>
      </c>
      <c r="P153">
        <f t="shared" si="33"/>
        <v>525</v>
      </c>
      <c r="Q153">
        <f t="shared" si="36"/>
        <v>0</v>
      </c>
      <c r="R153">
        <v>0</v>
      </c>
    </row>
    <row r="154" spans="1:18" x14ac:dyDescent="0.3">
      <c r="A154" t="s">
        <v>1</v>
      </c>
      <c r="B154" s="1">
        <v>45108</v>
      </c>
      <c r="C154" t="s">
        <v>7</v>
      </c>
      <c r="D154" t="s">
        <v>14</v>
      </c>
      <c r="E154">
        <v>4</v>
      </c>
      <c r="F154">
        <v>16.600000000000001</v>
      </c>
      <c r="G154">
        <v>0</v>
      </c>
      <c r="H154">
        <f t="shared" si="30"/>
        <v>0.39999999999999858</v>
      </c>
      <c r="I154">
        <f t="shared" si="28"/>
        <v>0.39999999999999858</v>
      </c>
      <c r="J154">
        <f t="shared" si="29"/>
        <v>17</v>
      </c>
      <c r="K154">
        <f t="shared" si="31"/>
        <v>0.30000000000000071</v>
      </c>
      <c r="L154">
        <f t="shared" si="34"/>
        <v>13.150000000000006</v>
      </c>
      <c r="M154">
        <f t="shared" si="35"/>
        <v>0.98360655737704927</v>
      </c>
      <c r="N154">
        <v>36</v>
      </c>
      <c r="O154">
        <f t="shared" si="32"/>
        <v>7.5</v>
      </c>
      <c r="P154">
        <f t="shared" si="33"/>
        <v>525</v>
      </c>
      <c r="Q154">
        <f t="shared" si="36"/>
        <v>0</v>
      </c>
      <c r="R154">
        <v>0</v>
      </c>
    </row>
    <row r="155" spans="1:18" x14ac:dyDescent="0.3">
      <c r="A155" t="s">
        <v>2</v>
      </c>
      <c r="B155" s="1">
        <v>45109</v>
      </c>
      <c r="C155" t="s">
        <v>7</v>
      </c>
      <c r="D155" t="s">
        <v>14</v>
      </c>
      <c r="E155">
        <v>4</v>
      </c>
      <c r="F155">
        <v>16.7</v>
      </c>
      <c r="G155">
        <v>0</v>
      </c>
      <c r="H155">
        <f t="shared" si="30"/>
        <v>0.30000000000000071</v>
      </c>
      <c r="I155">
        <f t="shared" si="28"/>
        <v>0.30000000000000071</v>
      </c>
      <c r="J155">
        <f t="shared" si="29"/>
        <v>17</v>
      </c>
      <c r="K155">
        <f>J155-F156</f>
        <v>0.5</v>
      </c>
      <c r="L155">
        <f t="shared" si="34"/>
        <v>13.650000000000006</v>
      </c>
      <c r="M155">
        <f t="shared" si="35"/>
        <v>0.98360655737704927</v>
      </c>
      <c r="N155">
        <v>37</v>
      </c>
      <c r="O155">
        <f t="shared" si="32"/>
        <v>7.5</v>
      </c>
      <c r="P155">
        <f t="shared" si="33"/>
        <v>525</v>
      </c>
      <c r="Q155">
        <f t="shared" si="36"/>
        <v>0</v>
      </c>
      <c r="R155">
        <v>0</v>
      </c>
    </row>
    <row r="156" spans="1:18" x14ac:dyDescent="0.3">
      <c r="A156" t="s">
        <v>3</v>
      </c>
      <c r="B156" s="1">
        <v>45110</v>
      </c>
      <c r="C156" t="s">
        <v>7</v>
      </c>
      <c r="D156" t="s">
        <v>14</v>
      </c>
      <c r="E156">
        <v>4</v>
      </c>
      <c r="F156">
        <v>16.5</v>
      </c>
      <c r="G156">
        <v>0</v>
      </c>
      <c r="H156">
        <f t="shared" si="30"/>
        <v>0.5</v>
      </c>
      <c r="I156">
        <f t="shared" si="28"/>
        <v>0.5</v>
      </c>
      <c r="J156">
        <f t="shared" si="29"/>
        <v>17</v>
      </c>
      <c r="K156">
        <f t="shared" si="31"/>
        <v>0.60000000000000142</v>
      </c>
      <c r="L156">
        <f t="shared" si="34"/>
        <v>14.250000000000007</v>
      </c>
      <c r="M156">
        <f t="shared" si="35"/>
        <v>0.98360655737704927</v>
      </c>
      <c r="N156">
        <v>38</v>
      </c>
      <c r="O156">
        <f t="shared" si="32"/>
        <v>7.5</v>
      </c>
      <c r="P156">
        <f t="shared" si="33"/>
        <v>525</v>
      </c>
      <c r="Q156">
        <f t="shared" si="36"/>
        <v>0</v>
      </c>
      <c r="R156">
        <v>0</v>
      </c>
    </row>
    <row r="157" spans="1:18" x14ac:dyDescent="0.3">
      <c r="A157" t="s">
        <v>4</v>
      </c>
      <c r="B157" s="1">
        <v>45111</v>
      </c>
      <c r="C157" t="s">
        <v>7</v>
      </c>
      <c r="D157" t="s">
        <v>14</v>
      </c>
      <c r="E157">
        <v>4</v>
      </c>
      <c r="F157">
        <v>16.399999999999999</v>
      </c>
      <c r="Q157">
        <f t="shared" si="36"/>
        <v>0</v>
      </c>
      <c r="R157">
        <v>0</v>
      </c>
    </row>
    <row r="158" spans="1:18" x14ac:dyDescent="0.3">
      <c r="A158" t="s">
        <v>1</v>
      </c>
      <c r="B158" s="1">
        <v>45073</v>
      </c>
      <c r="C158" t="s">
        <v>7</v>
      </c>
      <c r="D158" t="s">
        <v>14</v>
      </c>
      <c r="E158">
        <v>5</v>
      </c>
      <c r="F158">
        <v>17</v>
      </c>
      <c r="G158">
        <v>0</v>
      </c>
      <c r="H158">
        <f>17-F158-G158</f>
        <v>0</v>
      </c>
      <c r="I158">
        <f t="shared" si="28"/>
        <v>0</v>
      </c>
      <c r="J158">
        <f t="shared" si="29"/>
        <v>17</v>
      </c>
      <c r="K158">
        <f>J158-F159</f>
        <v>0.39999999999999858</v>
      </c>
      <c r="M158">
        <f t="shared" ref="M158:M194" si="37">(J158-11)/6.1</f>
        <v>0.98360655737704927</v>
      </c>
      <c r="N158">
        <v>1</v>
      </c>
      <c r="O158">
        <v>2.5</v>
      </c>
      <c r="P158">
        <f>O158*70</f>
        <v>175</v>
      </c>
      <c r="Q158">
        <f t="shared" si="36"/>
        <v>0</v>
      </c>
      <c r="R158">
        <v>0</v>
      </c>
    </row>
    <row r="159" spans="1:18" x14ac:dyDescent="0.3">
      <c r="A159" t="s">
        <v>2</v>
      </c>
      <c r="B159" s="1">
        <v>45074</v>
      </c>
      <c r="C159" t="s">
        <v>7</v>
      </c>
      <c r="D159" t="s">
        <v>14</v>
      </c>
      <c r="E159">
        <v>5</v>
      </c>
      <c r="F159">
        <v>16.600000000000001</v>
      </c>
      <c r="G159">
        <v>0</v>
      </c>
      <c r="H159">
        <f t="shared" ref="H159:H195" si="38">17-F159-G159</f>
        <v>0.39999999999999858</v>
      </c>
      <c r="I159">
        <f t="shared" si="28"/>
        <v>0.39999999999999858</v>
      </c>
      <c r="J159">
        <f t="shared" si="29"/>
        <v>17</v>
      </c>
      <c r="K159">
        <f t="shared" ref="K159:K195" si="39">J159-F160</f>
        <v>0.39999999999999858</v>
      </c>
      <c r="L159">
        <f>K158+K159</f>
        <v>0.79999999999999716</v>
      </c>
      <c r="M159">
        <f t="shared" si="37"/>
        <v>0.98360655737704927</v>
      </c>
      <c r="N159">
        <v>2</v>
      </c>
      <c r="O159">
        <f t="shared" ref="O159:O195" si="40">O158+G159</f>
        <v>2.5</v>
      </c>
      <c r="P159">
        <f t="shared" ref="P159:P195" si="41">O159*70</f>
        <v>175</v>
      </c>
      <c r="Q159">
        <f t="shared" si="36"/>
        <v>0</v>
      </c>
      <c r="R159">
        <v>0</v>
      </c>
    </row>
    <row r="160" spans="1:18" x14ac:dyDescent="0.3">
      <c r="A160" t="s">
        <v>3</v>
      </c>
      <c r="B160" s="1">
        <v>45075</v>
      </c>
      <c r="C160" t="s">
        <v>7</v>
      </c>
      <c r="D160" t="s">
        <v>14</v>
      </c>
      <c r="E160">
        <v>5</v>
      </c>
      <c r="F160">
        <v>16.600000000000001</v>
      </c>
      <c r="G160">
        <v>0.25</v>
      </c>
      <c r="H160">
        <f t="shared" si="38"/>
        <v>0.14999999999999858</v>
      </c>
      <c r="I160">
        <f t="shared" si="28"/>
        <v>0.39999999999999858</v>
      </c>
      <c r="J160">
        <f t="shared" si="29"/>
        <v>17</v>
      </c>
      <c r="K160">
        <f t="shared" si="39"/>
        <v>0.5</v>
      </c>
      <c r="L160">
        <f>L159+K160</f>
        <v>1.2999999999999972</v>
      </c>
      <c r="M160">
        <f t="shared" si="37"/>
        <v>0.98360655737704927</v>
      </c>
      <c r="N160">
        <v>3</v>
      </c>
      <c r="O160">
        <f t="shared" si="40"/>
        <v>2.75</v>
      </c>
      <c r="P160">
        <f t="shared" si="41"/>
        <v>192.5</v>
      </c>
      <c r="Q160">
        <f t="shared" si="36"/>
        <v>0</v>
      </c>
      <c r="R160">
        <v>0</v>
      </c>
    </row>
    <row r="161" spans="1:18" x14ac:dyDescent="0.3">
      <c r="A161" t="s">
        <v>4</v>
      </c>
      <c r="B161" s="1">
        <v>45076</v>
      </c>
      <c r="C161" t="s">
        <v>7</v>
      </c>
      <c r="D161" t="s">
        <v>14</v>
      </c>
      <c r="E161">
        <v>5</v>
      </c>
      <c r="F161">
        <v>16.5</v>
      </c>
      <c r="G161">
        <v>0.25</v>
      </c>
      <c r="H161">
        <f t="shared" si="38"/>
        <v>0.25</v>
      </c>
      <c r="I161">
        <f t="shared" si="28"/>
        <v>0.5</v>
      </c>
      <c r="J161">
        <f t="shared" si="29"/>
        <v>17</v>
      </c>
      <c r="K161">
        <f t="shared" si="39"/>
        <v>0.89999999999999858</v>
      </c>
      <c r="L161">
        <f t="shared" ref="L161:L195" si="42">L160+K161</f>
        <v>2.1999999999999957</v>
      </c>
      <c r="M161">
        <f t="shared" si="37"/>
        <v>0.98360655737704927</v>
      </c>
      <c r="N161">
        <v>4</v>
      </c>
      <c r="O161">
        <f t="shared" si="40"/>
        <v>3</v>
      </c>
      <c r="P161">
        <f t="shared" si="41"/>
        <v>210</v>
      </c>
      <c r="Q161">
        <f t="shared" si="36"/>
        <v>0</v>
      </c>
      <c r="R161">
        <v>0</v>
      </c>
    </row>
    <row r="162" spans="1:18" x14ac:dyDescent="0.3">
      <c r="A162" t="s">
        <v>5</v>
      </c>
      <c r="B162" s="1">
        <v>45077</v>
      </c>
      <c r="C162" t="s">
        <v>7</v>
      </c>
      <c r="D162" t="s">
        <v>14</v>
      </c>
      <c r="E162">
        <v>5</v>
      </c>
      <c r="F162">
        <v>16.100000000000001</v>
      </c>
      <c r="G162">
        <v>0</v>
      </c>
      <c r="H162">
        <f t="shared" si="38"/>
        <v>0.89999999999999858</v>
      </c>
      <c r="I162">
        <f t="shared" si="28"/>
        <v>0.89999999999999858</v>
      </c>
      <c r="J162">
        <f t="shared" si="29"/>
        <v>17</v>
      </c>
      <c r="K162">
        <f t="shared" si="39"/>
        <v>0.60000000000000142</v>
      </c>
      <c r="L162">
        <f t="shared" si="42"/>
        <v>2.7999999999999972</v>
      </c>
      <c r="M162">
        <f t="shared" si="37"/>
        <v>0.98360655737704927</v>
      </c>
      <c r="N162">
        <v>5</v>
      </c>
      <c r="O162">
        <f t="shared" si="40"/>
        <v>3</v>
      </c>
      <c r="P162">
        <f t="shared" si="41"/>
        <v>210</v>
      </c>
      <c r="Q162">
        <f t="shared" si="36"/>
        <v>0</v>
      </c>
      <c r="R162">
        <v>0</v>
      </c>
    </row>
    <row r="163" spans="1:18" x14ac:dyDescent="0.3">
      <c r="A163" t="s">
        <v>6</v>
      </c>
      <c r="B163" s="1">
        <v>45078</v>
      </c>
      <c r="C163" t="s">
        <v>7</v>
      </c>
      <c r="D163" t="s">
        <v>14</v>
      </c>
      <c r="E163">
        <v>5</v>
      </c>
      <c r="F163">
        <v>16.399999999999999</v>
      </c>
      <c r="G163">
        <v>0.25</v>
      </c>
      <c r="H163">
        <f t="shared" si="38"/>
        <v>0.35000000000000142</v>
      </c>
      <c r="I163">
        <f t="shared" si="28"/>
        <v>0.60000000000000142</v>
      </c>
      <c r="J163">
        <f t="shared" si="29"/>
        <v>17</v>
      </c>
      <c r="K163">
        <f t="shared" si="39"/>
        <v>0.39999999999999858</v>
      </c>
      <c r="L163">
        <f t="shared" si="42"/>
        <v>3.1999999999999957</v>
      </c>
      <c r="M163">
        <f t="shared" si="37"/>
        <v>0.98360655737704927</v>
      </c>
      <c r="N163">
        <v>6</v>
      </c>
      <c r="O163">
        <f t="shared" si="40"/>
        <v>3.25</v>
      </c>
      <c r="P163">
        <f t="shared" si="41"/>
        <v>227.5</v>
      </c>
      <c r="Q163">
        <f t="shared" si="36"/>
        <v>0</v>
      </c>
      <c r="R163">
        <v>0</v>
      </c>
    </row>
    <row r="164" spans="1:18" x14ac:dyDescent="0.3">
      <c r="A164" t="s">
        <v>0</v>
      </c>
      <c r="B164" s="1">
        <v>45079</v>
      </c>
      <c r="C164" t="s">
        <v>7</v>
      </c>
      <c r="D164" t="s">
        <v>14</v>
      </c>
      <c r="E164">
        <v>5</v>
      </c>
      <c r="F164">
        <v>16.600000000000001</v>
      </c>
      <c r="G164">
        <v>0.25</v>
      </c>
      <c r="H164">
        <f t="shared" si="38"/>
        <v>0.14999999999999858</v>
      </c>
      <c r="I164">
        <f t="shared" si="28"/>
        <v>0.39999999999999858</v>
      </c>
      <c r="J164">
        <f t="shared" si="29"/>
        <v>17</v>
      </c>
      <c r="K164">
        <f t="shared" si="39"/>
        <v>0.10000000000000142</v>
      </c>
      <c r="L164">
        <f t="shared" si="42"/>
        <v>3.2999999999999972</v>
      </c>
      <c r="M164">
        <f t="shared" si="37"/>
        <v>0.98360655737704927</v>
      </c>
      <c r="N164">
        <v>7</v>
      </c>
      <c r="O164">
        <f t="shared" si="40"/>
        <v>3.5</v>
      </c>
      <c r="P164">
        <f t="shared" si="41"/>
        <v>245</v>
      </c>
      <c r="Q164">
        <f t="shared" si="36"/>
        <v>0</v>
      </c>
      <c r="R164">
        <v>0</v>
      </c>
    </row>
    <row r="165" spans="1:18" x14ac:dyDescent="0.3">
      <c r="A165" t="s">
        <v>1</v>
      </c>
      <c r="B165" s="1">
        <v>45080</v>
      </c>
      <c r="C165" t="s">
        <v>7</v>
      </c>
      <c r="D165" t="s">
        <v>14</v>
      </c>
      <c r="E165">
        <v>5</v>
      </c>
      <c r="F165">
        <v>16.899999999999999</v>
      </c>
      <c r="G165">
        <v>0</v>
      </c>
      <c r="H165">
        <f t="shared" si="38"/>
        <v>0.10000000000000142</v>
      </c>
      <c r="I165">
        <f t="shared" si="28"/>
        <v>0.10000000000000142</v>
      </c>
      <c r="J165">
        <f t="shared" si="29"/>
        <v>17</v>
      </c>
      <c r="K165">
        <f t="shared" si="39"/>
        <v>0.30000000000000071</v>
      </c>
      <c r="L165">
        <f t="shared" si="42"/>
        <v>3.5999999999999979</v>
      </c>
      <c r="M165">
        <f t="shared" si="37"/>
        <v>0.98360655737704927</v>
      </c>
      <c r="N165">
        <v>8</v>
      </c>
      <c r="O165">
        <f t="shared" si="40"/>
        <v>3.5</v>
      </c>
      <c r="P165">
        <f t="shared" si="41"/>
        <v>245</v>
      </c>
      <c r="Q165">
        <f t="shared" si="36"/>
        <v>0</v>
      </c>
      <c r="R165">
        <v>0</v>
      </c>
    </row>
    <row r="166" spans="1:18" x14ac:dyDescent="0.3">
      <c r="A166" t="s">
        <v>2</v>
      </c>
      <c r="B166" s="1">
        <v>45081</v>
      </c>
      <c r="C166" t="s">
        <v>7</v>
      </c>
      <c r="D166" t="s">
        <v>14</v>
      </c>
      <c r="E166">
        <v>5</v>
      </c>
      <c r="F166">
        <v>16.7</v>
      </c>
      <c r="G166">
        <v>0</v>
      </c>
      <c r="H166">
        <f t="shared" si="38"/>
        <v>0.30000000000000071</v>
      </c>
      <c r="I166">
        <f t="shared" si="28"/>
        <v>0.30000000000000071</v>
      </c>
      <c r="J166">
        <f t="shared" si="29"/>
        <v>17</v>
      </c>
      <c r="K166">
        <f t="shared" si="39"/>
        <v>0.5</v>
      </c>
      <c r="L166">
        <f t="shared" si="42"/>
        <v>4.0999999999999979</v>
      </c>
      <c r="M166">
        <f t="shared" si="37"/>
        <v>0.98360655737704927</v>
      </c>
      <c r="N166">
        <v>9</v>
      </c>
      <c r="O166">
        <f t="shared" si="40"/>
        <v>3.5</v>
      </c>
      <c r="P166">
        <f t="shared" si="41"/>
        <v>245</v>
      </c>
      <c r="Q166">
        <f t="shared" si="36"/>
        <v>0</v>
      </c>
      <c r="R166">
        <v>0</v>
      </c>
    </row>
    <row r="167" spans="1:18" x14ac:dyDescent="0.3">
      <c r="A167" t="s">
        <v>3</v>
      </c>
      <c r="B167" s="1">
        <v>45082</v>
      </c>
      <c r="C167" t="s">
        <v>7</v>
      </c>
      <c r="D167" t="s">
        <v>14</v>
      </c>
      <c r="E167">
        <v>5</v>
      </c>
      <c r="F167">
        <v>16.5</v>
      </c>
      <c r="G167">
        <v>0.25</v>
      </c>
      <c r="H167">
        <f t="shared" si="38"/>
        <v>0.25</v>
      </c>
      <c r="I167">
        <f t="shared" si="28"/>
        <v>0.5</v>
      </c>
      <c r="J167">
        <f t="shared" si="29"/>
        <v>17</v>
      </c>
      <c r="K167">
        <f t="shared" si="39"/>
        <v>0.5</v>
      </c>
      <c r="L167">
        <f t="shared" si="42"/>
        <v>4.5999999999999979</v>
      </c>
      <c r="M167">
        <f t="shared" si="37"/>
        <v>0.98360655737704927</v>
      </c>
      <c r="N167">
        <v>10</v>
      </c>
      <c r="O167">
        <f t="shared" si="40"/>
        <v>3.75</v>
      </c>
      <c r="P167">
        <f t="shared" si="41"/>
        <v>262.5</v>
      </c>
      <c r="Q167">
        <f t="shared" si="36"/>
        <v>0</v>
      </c>
      <c r="R167">
        <v>0</v>
      </c>
    </row>
    <row r="168" spans="1:18" x14ac:dyDescent="0.3">
      <c r="A168" t="s">
        <v>4</v>
      </c>
      <c r="B168" s="1">
        <v>45083</v>
      </c>
      <c r="C168" t="s">
        <v>7</v>
      </c>
      <c r="D168" t="s">
        <v>14</v>
      </c>
      <c r="E168">
        <v>5</v>
      </c>
      <c r="F168">
        <v>16.5</v>
      </c>
      <c r="G168">
        <v>0.25</v>
      </c>
      <c r="H168">
        <f t="shared" si="38"/>
        <v>0.25</v>
      </c>
      <c r="I168">
        <f t="shared" si="28"/>
        <v>0.5</v>
      </c>
      <c r="J168">
        <f t="shared" si="29"/>
        <v>17</v>
      </c>
      <c r="K168">
        <f t="shared" si="39"/>
        <v>0.60000000000000142</v>
      </c>
      <c r="L168">
        <f t="shared" si="42"/>
        <v>5.1999999999999993</v>
      </c>
      <c r="M168">
        <f t="shared" si="37"/>
        <v>0.98360655737704927</v>
      </c>
      <c r="N168">
        <v>11</v>
      </c>
      <c r="O168">
        <f t="shared" si="40"/>
        <v>4</v>
      </c>
      <c r="P168">
        <f t="shared" si="41"/>
        <v>280</v>
      </c>
      <c r="Q168">
        <f t="shared" si="36"/>
        <v>0</v>
      </c>
      <c r="R168">
        <v>0</v>
      </c>
    </row>
    <row r="169" spans="1:18" x14ac:dyDescent="0.3">
      <c r="A169" t="s">
        <v>5</v>
      </c>
      <c r="B169" s="1">
        <v>45084</v>
      </c>
      <c r="C169" t="s">
        <v>7</v>
      </c>
      <c r="D169" t="s">
        <v>14</v>
      </c>
      <c r="E169">
        <v>5</v>
      </c>
      <c r="F169">
        <v>16.399999999999999</v>
      </c>
      <c r="G169">
        <v>0</v>
      </c>
      <c r="H169">
        <f t="shared" si="38"/>
        <v>0.60000000000000142</v>
      </c>
      <c r="I169">
        <f t="shared" si="28"/>
        <v>0.60000000000000142</v>
      </c>
      <c r="J169">
        <f t="shared" si="29"/>
        <v>17</v>
      </c>
      <c r="K169">
        <f t="shared" si="39"/>
        <v>0.60000000000000142</v>
      </c>
      <c r="L169">
        <f t="shared" si="42"/>
        <v>5.8000000000000007</v>
      </c>
      <c r="M169">
        <f t="shared" si="37"/>
        <v>0.98360655737704927</v>
      </c>
      <c r="N169">
        <v>12</v>
      </c>
      <c r="O169">
        <f t="shared" si="40"/>
        <v>4</v>
      </c>
      <c r="P169">
        <f t="shared" si="41"/>
        <v>280</v>
      </c>
      <c r="Q169">
        <f t="shared" si="36"/>
        <v>0</v>
      </c>
      <c r="R169">
        <v>0</v>
      </c>
    </row>
    <row r="170" spans="1:18" x14ac:dyDescent="0.3">
      <c r="A170" t="s">
        <v>6</v>
      </c>
      <c r="B170" s="1">
        <v>45085</v>
      </c>
      <c r="C170" t="s">
        <v>7</v>
      </c>
      <c r="D170" t="s">
        <v>14</v>
      </c>
      <c r="E170">
        <v>5</v>
      </c>
      <c r="F170">
        <v>16.399999999999999</v>
      </c>
      <c r="G170">
        <v>0.25</v>
      </c>
      <c r="H170">
        <f t="shared" si="38"/>
        <v>0.35000000000000142</v>
      </c>
      <c r="I170">
        <f t="shared" si="28"/>
        <v>0.60000000000000142</v>
      </c>
      <c r="J170">
        <f t="shared" si="29"/>
        <v>17</v>
      </c>
      <c r="K170">
        <f t="shared" si="39"/>
        <v>0.60000000000000142</v>
      </c>
      <c r="L170">
        <f t="shared" si="42"/>
        <v>6.4000000000000021</v>
      </c>
      <c r="M170">
        <f t="shared" si="37"/>
        <v>0.98360655737704927</v>
      </c>
      <c r="N170">
        <v>13</v>
      </c>
      <c r="O170">
        <f t="shared" si="40"/>
        <v>4.25</v>
      </c>
      <c r="P170">
        <f t="shared" si="41"/>
        <v>297.5</v>
      </c>
      <c r="Q170">
        <f t="shared" si="36"/>
        <v>0</v>
      </c>
      <c r="R170">
        <v>0</v>
      </c>
    </row>
    <row r="171" spans="1:18" x14ac:dyDescent="0.3">
      <c r="A171" t="s">
        <v>0</v>
      </c>
      <c r="B171" s="1">
        <v>45086</v>
      </c>
      <c r="C171" t="s">
        <v>7</v>
      </c>
      <c r="D171" t="s">
        <v>14</v>
      </c>
      <c r="E171">
        <v>5</v>
      </c>
      <c r="F171">
        <v>16.399999999999999</v>
      </c>
      <c r="G171">
        <v>0.25</v>
      </c>
      <c r="H171">
        <f t="shared" si="38"/>
        <v>0.35000000000000142</v>
      </c>
      <c r="I171">
        <f t="shared" si="28"/>
        <v>0.60000000000000142</v>
      </c>
      <c r="J171">
        <f t="shared" si="29"/>
        <v>17</v>
      </c>
      <c r="K171">
        <f t="shared" si="39"/>
        <v>0.69999999999999929</v>
      </c>
      <c r="L171">
        <f t="shared" si="42"/>
        <v>7.1000000000000014</v>
      </c>
      <c r="M171">
        <f t="shared" si="37"/>
        <v>0.98360655737704927</v>
      </c>
      <c r="N171">
        <v>14</v>
      </c>
      <c r="O171">
        <f t="shared" si="40"/>
        <v>4.5</v>
      </c>
      <c r="P171">
        <f t="shared" si="41"/>
        <v>315</v>
      </c>
      <c r="Q171">
        <f t="shared" si="36"/>
        <v>0</v>
      </c>
      <c r="R171">
        <v>0</v>
      </c>
    </row>
    <row r="172" spans="1:18" x14ac:dyDescent="0.3">
      <c r="A172" t="s">
        <v>1</v>
      </c>
      <c r="B172" s="1">
        <v>45087</v>
      </c>
      <c r="C172" t="s">
        <v>7</v>
      </c>
      <c r="D172" t="s">
        <v>14</v>
      </c>
      <c r="E172">
        <v>5</v>
      </c>
      <c r="F172">
        <v>16.3</v>
      </c>
      <c r="G172">
        <v>0</v>
      </c>
      <c r="H172">
        <f t="shared" si="38"/>
        <v>0.69999999999999929</v>
      </c>
      <c r="I172">
        <f t="shared" si="28"/>
        <v>0.69999999999999929</v>
      </c>
      <c r="J172">
        <f t="shared" si="29"/>
        <v>17</v>
      </c>
      <c r="K172">
        <f t="shared" si="39"/>
        <v>0.80000000000000071</v>
      </c>
      <c r="L172">
        <f t="shared" si="42"/>
        <v>7.9000000000000021</v>
      </c>
      <c r="M172">
        <f t="shared" si="37"/>
        <v>0.98360655737704927</v>
      </c>
      <c r="N172">
        <v>15</v>
      </c>
      <c r="O172">
        <f t="shared" si="40"/>
        <v>4.5</v>
      </c>
      <c r="P172">
        <f t="shared" si="41"/>
        <v>315</v>
      </c>
      <c r="Q172">
        <f t="shared" si="36"/>
        <v>0</v>
      </c>
      <c r="R172">
        <v>0</v>
      </c>
    </row>
    <row r="173" spans="1:18" x14ac:dyDescent="0.3">
      <c r="A173" t="s">
        <v>2</v>
      </c>
      <c r="B173" s="1">
        <v>45088</v>
      </c>
      <c r="C173" t="s">
        <v>7</v>
      </c>
      <c r="D173" t="s">
        <v>14</v>
      </c>
      <c r="E173">
        <v>5</v>
      </c>
      <c r="F173">
        <v>16.2</v>
      </c>
      <c r="G173">
        <v>0</v>
      </c>
      <c r="H173">
        <f t="shared" si="38"/>
        <v>0.80000000000000071</v>
      </c>
      <c r="I173">
        <f t="shared" si="28"/>
        <v>0.80000000000000071</v>
      </c>
      <c r="J173">
        <f t="shared" si="29"/>
        <v>17</v>
      </c>
      <c r="K173">
        <f t="shared" si="39"/>
        <v>0.60000000000000142</v>
      </c>
      <c r="L173">
        <f t="shared" si="42"/>
        <v>8.5000000000000036</v>
      </c>
      <c r="M173">
        <f t="shared" si="37"/>
        <v>0.98360655737704927</v>
      </c>
      <c r="N173">
        <v>16</v>
      </c>
      <c r="O173">
        <f t="shared" si="40"/>
        <v>4.5</v>
      </c>
      <c r="P173">
        <f t="shared" si="41"/>
        <v>315</v>
      </c>
      <c r="Q173">
        <f t="shared" si="36"/>
        <v>0</v>
      </c>
      <c r="R173">
        <v>0</v>
      </c>
    </row>
    <row r="174" spans="1:18" x14ac:dyDescent="0.3">
      <c r="A174" t="s">
        <v>3</v>
      </c>
      <c r="B174" s="1">
        <v>45089</v>
      </c>
      <c r="C174" t="s">
        <v>7</v>
      </c>
      <c r="D174" t="s">
        <v>14</v>
      </c>
      <c r="E174">
        <v>5</v>
      </c>
      <c r="F174">
        <v>16.399999999999999</v>
      </c>
      <c r="G174">
        <v>0.5</v>
      </c>
      <c r="H174">
        <f t="shared" si="38"/>
        <v>0.10000000000000142</v>
      </c>
      <c r="I174">
        <f t="shared" si="28"/>
        <v>0.60000000000000142</v>
      </c>
      <c r="J174">
        <f t="shared" si="29"/>
        <v>17</v>
      </c>
      <c r="K174">
        <f t="shared" si="39"/>
        <v>0.19999999999999929</v>
      </c>
      <c r="L174">
        <f t="shared" si="42"/>
        <v>8.7000000000000028</v>
      </c>
      <c r="M174">
        <f t="shared" si="37"/>
        <v>0.98360655737704927</v>
      </c>
      <c r="N174">
        <v>17</v>
      </c>
      <c r="O174">
        <f t="shared" si="40"/>
        <v>5</v>
      </c>
      <c r="P174">
        <f t="shared" si="41"/>
        <v>350</v>
      </c>
      <c r="Q174">
        <f t="shared" si="36"/>
        <v>0</v>
      </c>
      <c r="R174">
        <v>0</v>
      </c>
    </row>
    <row r="175" spans="1:18" x14ac:dyDescent="0.3">
      <c r="A175" t="s">
        <v>4</v>
      </c>
      <c r="B175" s="1">
        <v>45090</v>
      </c>
      <c r="C175" t="s">
        <v>7</v>
      </c>
      <c r="D175" t="s">
        <v>14</v>
      </c>
      <c r="E175">
        <v>5</v>
      </c>
      <c r="F175">
        <v>16.8</v>
      </c>
      <c r="G175">
        <v>0</v>
      </c>
      <c r="H175">
        <f t="shared" si="38"/>
        <v>0.19999999999999929</v>
      </c>
      <c r="I175">
        <f t="shared" si="28"/>
        <v>0.19999999999999929</v>
      </c>
      <c r="J175">
        <f t="shared" si="29"/>
        <v>17</v>
      </c>
      <c r="K175">
        <f t="shared" si="39"/>
        <v>0.5</v>
      </c>
      <c r="L175">
        <f t="shared" si="42"/>
        <v>9.2000000000000028</v>
      </c>
      <c r="M175">
        <f t="shared" si="37"/>
        <v>0.98360655737704927</v>
      </c>
      <c r="N175">
        <v>18</v>
      </c>
      <c r="O175">
        <f t="shared" si="40"/>
        <v>5</v>
      </c>
      <c r="P175">
        <f t="shared" si="41"/>
        <v>350</v>
      </c>
      <c r="Q175">
        <f t="shared" si="36"/>
        <v>0</v>
      </c>
      <c r="R175">
        <v>0</v>
      </c>
    </row>
    <row r="176" spans="1:18" x14ac:dyDescent="0.3">
      <c r="A176" t="s">
        <v>5</v>
      </c>
      <c r="B176" s="1">
        <v>45091</v>
      </c>
      <c r="C176" t="s">
        <v>7</v>
      </c>
      <c r="D176" t="s">
        <v>14</v>
      </c>
      <c r="E176">
        <v>5</v>
      </c>
      <c r="F176">
        <v>16.5</v>
      </c>
      <c r="G176">
        <v>0</v>
      </c>
      <c r="H176">
        <f t="shared" si="38"/>
        <v>0.5</v>
      </c>
      <c r="I176">
        <f t="shared" si="28"/>
        <v>0.5</v>
      </c>
      <c r="J176">
        <f t="shared" si="29"/>
        <v>17</v>
      </c>
      <c r="K176">
        <f>J176-F177</f>
        <v>0.69999999999999929</v>
      </c>
      <c r="L176">
        <f t="shared" si="42"/>
        <v>9.9000000000000021</v>
      </c>
      <c r="M176">
        <f t="shared" si="37"/>
        <v>0.98360655737704927</v>
      </c>
      <c r="N176">
        <v>19</v>
      </c>
      <c r="O176">
        <f t="shared" si="40"/>
        <v>5</v>
      </c>
      <c r="P176">
        <f t="shared" si="41"/>
        <v>350</v>
      </c>
      <c r="Q176">
        <f t="shared" si="36"/>
        <v>0</v>
      </c>
      <c r="R176">
        <v>0</v>
      </c>
    </row>
    <row r="177" spans="1:18" x14ac:dyDescent="0.3">
      <c r="A177" t="s">
        <v>6</v>
      </c>
      <c r="B177" s="1">
        <v>45092</v>
      </c>
      <c r="C177" t="s">
        <v>7</v>
      </c>
      <c r="D177" t="s">
        <v>14</v>
      </c>
      <c r="E177">
        <v>5</v>
      </c>
      <c r="F177">
        <v>16.3</v>
      </c>
      <c r="G177">
        <v>0.5</v>
      </c>
      <c r="H177">
        <f t="shared" si="38"/>
        <v>0.19999999999999929</v>
      </c>
      <c r="I177">
        <f t="shared" si="28"/>
        <v>0.69999999999999929</v>
      </c>
      <c r="J177">
        <f t="shared" si="29"/>
        <v>17</v>
      </c>
      <c r="K177">
        <f t="shared" si="39"/>
        <v>0.80000000000000071</v>
      </c>
      <c r="L177">
        <f t="shared" si="42"/>
        <v>10.700000000000003</v>
      </c>
      <c r="M177">
        <f t="shared" si="37"/>
        <v>0.98360655737704927</v>
      </c>
      <c r="N177">
        <v>20</v>
      </c>
      <c r="O177">
        <f t="shared" si="40"/>
        <v>5.5</v>
      </c>
      <c r="P177">
        <f t="shared" si="41"/>
        <v>385</v>
      </c>
      <c r="Q177">
        <f t="shared" si="36"/>
        <v>0</v>
      </c>
      <c r="R177">
        <v>0</v>
      </c>
    </row>
    <row r="178" spans="1:18" x14ac:dyDescent="0.3">
      <c r="A178" t="s">
        <v>0</v>
      </c>
      <c r="B178" s="1">
        <v>45093</v>
      </c>
      <c r="C178" t="s">
        <v>7</v>
      </c>
      <c r="D178" t="s">
        <v>14</v>
      </c>
      <c r="E178">
        <v>5</v>
      </c>
      <c r="F178">
        <v>16.2</v>
      </c>
      <c r="G178">
        <v>0</v>
      </c>
      <c r="H178">
        <f t="shared" si="38"/>
        <v>0.80000000000000071</v>
      </c>
      <c r="I178">
        <f t="shared" ref="I178:I241" si="43">H178+G178</f>
        <v>0.80000000000000071</v>
      </c>
      <c r="J178">
        <f t="shared" ref="J178:J241" si="44">I178+F178</f>
        <v>17</v>
      </c>
      <c r="K178">
        <f t="shared" si="39"/>
        <v>0.69999999999999929</v>
      </c>
      <c r="L178">
        <f t="shared" si="42"/>
        <v>11.400000000000002</v>
      </c>
      <c r="M178">
        <f t="shared" si="37"/>
        <v>0.98360655737704927</v>
      </c>
      <c r="N178">
        <v>21</v>
      </c>
      <c r="O178">
        <f t="shared" si="40"/>
        <v>5.5</v>
      </c>
      <c r="P178">
        <f t="shared" si="41"/>
        <v>385</v>
      </c>
      <c r="Q178">
        <f t="shared" si="36"/>
        <v>0</v>
      </c>
      <c r="R178">
        <v>0</v>
      </c>
    </row>
    <row r="179" spans="1:18" x14ac:dyDescent="0.3">
      <c r="A179" t="s">
        <v>1</v>
      </c>
      <c r="B179" s="1">
        <v>45094</v>
      </c>
      <c r="C179" t="s">
        <v>7</v>
      </c>
      <c r="D179" t="s">
        <v>14</v>
      </c>
      <c r="E179">
        <v>5</v>
      </c>
      <c r="F179">
        <v>16.3</v>
      </c>
      <c r="G179">
        <v>0</v>
      </c>
      <c r="H179">
        <f t="shared" si="38"/>
        <v>0.69999999999999929</v>
      </c>
      <c r="I179">
        <f t="shared" si="43"/>
        <v>0.69999999999999929</v>
      </c>
      <c r="J179">
        <f t="shared" si="44"/>
        <v>17</v>
      </c>
      <c r="K179">
        <f t="shared" si="39"/>
        <v>0.5</v>
      </c>
      <c r="L179">
        <f t="shared" si="42"/>
        <v>11.900000000000002</v>
      </c>
      <c r="M179">
        <f t="shared" si="37"/>
        <v>0.98360655737704927</v>
      </c>
      <c r="N179">
        <v>22</v>
      </c>
      <c r="O179">
        <f t="shared" si="40"/>
        <v>5.5</v>
      </c>
      <c r="P179">
        <f t="shared" si="41"/>
        <v>385</v>
      </c>
      <c r="Q179">
        <f t="shared" si="36"/>
        <v>0</v>
      </c>
      <c r="R179">
        <v>0</v>
      </c>
    </row>
    <row r="180" spans="1:18" x14ac:dyDescent="0.3">
      <c r="A180" t="s">
        <v>2</v>
      </c>
      <c r="B180" s="1">
        <v>45095</v>
      </c>
      <c r="C180" t="s">
        <v>7</v>
      </c>
      <c r="D180" t="s">
        <v>14</v>
      </c>
      <c r="E180">
        <v>5</v>
      </c>
      <c r="F180">
        <v>16.5</v>
      </c>
      <c r="G180">
        <v>0</v>
      </c>
      <c r="H180">
        <f t="shared" si="38"/>
        <v>0.5</v>
      </c>
      <c r="I180">
        <f t="shared" si="43"/>
        <v>0.5</v>
      </c>
      <c r="J180">
        <f t="shared" si="44"/>
        <v>17</v>
      </c>
      <c r="K180">
        <f t="shared" si="39"/>
        <v>0.60000000000000142</v>
      </c>
      <c r="L180">
        <f t="shared" si="42"/>
        <v>12.500000000000004</v>
      </c>
      <c r="M180">
        <f t="shared" si="37"/>
        <v>0.98360655737704927</v>
      </c>
      <c r="N180">
        <v>23</v>
      </c>
      <c r="O180">
        <f t="shared" si="40"/>
        <v>5.5</v>
      </c>
      <c r="P180">
        <f t="shared" si="41"/>
        <v>385</v>
      </c>
      <c r="Q180">
        <f t="shared" si="36"/>
        <v>0</v>
      </c>
      <c r="R180">
        <v>0</v>
      </c>
    </row>
    <row r="181" spans="1:18" x14ac:dyDescent="0.3">
      <c r="A181" t="s">
        <v>3</v>
      </c>
      <c r="B181" s="1">
        <v>45096</v>
      </c>
      <c r="C181" t="s">
        <v>7</v>
      </c>
      <c r="D181" t="s">
        <v>14</v>
      </c>
      <c r="E181">
        <v>5</v>
      </c>
      <c r="F181">
        <v>16.399999999999999</v>
      </c>
      <c r="G181">
        <v>0.5</v>
      </c>
      <c r="H181">
        <f t="shared" si="38"/>
        <v>0.10000000000000142</v>
      </c>
      <c r="I181">
        <f t="shared" si="43"/>
        <v>0.60000000000000142</v>
      </c>
      <c r="J181">
        <f t="shared" si="44"/>
        <v>17</v>
      </c>
      <c r="K181">
        <f t="shared" si="39"/>
        <v>0.60000000000000142</v>
      </c>
      <c r="L181">
        <f t="shared" si="42"/>
        <v>13.100000000000005</v>
      </c>
      <c r="M181">
        <f t="shared" si="37"/>
        <v>0.98360655737704927</v>
      </c>
      <c r="N181">
        <v>24</v>
      </c>
      <c r="O181">
        <f t="shared" si="40"/>
        <v>6</v>
      </c>
      <c r="P181">
        <f t="shared" si="41"/>
        <v>420</v>
      </c>
      <c r="Q181">
        <f t="shared" si="36"/>
        <v>0</v>
      </c>
      <c r="R181">
        <v>0</v>
      </c>
    </row>
    <row r="182" spans="1:18" x14ac:dyDescent="0.3">
      <c r="A182" t="s">
        <v>4</v>
      </c>
      <c r="B182" s="1">
        <v>45097</v>
      </c>
      <c r="C182" t="s">
        <v>7</v>
      </c>
      <c r="D182" t="s">
        <v>14</v>
      </c>
      <c r="E182">
        <v>5</v>
      </c>
      <c r="F182">
        <v>16.399999999999999</v>
      </c>
      <c r="G182">
        <v>0</v>
      </c>
      <c r="H182">
        <f t="shared" si="38"/>
        <v>0.60000000000000142</v>
      </c>
      <c r="I182">
        <f t="shared" si="43"/>
        <v>0.60000000000000142</v>
      </c>
      <c r="J182">
        <f t="shared" si="44"/>
        <v>17</v>
      </c>
      <c r="K182">
        <f t="shared" si="39"/>
        <v>0.69999999999999929</v>
      </c>
      <c r="L182">
        <f t="shared" si="42"/>
        <v>13.800000000000004</v>
      </c>
      <c r="M182">
        <f t="shared" si="37"/>
        <v>0.98360655737704927</v>
      </c>
      <c r="N182">
        <v>25</v>
      </c>
      <c r="O182">
        <f t="shared" si="40"/>
        <v>6</v>
      </c>
      <c r="P182">
        <f t="shared" si="41"/>
        <v>420</v>
      </c>
      <c r="Q182">
        <f t="shared" si="36"/>
        <v>0</v>
      </c>
      <c r="R182">
        <v>0</v>
      </c>
    </row>
    <row r="183" spans="1:18" x14ac:dyDescent="0.3">
      <c r="A183" t="s">
        <v>5</v>
      </c>
      <c r="B183" s="1">
        <v>45098</v>
      </c>
      <c r="C183" t="s">
        <v>7</v>
      </c>
      <c r="D183" t="s">
        <v>14</v>
      </c>
      <c r="E183">
        <v>5</v>
      </c>
      <c r="F183">
        <v>16.3</v>
      </c>
      <c r="G183">
        <v>0</v>
      </c>
      <c r="H183">
        <f t="shared" si="38"/>
        <v>0.69999999999999929</v>
      </c>
      <c r="I183">
        <f t="shared" si="43"/>
        <v>0.69999999999999929</v>
      </c>
      <c r="J183">
        <f t="shared" si="44"/>
        <v>17</v>
      </c>
      <c r="K183">
        <f t="shared" si="39"/>
        <v>0.60000000000000142</v>
      </c>
      <c r="L183">
        <f t="shared" si="42"/>
        <v>14.400000000000006</v>
      </c>
      <c r="M183">
        <f t="shared" si="37"/>
        <v>0.98360655737704927</v>
      </c>
      <c r="N183">
        <v>26</v>
      </c>
      <c r="O183">
        <f t="shared" si="40"/>
        <v>6</v>
      </c>
      <c r="P183">
        <f t="shared" si="41"/>
        <v>420</v>
      </c>
      <c r="Q183">
        <f t="shared" si="36"/>
        <v>0</v>
      </c>
      <c r="R183">
        <v>0</v>
      </c>
    </row>
    <row r="184" spans="1:18" x14ac:dyDescent="0.3">
      <c r="A184" t="s">
        <v>6</v>
      </c>
      <c r="B184" s="1">
        <v>45099</v>
      </c>
      <c r="C184" t="s">
        <v>7</v>
      </c>
      <c r="D184" t="s">
        <v>14</v>
      </c>
      <c r="E184">
        <v>5</v>
      </c>
      <c r="F184">
        <v>16.399999999999999</v>
      </c>
      <c r="G184">
        <v>0.5</v>
      </c>
      <c r="H184">
        <f t="shared" si="38"/>
        <v>0.10000000000000142</v>
      </c>
      <c r="I184">
        <f t="shared" si="43"/>
        <v>0.60000000000000142</v>
      </c>
      <c r="J184">
        <f t="shared" si="44"/>
        <v>17</v>
      </c>
      <c r="K184">
        <f t="shared" si="39"/>
        <v>0.39999999999999858</v>
      </c>
      <c r="L184">
        <f t="shared" si="42"/>
        <v>14.800000000000004</v>
      </c>
      <c r="M184">
        <f t="shared" si="37"/>
        <v>0.98360655737704927</v>
      </c>
      <c r="N184">
        <v>27</v>
      </c>
      <c r="O184">
        <f t="shared" si="40"/>
        <v>6.5</v>
      </c>
      <c r="P184">
        <f t="shared" si="41"/>
        <v>455</v>
      </c>
      <c r="Q184">
        <f t="shared" si="36"/>
        <v>0</v>
      </c>
      <c r="R184">
        <v>0</v>
      </c>
    </row>
    <row r="185" spans="1:18" x14ac:dyDescent="0.3">
      <c r="A185" t="s">
        <v>0</v>
      </c>
      <c r="B185" s="1">
        <v>45100</v>
      </c>
      <c r="C185" t="s">
        <v>7</v>
      </c>
      <c r="D185" t="s">
        <v>14</v>
      </c>
      <c r="E185">
        <v>5</v>
      </c>
      <c r="F185">
        <v>16.600000000000001</v>
      </c>
      <c r="G185">
        <v>0</v>
      </c>
      <c r="H185">
        <f t="shared" si="38"/>
        <v>0.39999999999999858</v>
      </c>
      <c r="I185">
        <f t="shared" si="43"/>
        <v>0.39999999999999858</v>
      </c>
      <c r="J185">
        <f t="shared" si="44"/>
        <v>17</v>
      </c>
      <c r="K185">
        <f t="shared" si="39"/>
        <v>0.39999999999999858</v>
      </c>
      <c r="L185">
        <f t="shared" si="42"/>
        <v>15.200000000000003</v>
      </c>
      <c r="M185">
        <f t="shared" si="37"/>
        <v>0.98360655737704927</v>
      </c>
      <c r="N185">
        <v>28</v>
      </c>
      <c r="O185">
        <f t="shared" si="40"/>
        <v>6.5</v>
      </c>
      <c r="P185">
        <f t="shared" si="41"/>
        <v>455</v>
      </c>
      <c r="Q185">
        <f t="shared" si="36"/>
        <v>0</v>
      </c>
      <c r="R185">
        <v>0</v>
      </c>
    </row>
    <row r="186" spans="1:18" x14ac:dyDescent="0.3">
      <c r="A186" t="s">
        <v>1</v>
      </c>
      <c r="B186" s="1">
        <v>45101</v>
      </c>
      <c r="C186" t="s">
        <v>7</v>
      </c>
      <c r="D186" t="s">
        <v>14</v>
      </c>
      <c r="E186">
        <v>5</v>
      </c>
      <c r="F186">
        <v>16.600000000000001</v>
      </c>
      <c r="G186">
        <v>0</v>
      </c>
      <c r="H186">
        <f t="shared" si="38"/>
        <v>0.39999999999999858</v>
      </c>
      <c r="I186">
        <f t="shared" si="43"/>
        <v>0.39999999999999858</v>
      </c>
      <c r="J186">
        <f t="shared" si="44"/>
        <v>17</v>
      </c>
      <c r="K186">
        <f t="shared" si="39"/>
        <v>0.60000000000000142</v>
      </c>
      <c r="L186">
        <f t="shared" si="42"/>
        <v>15.800000000000004</v>
      </c>
      <c r="M186">
        <f t="shared" si="37"/>
        <v>0.98360655737704927</v>
      </c>
      <c r="N186">
        <v>29</v>
      </c>
      <c r="O186">
        <f t="shared" si="40"/>
        <v>6.5</v>
      </c>
      <c r="P186">
        <f t="shared" si="41"/>
        <v>455</v>
      </c>
      <c r="Q186">
        <f t="shared" si="36"/>
        <v>0</v>
      </c>
      <c r="R186">
        <v>0</v>
      </c>
    </row>
    <row r="187" spans="1:18" x14ac:dyDescent="0.3">
      <c r="A187" t="s">
        <v>2</v>
      </c>
      <c r="B187" s="1">
        <v>45102</v>
      </c>
      <c r="C187" t="s">
        <v>7</v>
      </c>
      <c r="D187" t="s">
        <v>14</v>
      </c>
      <c r="E187">
        <v>5</v>
      </c>
      <c r="F187">
        <v>16.399999999999999</v>
      </c>
      <c r="G187">
        <v>0</v>
      </c>
      <c r="H187">
        <f t="shared" si="38"/>
        <v>0.60000000000000142</v>
      </c>
      <c r="I187">
        <f t="shared" si="43"/>
        <v>0.60000000000000142</v>
      </c>
      <c r="J187">
        <f t="shared" si="44"/>
        <v>17</v>
      </c>
      <c r="K187">
        <f t="shared" si="39"/>
        <v>0.60000000000000142</v>
      </c>
      <c r="L187">
        <f t="shared" si="42"/>
        <v>16.400000000000006</v>
      </c>
      <c r="M187">
        <f t="shared" si="37"/>
        <v>0.98360655737704927</v>
      </c>
      <c r="N187">
        <v>30</v>
      </c>
      <c r="O187">
        <f t="shared" si="40"/>
        <v>6.5</v>
      </c>
      <c r="P187">
        <f t="shared" si="41"/>
        <v>455</v>
      </c>
      <c r="Q187">
        <f t="shared" si="36"/>
        <v>0</v>
      </c>
      <c r="R187">
        <v>0</v>
      </c>
    </row>
    <row r="188" spans="1:18" x14ac:dyDescent="0.3">
      <c r="A188" t="s">
        <v>3</v>
      </c>
      <c r="B188" s="1">
        <v>45103</v>
      </c>
      <c r="C188" t="s">
        <v>7</v>
      </c>
      <c r="D188" t="s">
        <v>14</v>
      </c>
      <c r="E188">
        <v>5</v>
      </c>
      <c r="F188">
        <v>16.399999999999999</v>
      </c>
      <c r="G188">
        <v>0.5</v>
      </c>
      <c r="H188">
        <f t="shared" si="38"/>
        <v>0.10000000000000142</v>
      </c>
      <c r="I188">
        <f t="shared" si="43"/>
        <v>0.60000000000000142</v>
      </c>
      <c r="J188">
        <f t="shared" si="44"/>
        <v>17</v>
      </c>
      <c r="K188">
        <f>J188-F189</f>
        <v>0.39999999999999858</v>
      </c>
      <c r="L188">
        <f t="shared" si="42"/>
        <v>16.800000000000004</v>
      </c>
      <c r="M188">
        <f t="shared" si="37"/>
        <v>0.98360655737704927</v>
      </c>
      <c r="N188">
        <v>31</v>
      </c>
      <c r="O188">
        <f t="shared" si="40"/>
        <v>7</v>
      </c>
      <c r="P188">
        <f t="shared" si="41"/>
        <v>490</v>
      </c>
      <c r="Q188">
        <f t="shared" si="36"/>
        <v>0</v>
      </c>
      <c r="R188">
        <v>0</v>
      </c>
    </row>
    <row r="189" spans="1:18" x14ac:dyDescent="0.3">
      <c r="A189" t="s">
        <v>4</v>
      </c>
      <c r="B189" s="1">
        <v>45104</v>
      </c>
      <c r="C189" t="s">
        <v>7</v>
      </c>
      <c r="D189" t="s">
        <v>14</v>
      </c>
      <c r="E189">
        <v>5</v>
      </c>
      <c r="F189">
        <v>16.600000000000001</v>
      </c>
      <c r="G189">
        <v>0</v>
      </c>
      <c r="H189">
        <f t="shared" si="38"/>
        <v>0.39999999999999858</v>
      </c>
      <c r="I189">
        <f t="shared" si="43"/>
        <v>0.39999999999999858</v>
      </c>
      <c r="J189">
        <f t="shared" si="44"/>
        <v>17</v>
      </c>
      <c r="K189">
        <f t="shared" si="39"/>
        <v>0.60000000000000142</v>
      </c>
      <c r="L189">
        <f t="shared" si="42"/>
        <v>17.400000000000006</v>
      </c>
      <c r="M189">
        <f t="shared" si="37"/>
        <v>0.98360655737704927</v>
      </c>
      <c r="N189">
        <v>32</v>
      </c>
      <c r="O189">
        <f t="shared" si="40"/>
        <v>7</v>
      </c>
      <c r="P189">
        <f t="shared" si="41"/>
        <v>490</v>
      </c>
      <c r="Q189">
        <f t="shared" si="36"/>
        <v>0</v>
      </c>
      <c r="R189">
        <v>0</v>
      </c>
    </row>
    <row r="190" spans="1:18" x14ac:dyDescent="0.3">
      <c r="A190" t="s">
        <v>5</v>
      </c>
      <c r="B190" s="1">
        <v>45105</v>
      </c>
      <c r="C190" t="s">
        <v>7</v>
      </c>
      <c r="D190" t="s">
        <v>14</v>
      </c>
      <c r="E190">
        <v>5</v>
      </c>
      <c r="F190">
        <v>16.399999999999999</v>
      </c>
      <c r="G190">
        <v>0</v>
      </c>
      <c r="H190">
        <f t="shared" si="38"/>
        <v>0.60000000000000142</v>
      </c>
      <c r="I190">
        <f t="shared" si="43"/>
        <v>0.60000000000000142</v>
      </c>
      <c r="J190">
        <f t="shared" si="44"/>
        <v>17</v>
      </c>
      <c r="K190">
        <f t="shared" si="39"/>
        <v>0.39999999999999858</v>
      </c>
      <c r="L190">
        <f t="shared" si="42"/>
        <v>17.800000000000004</v>
      </c>
      <c r="M190">
        <f t="shared" si="37"/>
        <v>0.98360655737704927</v>
      </c>
      <c r="N190">
        <v>33</v>
      </c>
      <c r="O190">
        <f t="shared" si="40"/>
        <v>7</v>
      </c>
      <c r="P190">
        <f t="shared" si="41"/>
        <v>490</v>
      </c>
      <c r="Q190">
        <f t="shared" si="36"/>
        <v>0</v>
      </c>
      <c r="R190">
        <v>0</v>
      </c>
    </row>
    <row r="191" spans="1:18" x14ac:dyDescent="0.3">
      <c r="A191" t="s">
        <v>6</v>
      </c>
      <c r="B191" s="1">
        <v>45106</v>
      </c>
      <c r="C191" t="s">
        <v>7</v>
      </c>
      <c r="D191" t="s">
        <v>14</v>
      </c>
      <c r="E191">
        <v>5</v>
      </c>
      <c r="F191">
        <v>16.600000000000001</v>
      </c>
      <c r="G191">
        <v>0.5</v>
      </c>
      <c r="H191">
        <v>0</v>
      </c>
      <c r="I191">
        <f t="shared" si="43"/>
        <v>0.5</v>
      </c>
      <c r="J191">
        <f t="shared" si="44"/>
        <v>17.100000000000001</v>
      </c>
      <c r="K191">
        <f t="shared" si="39"/>
        <v>0.5</v>
      </c>
      <c r="L191">
        <f t="shared" si="42"/>
        <v>18.300000000000004</v>
      </c>
      <c r="M191">
        <f t="shared" si="37"/>
        <v>1.0000000000000002</v>
      </c>
      <c r="N191">
        <v>34</v>
      </c>
      <c r="O191">
        <f t="shared" si="40"/>
        <v>7.5</v>
      </c>
      <c r="P191">
        <f t="shared" si="41"/>
        <v>525</v>
      </c>
      <c r="Q191">
        <f t="shared" si="36"/>
        <v>0</v>
      </c>
      <c r="R191">
        <v>0</v>
      </c>
    </row>
    <row r="192" spans="1:18" x14ac:dyDescent="0.3">
      <c r="A192" t="s">
        <v>0</v>
      </c>
      <c r="B192" s="1">
        <v>45107</v>
      </c>
      <c r="C192" t="s">
        <v>7</v>
      </c>
      <c r="D192" t="s">
        <v>14</v>
      </c>
      <c r="E192">
        <v>5</v>
      </c>
      <c r="F192">
        <v>16.600000000000001</v>
      </c>
      <c r="G192">
        <v>0</v>
      </c>
      <c r="H192">
        <f t="shared" si="38"/>
        <v>0.39999999999999858</v>
      </c>
      <c r="I192">
        <f t="shared" si="43"/>
        <v>0.39999999999999858</v>
      </c>
      <c r="J192">
        <f t="shared" si="44"/>
        <v>17</v>
      </c>
      <c r="K192">
        <f t="shared" si="39"/>
        <v>0.19999999999999929</v>
      </c>
      <c r="L192">
        <f t="shared" si="42"/>
        <v>18.500000000000004</v>
      </c>
      <c r="M192">
        <f t="shared" si="37"/>
        <v>0.98360655737704927</v>
      </c>
      <c r="N192">
        <v>35</v>
      </c>
      <c r="O192">
        <f t="shared" si="40"/>
        <v>7.5</v>
      </c>
      <c r="P192">
        <f t="shared" si="41"/>
        <v>525</v>
      </c>
      <c r="Q192">
        <f t="shared" si="36"/>
        <v>0</v>
      </c>
      <c r="R192">
        <v>0</v>
      </c>
    </row>
    <row r="193" spans="1:18" x14ac:dyDescent="0.3">
      <c r="A193" t="s">
        <v>1</v>
      </c>
      <c r="B193" s="1">
        <v>45108</v>
      </c>
      <c r="C193" t="s">
        <v>7</v>
      </c>
      <c r="D193" t="s">
        <v>14</v>
      </c>
      <c r="E193">
        <v>5</v>
      </c>
      <c r="F193">
        <v>16.8</v>
      </c>
      <c r="G193">
        <v>0</v>
      </c>
      <c r="H193">
        <f t="shared" si="38"/>
        <v>0.19999999999999929</v>
      </c>
      <c r="I193">
        <f t="shared" si="43"/>
        <v>0.19999999999999929</v>
      </c>
      <c r="J193">
        <f t="shared" si="44"/>
        <v>17</v>
      </c>
      <c r="K193">
        <f t="shared" si="39"/>
        <v>0.19999999999999929</v>
      </c>
      <c r="L193">
        <f t="shared" si="42"/>
        <v>18.700000000000003</v>
      </c>
      <c r="M193">
        <f t="shared" si="37"/>
        <v>0.98360655737704927</v>
      </c>
      <c r="N193">
        <v>36</v>
      </c>
      <c r="O193">
        <f t="shared" si="40"/>
        <v>7.5</v>
      </c>
      <c r="P193">
        <f t="shared" si="41"/>
        <v>525</v>
      </c>
      <c r="Q193">
        <f t="shared" si="36"/>
        <v>0</v>
      </c>
      <c r="R193">
        <v>0</v>
      </c>
    </row>
    <row r="194" spans="1:18" x14ac:dyDescent="0.3">
      <c r="A194" t="s">
        <v>2</v>
      </c>
      <c r="B194" s="1">
        <v>45109</v>
      </c>
      <c r="C194" t="s">
        <v>7</v>
      </c>
      <c r="D194" t="s">
        <v>14</v>
      </c>
      <c r="E194">
        <v>5</v>
      </c>
      <c r="F194">
        <v>16.8</v>
      </c>
      <c r="G194">
        <v>0</v>
      </c>
      <c r="H194">
        <f t="shared" si="38"/>
        <v>0.19999999999999929</v>
      </c>
      <c r="I194">
        <f t="shared" si="43"/>
        <v>0.19999999999999929</v>
      </c>
      <c r="J194">
        <f t="shared" si="44"/>
        <v>17</v>
      </c>
      <c r="K194">
        <f t="shared" si="39"/>
        <v>0.5</v>
      </c>
      <c r="L194">
        <f t="shared" si="42"/>
        <v>19.200000000000003</v>
      </c>
      <c r="M194">
        <f t="shared" si="37"/>
        <v>0.98360655737704927</v>
      </c>
      <c r="N194">
        <v>37</v>
      </c>
      <c r="O194">
        <f t="shared" si="40"/>
        <v>7.5</v>
      </c>
      <c r="P194">
        <f t="shared" si="41"/>
        <v>525</v>
      </c>
      <c r="Q194">
        <f t="shared" si="36"/>
        <v>0</v>
      </c>
      <c r="R194">
        <v>0</v>
      </c>
    </row>
    <row r="195" spans="1:18" x14ac:dyDescent="0.3">
      <c r="A195" t="s">
        <v>3</v>
      </c>
      <c r="B195" s="1">
        <v>45110</v>
      </c>
      <c r="C195" t="s">
        <v>7</v>
      </c>
      <c r="D195" t="s">
        <v>14</v>
      </c>
      <c r="E195">
        <v>5</v>
      </c>
      <c r="F195">
        <v>16.5</v>
      </c>
      <c r="G195">
        <v>0</v>
      </c>
      <c r="H195">
        <f t="shared" si="38"/>
        <v>0.5</v>
      </c>
      <c r="I195">
        <f t="shared" si="43"/>
        <v>0.5</v>
      </c>
      <c r="J195">
        <f t="shared" si="44"/>
        <v>17</v>
      </c>
      <c r="K195">
        <f t="shared" si="39"/>
        <v>0.5</v>
      </c>
      <c r="L195">
        <f t="shared" si="42"/>
        <v>19.700000000000003</v>
      </c>
      <c r="M195">
        <f t="shared" ref="M195" si="45">(J195-11)/6.1</f>
        <v>0.98360655737704927</v>
      </c>
      <c r="N195">
        <v>38</v>
      </c>
      <c r="O195">
        <f t="shared" si="40"/>
        <v>7.5</v>
      </c>
      <c r="P195">
        <f t="shared" si="41"/>
        <v>525</v>
      </c>
      <c r="Q195">
        <f t="shared" ref="Q195:Q258" si="46">M195-M195</f>
        <v>0</v>
      </c>
      <c r="R195">
        <v>0</v>
      </c>
    </row>
    <row r="196" spans="1:18" x14ac:dyDescent="0.3">
      <c r="A196" t="s">
        <v>4</v>
      </c>
      <c r="B196" s="1">
        <v>45111</v>
      </c>
      <c r="C196" t="s">
        <v>7</v>
      </c>
      <c r="D196" t="s">
        <v>14</v>
      </c>
      <c r="E196">
        <v>5</v>
      </c>
      <c r="F196">
        <v>16.5</v>
      </c>
      <c r="Q196">
        <f t="shared" si="46"/>
        <v>0</v>
      </c>
      <c r="R196">
        <v>0</v>
      </c>
    </row>
    <row r="197" spans="1:18" x14ac:dyDescent="0.3">
      <c r="A197" t="s">
        <v>1</v>
      </c>
      <c r="B197" s="1">
        <v>45073</v>
      </c>
      <c r="C197" t="s">
        <v>7</v>
      </c>
      <c r="D197" t="s">
        <v>14</v>
      </c>
      <c r="E197">
        <v>6</v>
      </c>
      <c r="F197">
        <v>17</v>
      </c>
      <c r="G197">
        <v>0</v>
      </c>
      <c r="H197">
        <f>17-F197-G197</f>
        <v>0</v>
      </c>
      <c r="I197">
        <f t="shared" si="43"/>
        <v>0</v>
      </c>
      <c r="J197">
        <f t="shared" si="44"/>
        <v>17</v>
      </c>
      <c r="K197">
        <f>J197-F198</f>
        <v>0.5</v>
      </c>
      <c r="M197">
        <f t="shared" ref="M197:M258" si="47">(J197-11)/6.1</f>
        <v>0.98360655737704927</v>
      </c>
      <c r="N197">
        <v>1</v>
      </c>
      <c r="O197">
        <v>2.5</v>
      </c>
      <c r="P197">
        <f>O197*70</f>
        <v>175</v>
      </c>
      <c r="Q197">
        <f t="shared" si="46"/>
        <v>0</v>
      </c>
      <c r="R197">
        <v>0</v>
      </c>
    </row>
    <row r="198" spans="1:18" x14ac:dyDescent="0.3">
      <c r="A198" t="s">
        <v>2</v>
      </c>
      <c r="B198" s="1">
        <v>45074</v>
      </c>
      <c r="C198" t="s">
        <v>7</v>
      </c>
      <c r="D198" t="s">
        <v>14</v>
      </c>
      <c r="E198">
        <v>6</v>
      </c>
      <c r="F198">
        <v>16.5</v>
      </c>
      <c r="G198">
        <v>0</v>
      </c>
      <c r="H198">
        <f t="shared" ref="H198:H234" si="48">17-F198-G198</f>
        <v>0.5</v>
      </c>
      <c r="I198">
        <f t="shared" si="43"/>
        <v>0.5</v>
      </c>
      <c r="J198">
        <f t="shared" si="44"/>
        <v>17</v>
      </c>
      <c r="K198">
        <f t="shared" ref="K198:K234" si="49">J198-F199</f>
        <v>0.39999999999999858</v>
      </c>
      <c r="L198">
        <f>K197+K198</f>
        <v>0.89999999999999858</v>
      </c>
      <c r="M198">
        <f t="shared" si="47"/>
        <v>0.98360655737704927</v>
      </c>
      <c r="N198">
        <v>2</v>
      </c>
      <c r="O198">
        <f t="shared" ref="O198:O234" si="50">O197+G198</f>
        <v>2.5</v>
      </c>
      <c r="P198">
        <f t="shared" ref="P198:P234" si="51">O198*70</f>
        <v>175</v>
      </c>
      <c r="Q198">
        <f t="shared" si="46"/>
        <v>0</v>
      </c>
      <c r="R198">
        <v>0</v>
      </c>
    </row>
    <row r="199" spans="1:18" x14ac:dyDescent="0.3">
      <c r="A199" t="s">
        <v>3</v>
      </c>
      <c r="B199" s="1">
        <v>45075</v>
      </c>
      <c r="C199" t="s">
        <v>7</v>
      </c>
      <c r="D199" t="s">
        <v>14</v>
      </c>
      <c r="E199">
        <v>6</v>
      </c>
      <c r="F199">
        <v>16.600000000000001</v>
      </c>
      <c r="G199">
        <v>0.25</v>
      </c>
      <c r="H199">
        <f t="shared" si="48"/>
        <v>0.14999999999999858</v>
      </c>
      <c r="I199">
        <f t="shared" si="43"/>
        <v>0.39999999999999858</v>
      </c>
      <c r="J199">
        <f t="shared" si="44"/>
        <v>17</v>
      </c>
      <c r="K199">
        <f t="shared" si="49"/>
        <v>0.69999999999999929</v>
      </c>
      <c r="L199">
        <f>L198+K199</f>
        <v>1.5999999999999979</v>
      </c>
      <c r="M199">
        <f t="shared" si="47"/>
        <v>0.98360655737704927</v>
      </c>
      <c r="N199">
        <v>3</v>
      </c>
      <c r="O199">
        <f t="shared" si="50"/>
        <v>2.75</v>
      </c>
      <c r="P199">
        <f t="shared" si="51"/>
        <v>192.5</v>
      </c>
      <c r="Q199">
        <f t="shared" si="46"/>
        <v>0</v>
      </c>
      <c r="R199">
        <v>0</v>
      </c>
    </row>
    <row r="200" spans="1:18" x14ac:dyDescent="0.3">
      <c r="A200" t="s">
        <v>4</v>
      </c>
      <c r="B200" s="1">
        <v>45076</v>
      </c>
      <c r="C200" t="s">
        <v>7</v>
      </c>
      <c r="D200" t="s">
        <v>14</v>
      </c>
      <c r="E200">
        <v>6</v>
      </c>
      <c r="F200">
        <v>16.3</v>
      </c>
      <c r="G200">
        <v>0.25</v>
      </c>
      <c r="H200">
        <f t="shared" si="48"/>
        <v>0.44999999999999929</v>
      </c>
      <c r="I200">
        <f t="shared" si="43"/>
        <v>0.69999999999999929</v>
      </c>
      <c r="J200">
        <f t="shared" si="44"/>
        <v>17</v>
      </c>
      <c r="K200">
        <f t="shared" si="49"/>
        <v>0.69999999999999929</v>
      </c>
      <c r="L200">
        <f t="shared" ref="L200:L234" si="52">L199+K200</f>
        <v>2.2999999999999972</v>
      </c>
      <c r="M200">
        <f t="shared" si="47"/>
        <v>0.98360655737704927</v>
      </c>
      <c r="N200">
        <v>4</v>
      </c>
      <c r="O200">
        <f t="shared" si="50"/>
        <v>3</v>
      </c>
      <c r="P200">
        <f t="shared" si="51"/>
        <v>210</v>
      </c>
      <c r="Q200">
        <f t="shared" si="46"/>
        <v>0</v>
      </c>
      <c r="R200">
        <v>0</v>
      </c>
    </row>
    <row r="201" spans="1:18" x14ac:dyDescent="0.3">
      <c r="A201" t="s">
        <v>5</v>
      </c>
      <c r="B201" s="1">
        <v>45077</v>
      </c>
      <c r="C201" t="s">
        <v>7</v>
      </c>
      <c r="D201" t="s">
        <v>14</v>
      </c>
      <c r="E201">
        <v>6</v>
      </c>
      <c r="F201">
        <v>16.3</v>
      </c>
      <c r="G201">
        <v>0</v>
      </c>
      <c r="H201">
        <f t="shared" si="48"/>
        <v>0.69999999999999929</v>
      </c>
      <c r="I201">
        <f t="shared" si="43"/>
        <v>0.69999999999999929</v>
      </c>
      <c r="J201">
        <f t="shared" si="44"/>
        <v>17</v>
      </c>
      <c r="K201">
        <f t="shared" si="49"/>
        <v>0.60000000000000142</v>
      </c>
      <c r="L201">
        <f t="shared" si="52"/>
        <v>2.8999999999999986</v>
      </c>
      <c r="M201">
        <f t="shared" si="47"/>
        <v>0.98360655737704927</v>
      </c>
      <c r="N201">
        <v>5</v>
      </c>
      <c r="O201">
        <f t="shared" si="50"/>
        <v>3</v>
      </c>
      <c r="P201">
        <f t="shared" si="51"/>
        <v>210</v>
      </c>
      <c r="Q201">
        <f t="shared" si="46"/>
        <v>0</v>
      </c>
      <c r="R201">
        <v>0</v>
      </c>
    </row>
    <row r="202" spans="1:18" x14ac:dyDescent="0.3">
      <c r="A202" t="s">
        <v>6</v>
      </c>
      <c r="B202" s="1">
        <v>45078</v>
      </c>
      <c r="C202" t="s">
        <v>7</v>
      </c>
      <c r="D202" t="s">
        <v>14</v>
      </c>
      <c r="E202">
        <v>6</v>
      </c>
      <c r="F202">
        <v>16.399999999999999</v>
      </c>
      <c r="G202">
        <v>0.25</v>
      </c>
      <c r="H202">
        <f t="shared" si="48"/>
        <v>0.35000000000000142</v>
      </c>
      <c r="I202">
        <f t="shared" si="43"/>
        <v>0.60000000000000142</v>
      </c>
      <c r="J202">
        <f t="shared" si="44"/>
        <v>17</v>
      </c>
      <c r="K202">
        <f t="shared" si="49"/>
        <v>0.5</v>
      </c>
      <c r="L202">
        <f t="shared" si="52"/>
        <v>3.3999999999999986</v>
      </c>
      <c r="M202">
        <f t="shared" si="47"/>
        <v>0.98360655737704927</v>
      </c>
      <c r="N202">
        <v>6</v>
      </c>
      <c r="O202">
        <f t="shared" si="50"/>
        <v>3.25</v>
      </c>
      <c r="P202">
        <f t="shared" si="51"/>
        <v>227.5</v>
      </c>
      <c r="Q202">
        <f t="shared" si="46"/>
        <v>0</v>
      </c>
      <c r="R202">
        <v>0</v>
      </c>
    </row>
    <row r="203" spans="1:18" x14ac:dyDescent="0.3">
      <c r="A203" t="s">
        <v>0</v>
      </c>
      <c r="B203" s="1">
        <v>45079</v>
      </c>
      <c r="C203" t="s">
        <v>7</v>
      </c>
      <c r="D203" t="s">
        <v>14</v>
      </c>
      <c r="E203">
        <v>6</v>
      </c>
      <c r="F203">
        <v>16.5</v>
      </c>
      <c r="G203">
        <v>0.25</v>
      </c>
      <c r="H203">
        <f t="shared" si="48"/>
        <v>0.25</v>
      </c>
      <c r="I203">
        <f t="shared" si="43"/>
        <v>0.5</v>
      </c>
      <c r="J203">
        <f t="shared" si="44"/>
        <v>17</v>
      </c>
      <c r="K203">
        <f t="shared" si="49"/>
        <v>0.10000000000000142</v>
      </c>
      <c r="L203">
        <f t="shared" si="52"/>
        <v>3.5</v>
      </c>
      <c r="M203">
        <f t="shared" si="47"/>
        <v>0.98360655737704927</v>
      </c>
      <c r="N203">
        <v>7</v>
      </c>
      <c r="O203">
        <f t="shared" si="50"/>
        <v>3.5</v>
      </c>
      <c r="P203">
        <f t="shared" si="51"/>
        <v>245</v>
      </c>
      <c r="Q203">
        <f t="shared" si="46"/>
        <v>0</v>
      </c>
      <c r="R203">
        <v>0</v>
      </c>
    </row>
    <row r="204" spans="1:18" x14ac:dyDescent="0.3">
      <c r="A204" t="s">
        <v>1</v>
      </c>
      <c r="B204" s="1">
        <v>45080</v>
      </c>
      <c r="C204" t="s">
        <v>7</v>
      </c>
      <c r="D204" t="s">
        <v>14</v>
      </c>
      <c r="E204">
        <v>6</v>
      </c>
      <c r="F204">
        <v>16.899999999999999</v>
      </c>
      <c r="G204">
        <v>0</v>
      </c>
      <c r="H204">
        <f t="shared" si="48"/>
        <v>0.10000000000000142</v>
      </c>
      <c r="I204">
        <f t="shared" si="43"/>
        <v>0.10000000000000142</v>
      </c>
      <c r="J204">
        <f t="shared" si="44"/>
        <v>17</v>
      </c>
      <c r="K204">
        <f t="shared" si="49"/>
        <v>0.39999999999999858</v>
      </c>
      <c r="L204">
        <f t="shared" si="52"/>
        <v>3.8999999999999986</v>
      </c>
      <c r="M204">
        <f t="shared" si="47"/>
        <v>0.98360655737704927</v>
      </c>
      <c r="N204">
        <v>8</v>
      </c>
      <c r="O204">
        <f t="shared" si="50"/>
        <v>3.5</v>
      </c>
      <c r="P204">
        <f t="shared" si="51"/>
        <v>245</v>
      </c>
      <c r="Q204">
        <f t="shared" si="46"/>
        <v>0</v>
      </c>
      <c r="R204">
        <v>0</v>
      </c>
    </row>
    <row r="205" spans="1:18" x14ac:dyDescent="0.3">
      <c r="A205" t="s">
        <v>2</v>
      </c>
      <c r="B205" s="1">
        <v>45081</v>
      </c>
      <c r="C205" t="s">
        <v>7</v>
      </c>
      <c r="D205" t="s">
        <v>14</v>
      </c>
      <c r="E205">
        <v>6</v>
      </c>
      <c r="F205">
        <v>16.600000000000001</v>
      </c>
      <c r="G205">
        <v>0</v>
      </c>
      <c r="H205">
        <f t="shared" si="48"/>
        <v>0.39999999999999858</v>
      </c>
      <c r="I205">
        <f t="shared" si="43"/>
        <v>0.39999999999999858</v>
      </c>
      <c r="J205">
        <f t="shared" si="44"/>
        <v>17</v>
      </c>
      <c r="K205">
        <f t="shared" si="49"/>
        <v>0.5</v>
      </c>
      <c r="L205">
        <f t="shared" si="52"/>
        <v>4.3999999999999986</v>
      </c>
      <c r="M205">
        <f t="shared" si="47"/>
        <v>0.98360655737704927</v>
      </c>
      <c r="N205">
        <v>9</v>
      </c>
      <c r="O205">
        <f t="shared" si="50"/>
        <v>3.5</v>
      </c>
      <c r="P205">
        <f t="shared" si="51"/>
        <v>245</v>
      </c>
      <c r="Q205">
        <f t="shared" si="46"/>
        <v>0</v>
      </c>
      <c r="R205">
        <v>0</v>
      </c>
    </row>
    <row r="206" spans="1:18" x14ac:dyDescent="0.3">
      <c r="A206" t="s">
        <v>3</v>
      </c>
      <c r="B206" s="1">
        <v>45082</v>
      </c>
      <c r="C206" t="s">
        <v>7</v>
      </c>
      <c r="D206" t="s">
        <v>14</v>
      </c>
      <c r="E206">
        <v>6</v>
      </c>
      <c r="F206">
        <v>16.5</v>
      </c>
      <c r="G206">
        <v>0.25</v>
      </c>
      <c r="H206">
        <f t="shared" si="48"/>
        <v>0.25</v>
      </c>
      <c r="I206">
        <f t="shared" si="43"/>
        <v>0.5</v>
      </c>
      <c r="J206">
        <f t="shared" si="44"/>
        <v>17</v>
      </c>
      <c r="K206">
        <f t="shared" si="49"/>
        <v>0.5</v>
      </c>
      <c r="L206">
        <f t="shared" si="52"/>
        <v>4.8999999999999986</v>
      </c>
      <c r="M206">
        <f t="shared" si="47"/>
        <v>0.98360655737704927</v>
      </c>
      <c r="N206">
        <v>10</v>
      </c>
      <c r="O206">
        <f t="shared" si="50"/>
        <v>3.75</v>
      </c>
      <c r="P206">
        <f t="shared" si="51"/>
        <v>262.5</v>
      </c>
      <c r="Q206">
        <f t="shared" si="46"/>
        <v>0</v>
      </c>
      <c r="R206">
        <v>0</v>
      </c>
    </row>
    <row r="207" spans="1:18" x14ac:dyDescent="0.3">
      <c r="A207" t="s">
        <v>4</v>
      </c>
      <c r="B207" s="1">
        <v>45083</v>
      </c>
      <c r="C207" t="s">
        <v>7</v>
      </c>
      <c r="D207" t="s">
        <v>14</v>
      </c>
      <c r="E207">
        <v>6</v>
      </c>
      <c r="F207">
        <v>16.5</v>
      </c>
      <c r="G207">
        <v>0.25</v>
      </c>
      <c r="H207">
        <f t="shared" si="48"/>
        <v>0.25</v>
      </c>
      <c r="I207">
        <f t="shared" si="43"/>
        <v>0.5</v>
      </c>
      <c r="J207">
        <f t="shared" si="44"/>
        <v>17</v>
      </c>
      <c r="K207">
        <f t="shared" si="49"/>
        <v>0.80000000000000071</v>
      </c>
      <c r="L207">
        <f>L206+K207</f>
        <v>5.6999999999999993</v>
      </c>
      <c r="M207">
        <f t="shared" si="47"/>
        <v>0.98360655737704927</v>
      </c>
      <c r="N207">
        <v>11</v>
      </c>
      <c r="O207">
        <f t="shared" si="50"/>
        <v>4</v>
      </c>
      <c r="P207">
        <f t="shared" si="51"/>
        <v>280</v>
      </c>
      <c r="Q207">
        <f t="shared" si="46"/>
        <v>0</v>
      </c>
      <c r="R207">
        <v>0</v>
      </c>
    </row>
    <row r="208" spans="1:18" x14ac:dyDescent="0.3">
      <c r="A208" t="s">
        <v>5</v>
      </c>
      <c r="B208" s="1">
        <v>45084</v>
      </c>
      <c r="C208" t="s">
        <v>7</v>
      </c>
      <c r="D208" t="s">
        <v>14</v>
      </c>
      <c r="E208">
        <v>6</v>
      </c>
      <c r="F208">
        <v>16.2</v>
      </c>
      <c r="G208">
        <v>0</v>
      </c>
      <c r="H208">
        <f t="shared" si="48"/>
        <v>0.80000000000000071</v>
      </c>
      <c r="I208">
        <f t="shared" si="43"/>
        <v>0.80000000000000071</v>
      </c>
      <c r="J208">
        <f t="shared" si="44"/>
        <v>17</v>
      </c>
      <c r="K208">
        <f t="shared" si="49"/>
        <v>0.60000000000000142</v>
      </c>
      <c r="L208">
        <f t="shared" si="52"/>
        <v>6.3000000000000007</v>
      </c>
      <c r="M208">
        <f t="shared" si="47"/>
        <v>0.98360655737704927</v>
      </c>
      <c r="N208">
        <v>12</v>
      </c>
      <c r="O208">
        <f t="shared" si="50"/>
        <v>4</v>
      </c>
      <c r="P208">
        <f t="shared" si="51"/>
        <v>280</v>
      </c>
      <c r="Q208">
        <f t="shared" si="46"/>
        <v>0</v>
      </c>
      <c r="R208">
        <v>0</v>
      </c>
    </row>
    <row r="209" spans="1:18" x14ac:dyDescent="0.3">
      <c r="A209" t="s">
        <v>6</v>
      </c>
      <c r="B209" s="1">
        <v>45085</v>
      </c>
      <c r="C209" t="s">
        <v>7</v>
      </c>
      <c r="D209" t="s">
        <v>14</v>
      </c>
      <c r="E209">
        <v>6</v>
      </c>
      <c r="F209">
        <v>16.399999999999999</v>
      </c>
      <c r="G209">
        <v>0.25</v>
      </c>
      <c r="H209">
        <f t="shared" si="48"/>
        <v>0.35000000000000142</v>
      </c>
      <c r="I209">
        <f t="shared" si="43"/>
        <v>0.60000000000000142</v>
      </c>
      <c r="J209">
        <f t="shared" si="44"/>
        <v>17</v>
      </c>
      <c r="K209">
        <f t="shared" si="49"/>
        <v>0.60000000000000142</v>
      </c>
      <c r="L209">
        <f t="shared" si="52"/>
        <v>6.9000000000000021</v>
      </c>
      <c r="M209">
        <f t="shared" si="47"/>
        <v>0.98360655737704927</v>
      </c>
      <c r="N209">
        <v>13</v>
      </c>
      <c r="O209">
        <f t="shared" si="50"/>
        <v>4.25</v>
      </c>
      <c r="P209">
        <f t="shared" si="51"/>
        <v>297.5</v>
      </c>
      <c r="Q209">
        <f t="shared" si="46"/>
        <v>0</v>
      </c>
      <c r="R209">
        <v>0</v>
      </c>
    </row>
    <row r="210" spans="1:18" x14ac:dyDescent="0.3">
      <c r="A210" t="s">
        <v>0</v>
      </c>
      <c r="B210" s="1">
        <v>45086</v>
      </c>
      <c r="C210" t="s">
        <v>7</v>
      </c>
      <c r="D210" t="s">
        <v>14</v>
      </c>
      <c r="E210">
        <v>6</v>
      </c>
      <c r="F210">
        <v>16.399999999999999</v>
      </c>
      <c r="G210">
        <v>0.25</v>
      </c>
      <c r="H210">
        <f t="shared" si="48"/>
        <v>0.35000000000000142</v>
      </c>
      <c r="I210">
        <f t="shared" si="43"/>
        <v>0.60000000000000142</v>
      </c>
      <c r="J210">
        <f t="shared" si="44"/>
        <v>17</v>
      </c>
      <c r="K210">
        <f t="shared" si="49"/>
        <v>0.89999999999999858</v>
      </c>
      <c r="L210">
        <f t="shared" si="52"/>
        <v>7.8000000000000007</v>
      </c>
      <c r="M210">
        <f t="shared" si="47"/>
        <v>0.98360655737704927</v>
      </c>
      <c r="N210">
        <v>14</v>
      </c>
      <c r="O210">
        <f t="shared" si="50"/>
        <v>4.5</v>
      </c>
      <c r="P210">
        <f t="shared" si="51"/>
        <v>315</v>
      </c>
      <c r="Q210">
        <f t="shared" si="46"/>
        <v>0</v>
      </c>
      <c r="R210">
        <v>0</v>
      </c>
    </row>
    <row r="211" spans="1:18" x14ac:dyDescent="0.3">
      <c r="A211" t="s">
        <v>1</v>
      </c>
      <c r="B211" s="1">
        <v>45087</v>
      </c>
      <c r="C211" t="s">
        <v>7</v>
      </c>
      <c r="D211" t="s">
        <v>14</v>
      </c>
      <c r="E211">
        <v>6</v>
      </c>
      <c r="F211">
        <v>16.100000000000001</v>
      </c>
      <c r="G211">
        <v>0</v>
      </c>
      <c r="H211">
        <f t="shared" si="48"/>
        <v>0.89999999999999858</v>
      </c>
      <c r="I211">
        <f t="shared" si="43"/>
        <v>0.89999999999999858</v>
      </c>
      <c r="J211">
        <f t="shared" si="44"/>
        <v>17</v>
      </c>
      <c r="K211">
        <f>J211-F212</f>
        <v>0.89999999999999858</v>
      </c>
      <c r="L211">
        <f t="shared" si="52"/>
        <v>8.6999999999999993</v>
      </c>
      <c r="M211">
        <f t="shared" si="47"/>
        <v>0.98360655737704927</v>
      </c>
      <c r="N211">
        <v>15</v>
      </c>
      <c r="O211">
        <f t="shared" si="50"/>
        <v>4.5</v>
      </c>
      <c r="P211">
        <f t="shared" si="51"/>
        <v>315</v>
      </c>
      <c r="Q211">
        <f t="shared" si="46"/>
        <v>0</v>
      </c>
      <c r="R211">
        <v>0</v>
      </c>
    </row>
    <row r="212" spans="1:18" x14ac:dyDescent="0.3">
      <c r="A212" t="s">
        <v>2</v>
      </c>
      <c r="B212" s="1">
        <v>45088</v>
      </c>
      <c r="C212" t="s">
        <v>7</v>
      </c>
      <c r="D212" t="s">
        <v>14</v>
      </c>
      <c r="E212">
        <v>6</v>
      </c>
      <c r="F212">
        <v>16.100000000000001</v>
      </c>
      <c r="G212">
        <v>0</v>
      </c>
      <c r="H212">
        <f t="shared" si="48"/>
        <v>0.89999999999999858</v>
      </c>
      <c r="I212">
        <f t="shared" si="43"/>
        <v>0.89999999999999858</v>
      </c>
      <c r="J212">
        <f t="shared" si="44"/>
        <v>17</v>
      </c>
      <c r="K212">
        <f t="shared" si="49"/>
        <v>0.80000000000000071</v>
      </c>
      <c r="L212">
        <f t="shared" si="52"/>
        <v>9.5</v>
      </c>
      <c r="M212">
        <f t="shared" si="47"/>
        <v>0.98360655737704927</v>
      </c>
      <c r="N212">
        <v>16</v>
      </c>
      <c r="O212">
        <f t="shared" si="50"/>
        <v>4.5</v>
      </c>
      <c r="P212">
        <f t="shared" si="51"/>
        <v>315</v>
      </c>
      <c r="Q212">
        <f t="shared" si="46"/>
        <v>0</v>
      </c>
      <c r="R212">
        <v>0</v>
      </c>
    </row>
    <row r="213" spans="1:18" x14ac:dyDescent="0.3">
      <c r="A213" t="s">
        <v>3</v>
      </c>
      <c r="B213" s="1">
        <v>45089</v>
      </c>
      <c r="C213" t="s">
        <v>7</v>
      </c>
      <c r="D213" t="s">
        <v>14</v>
      </c>
      <c r="E213">
        <v>6</v>
      </c>
      <c r="F213">
        <v>16.2</v>
      </c>
      <c r="G213">
        <v>0.5</v>
      </c>
      <c r="H213">
        <f t="shared" si="48"/>
        <v>0.30000000000000071</v>
      </c>
      <c r="I213">
        <f t="shared" si="43"/>
        <v>0.80000000000000071</v>
      </c>
      <c r="J213">
        <f t="shared" si="44"/>
        <v>17</v>
      </c>
      <c r="K213">
        <f t="shared" si="49"/>
        <v>0.30000000000000071</v>
      </c>
      <c r="L213">
        <f t="shared" si="52"/>
        <v>9.8000000000000007</v>
      </c>
      <c r="M213">
        <f t="shared" si="47"/>
        <v>0.98360655737704927</v>
      </c>
      <c r="N213">
        <v>17</v>
      </c>
      <c r="O213">
        <f t="shared" si="50"/>
        <v>5</v>
      </c>
      <c r="P213">
        <f t="shared" si="51"/>
        <v>350</v>
      </c>
      <c r="Q213">
        <f t="shared" si="46"/>
        <v>0</v>
      </c>
      <c r="R213">
        <v>0</v>
      </c>
    </row>
    <row r="214" spans="1:18" x14ac:dyDescent="0.3">
      <c r="A214" t="s">
        <v>4</v>
      </c>
      <c r="B214" s="1">
        <v>45090</v>
      </c>
      <c r="C214" t="s">
        <v>7</v>
      </c>
      <c r="D214" t="s">
        <v>14</v>
      </c>
      <c r="E214">
        <v>6</v>
      </c>
      <c r="F214">
        <v>16.7</v>
      </c>
      <c r="G214">
        <v>0</v>
      </c>
      <c r="H214">
        <f t="shared" si="48"/>
        <v>0.30000000000000071</v>
      </c>
      <c r="I214">
        <f t="shared" si="43"/>
        <v>0.30000000000000071</v>
      </c>
      <c r="J214">
        <f t="shared" si="44"/>
        <v>17</v>
      </c>
      <c r="K214">
        <f t="shared" si="49"/>
        <v>0.60000000000000142</v>
      </c>
      <c r="L214">
        <f t="shared" si="52"/>
        <v>10.400000000000002</v>
      </c>
      <c r="M214">
        <f t="shared" si="47"/>
        <v>0.98360655737704927</v>
      </c>
      <c r="N214">
        <v>18</v>
      </c>
      <c r="O214">
        <f t="shared" si="50"/>
        <v>5</v>
      </c>
      <c r="P214">
        <f t="shared" si="51"/>
        <v>350</v>
      </c>
      <c r="Q214">
        <f t="shared" si="46"/>
        <v>0</v>
      </c>
      <c r="R214">
        <v>0</v>
      </c>
    </row>
    <row r="215" spans="1:18" x14ac:dyDescent="0.3">
      <c r="A215" t="s">
        <v>5</v>
      </c>
      <c r="B215" s="1">
        <v>45091</v>
      </c>
      <c r="C215" t="s">
        <v>7</v>
      </c>
      <c r="D215" t="s">
        <v>14</v>
      </c>
      <c r="E215">
        <v>6</v>
      </c>
      <c r="F215">
        <v>16.399999999999999</v>
      </c>
      <c r="G215">
        <v>0</v>
      </c>
      <c r="H215">
        <f t="shared" si="48"/>
        <v>0.60000000000000142</v>
      </c>
      <c r="I215">
        <f t="shared" si="43"/>
        <v>0.60000000000000142</v>
      </c>
      <c r="J215">
        <f t="shared" si="44"/>
        <v>17</v>
      </c>
      <c r="K215">
        <f t="shared" si="49"/>
        <v>1</v>
      </c>
      <c r="L215">
        <f t="shared" si="52"/>
        <v>11.400000000000002</v>
      </c>
      <c r="M215">
        <f t="shared" si="47"/>
        <v>0.98360655737704927</v>
      </c>
      <c r="N215">
        <v>19</v>
      </c>
      <c r="O215">
        <f t="shared" si="50"/>
        <v>5</v>
      </c>
      <c r="P215">
        <f t="shared" si="51"/>
        <v>350</v>
      </c>
      <c r="Q215">
        <f t="shared" si="46"/>
        <v>0</v>
      </c>
      <c r="R215">
        <v>0</v>
      </c>
    </row>
    <row r="216" spans="1:18" x14ac:dyDescent="0.3">
      <c r="A216" t="s">
        <v>6</v>
      </c>
      <c r="B216" s="1">
        <v>45092</v>
      </c>
      <c r="C216" t="s">
        <v>7</v>
      </c>
      <c r="D216" t="s">
        <v>14</v>
      </c>
      <c r="E216">
        <v>6</v>
      </c>
      <c r="F216">
        <v>16</v>
      </c>
      <c r="G216">
        <v>0.5</v>
      </c>
      <c r="H216">
        <f t="shared" si="48"/>
        <v>0.5</v>
      </c>
      <c r="I216">
        <f t="shared" si="43"/>
        <v>1</v>
      </c>
      <c r="J216">
        <f t="shared" si="44"/>
        <v>17</v>
      </c>
      <c r="K216">
        <f t="shared" si="49"/>
        <v>0.89999999999999858</v>
      </c>
      <c r="L216">
        <f t="shared" si="52"/>
        <v>12.3</v>
      </c>
      <c r="M216">
        <f t="shared" si="47"/>
        <v>0.98360655737704927</v>
      </c>
      <c r="N216">
        <v>20</v>
      </c>
      <c r="O216">
        <f t="shared" si="50"/>
        <v>5.5</v>
      </c>
      <c r="P216">
        <f t="shared" si="51"/>
        <v>385</v>
      </c>
      <c r="Q216">
        <f t="shared" si="46"/>
        <v>0</v>
      </c>
      <c r="R216">
        <v>0</v>
      </c>
    </row>
    <row r="217" spans="1:18" x14ac:dyDescent="0.3">
      <c r="A217" t="s">
        <v>0</v>
      </c>
      <c r="B217" s="1">
        <v>45093</v>
      </c>
      <c r="C217" t="s">
        <v>7</v>
      </c>
      <c r="D217" t="s">
        <v>14</v>
      </c>
      <c r="E217">
        <v>6</v>
      </c>
      <c r="F217">
        <v>16.100000000000001</v>
      </c>
      <c r="G217">
        <v>0</v>
      </c>
      <c r="H217">
        <f t="shared" si="48"/>
        <v>0.89999999999999858</v>
      </c>
      <c r="I217">
        <f t="shared" si="43"/>
        <v>0.89999999999999858</v>
      </c>
      <c r="J217">
        <f t="shared" si="44"/>
        <v>17</v>
      </c>
      <c r="K217">
        <f t="shared" si="49"/>
        <v>1</v>
      </c>
      <c r="L217">
        <f t="shared" si="52"/>
        <v>13.3</v>
      </c>
      <c r="M217">
        <f t="shared" si="47"/>
        <v>0.98360655737704927</v>
      </c>
      <c r="N217">
        <v>21</v>
      </c>
      <c r="O217">
        <f t="shared" si="50"/>
        <v>5.5</v>
      </c>
      <c r="P217">
        <f t="shared" si="51"/>
        <v>385</v>
      </c>
      <c r="Q217">
        <f t="shared" si="46"/>
        <v>0</v>
      </c>
      <c r="R217">
        <v>0</v>
      </c>
    </row>
    <row r="218" spans="1:18" x14ac:dyDescent="0.3">
      <c r="A218" t="s">
        <v>1</v>
      </c>
      <c r="B218" s="1">
        <v>45094</v>
      </c>
      <c r="C218" t="s">
        <v>7</v>
      </c>
      <c r="D218" t="s">
        <v>14</v>
      </c>
      <c r="E218">
        <v>6</v>
      </c>
      <c r="F218">
        <v>16</v>
      </c>
      <c r="G218">
        <v>0</v>
      </c>
      <c r="H218">
        <f t="shared" si="48"/>
        <v>1</v>
      </c>
      <c r="I218">
        <f t="shared" si="43"/>
        <v>1</v>
      </c>
      <c r="J218">
        <f t="shared" si="44"/>
        <v>17</v>
      </c>
      <c r="K218">
        <f t="shared" si="49"/>
        <v>0.60000000000000142</v>
      </c>
      <c r="L218">
        <f t="shared" si="52"/>
        <v>13.900000000000002</v>
      </c>
      <c r="M218">
        <f t="shared" si="47"/>
        <v>0.98360655737704927</v>
      </c>
      <c r="N218">
        <v>22</v>
      </c>
      <c r="O218">
        <f t="shared" si="50"/>
        <v>5.5</v>
      </c>
      <c r="P218">
        <f t="shared" si="51"/>
        <v>385</v>
      </c>
      <c r="Q218">
        <f t="shared" si="46"/>
        <v>0</v>
      </c>
      <c r="R218">
        <v>0</v>
      </c>
    </row>
    <row r="219" spans="1:18" x14ac:dyDescent="0.3">
      <c r="A219" t="s">
        <v>2</v>
      </c>
      <c r="B219" s="1">
        <v>45095</v>
      </c>
      <c r="C219" t="s">
        <v>7</v>
      </c>
      <c r="D219" t="s">
        <v>14</v>
      </c>
      <c r="E219">
        <v>6</v>
      </c>
      <c r="F219">
        <v>16.399999999999999</v>
      </c>
      <c r="G219">
        <v>0</v>
      </c>
      <c r="H219">
        <f t="shared" si="48"/>
        <v>0.60000000000000142</v>
      </c>
      <c r="I219">
        <f t="shared" si="43"/>
        <v>0.60000000000000142</v>
      </c>
      <c r="J219">
        <f t="shared" si="44"/>
        <v>17</v>
      </c>
      <c r="K219">
        <f t="shared" si="49"/>
        <v>0.80000000000000071</v>
      </c>
      <c r="L219">
        <f t="shared" si="52"/>
        <v>14.700000000000003</v>
      </c>
      <c r="M219">
        <f t="shared" si="47"/>
        <v>0.98360655737704927</v>
      </c>
      <c r="N219">
        <v>23</v>
      </c>
      <c r="O219">
        <f t="shared" si="50"/>
        <v>5.5</v>
      </c>
      <c r="P219">
        <f t="shared" si="51"/>
        <v>385</v>
      </c>
      <c r="Q219">
        <f t="shared" si="46"/>
        <v>0</v>
      </c>
      <c r="R219">
        <v>0</v>
      </c>
    </row>
    <row r="220" spans="1:18" x14ac:dyDescent="0.3">
      <c r="A220" t="s">
        <v>3</v>
      </c>
      <c r="B220" s="1">
        <v>45096</v>
      </c>
      <c r="C220" t="s">
        <v>7</v>
      </c>
      <c r="D220" t="s">
        <v>14</v>
      </c>
      <c r="E220">
        <v>6</v>
      </c>
      <c r="F220">
        <v>16.2</v>
      </c>
      <c r="G220">
        <v>0.5</v>
      </c>
      <c r="H220">
        <f t="shared" si="48"/>
        <v>0.30000000000000071</v>
      </c>
      <c r="I220">
        <f t="shared" si="43"/>
        <v>0.80000000000000071</v>
      </c>
      <c r="J220">
        <f t="shared" si="44"/>
        <v>17</v>
      </c>
      <c r="K220">
        <f t="shared" si="49"/>
        <v>0.89999999999999858</v>
      </c>
      <c r="L220">
        <f t="shared" si="52"/>
        <v>15.600000000000001</v>
      </c>
      <c r="M220">
        <f t="shared" si="47"/>
        <v>0.98360655737704927</v>
      </c>
      <c r="N220">
        <v>24</v>
      </c>
      <c r="O220">
        <f t="shared" si="50"/>
        <v>6</v>
      </c>
      <c r="P220">
        <f t="shared" si="51"/>
        <v>420</v>
      </c>
      <c r="Q220">
        <f t="shared" si="46"/>
        <v>0</v>
      </c>
      <c r="R220">
        <v>0</v>
      </c>
    </row>
    <row r="221" spans="1:18" x14ac:dyDescent="0.3">
      <c r="A221" t="s">
        <v>4</v>
      </c>
      <c r="B221" s="1">
        <v>45097</v>
      </c>
      <c r="C221" t="s">
        <v>7</v>
      </c>
      <c r="D221" t="s">
        <v>14</v>
      </c>
      <c r="E221">
        <v>6</v>
      </c>
      <c r="F221">
        <v>16.100000000000001</v>
      </c>
      <c r="G221">
        <v>0</v>
      </c>
      <c r="H221">
        <f t="shared" si="48"/>
        <v>0.89999999999999858</v>
      </c>
      <c r="I221">
        <f t="shared" si="43"/>
        <v>0.89999999999999858</v>
      </c>
      <c r="J221">
        <f t="shared" si="44"/>
        <v>17</v>
      </c>
      <c r="K221">
        <f t="shared" si="49"/>
        <v>0.80000000000000071</v>
      </c>
      <c r="L221">
        <f t="shared" si="52"/>
        <v>16.400000000000002</v>
      </c>
      <c r="M221">
        <f t="shared" si="47"/>
        <v>0.98360655737704927</v>
      </c>
      <c r="N221">
        <v>25</v>
      </c>
      <c r="O221">
        <f t="shared" si="50"/>
        <v>6</v>
      </c>
      <c r="P221">
        <f t="shared" si="51"/>
        <v>420</v>
      </c>
      <c r="Q221">
        <f t="shared" si="46"/>
        <v>0</v>
      </c>
      <c r="R221">
        <v>0</v>
      </c>
    </row>
    <row r="222" spans="1:18" x14ac:dyDescent="0.3">
      <c r="A222" t="s">
        <v>5</v>
      </c>
      <c r="B222" s="1">
        <v>45098</v>
      </c>
      <c r="C222" t="s">
        <v>7</v>
      </c>
      <c r="D222" t="s">
        <v>14</v>
      </c>
      <c r="E222">
        <v>6</v>
      </c>
      <c r="F222">
        <v>16.2</v>
      </c>
      <c r="G222">
        <v>0</v>
      </c>
      <c r="H222">
        <f t="shared" si="48"/>
        <v>0.80000000000000071</v>
      </c>
      <c r="I222">
        <f t="shared" si="43"/>
        <v>0.80000000000000071</v>
      </c>
      <c r="J222">
        <f t="shared" si="44"/>
        <v>17</v>
      </c>
      <c r="K222">
        <f t="shared" si="49"/>
        <v>0.69999999999999929</v>
      </c>
      <c r="L222">
        <f t="shared" si="52"/>
        <v>17.100000000000001</v>
      </c>
      <c r="M222">
        <f t="shared" si="47"/>
        <v>0.98360655737704927</v>
      </c>
      <c r="N222">
        <v>26</v>
      </c>
      <c r="O222">
        <f t="shared" si="50"/>
        <v>6</v>
      </c>
      <c r="P222">
        <f t="shared" si="51"/>
        <v>420</v>
      </c>
      <c r="Q222">
        <f t="shared" si="46"/>
        <v>0</v>
      </c>
      <c r="R222">
        <v>0</v>
      </c>
    </row>
    <row r="223" spans="1:18" x14ac:dyDescent="0.3">
      <c r="A223" t="s">
        <v>6</v>
      </c>
      <c r="B223" s="1">
        <v>45099</v>
      </c>
      <c r="C223" t="s">
        <v>7</v>
      </c>
      <c r="D223" t="s">
        <v>14</v>
      </c>
      <c r="E223">
        <v>6</v>
      </c>
      <c r="F223">
        <v>16.3</v>
      </c>
      <c r="G223">
        <v>0.5</v>
      </c>
      <c r="H223">
        <f t="shared" si="48"/>
        <v>0.19999999999999929</v>
      </c>
      <c r="I223">
        <f t="shared" si="43"/>
        <v>0.69999999999999929</v>
      </c>
      <c r="J223">
        <f t="shared" si="44"/>
        <v>17</v>
      </c>
      <c r="K223">
        <f>J223-F224</f>
        <v>0.60000000000000142</v>
      </c>
      <c r="L223">
        <f t="shared" si="52"/>
        <v>17.700000000000003</v>
      </c>
      <c r="M223">
        <f t="shared" si="47"/>
        <v>0.98360655737704927</v>
      </c>
      <c r="N223">
        <v>27</v>
      </c>
      <c r="O223">
        <f t="shared" si="50"/>
        <v>6.5</v>
      </c>
      <c r="P223">
        <f t="shared" si="51"/>
        <v>455</v>
      </c>
      <c r="Q223">
        <f t="shared" si="46"/>
        <v>0</v>
      </c>
      <c r="R223">
        <v>0</v>
      </c>
    </row>
    <row r="224" spans="1:18" x14ac:dyDescent="0.3">
      <c r="A224" t="s">
        <v>0</v>
      </c>
      <c r="B224" s="1">
        <v>45100</v>
      </c>
      <c r="C224" t="s">
        <v>7</v>
      </c>
      <c r="D224" t="s">
        <v>14</v>
      </c>
      <c r="E224">
        <v>6</v>
      </c>
      <c r="F224">
        <v>16.399999999999999</v>
      </c>
      <c r="G224">
        <v>0</v>
      </c>
      <c r="H224">
        <f t="shared" si="48"/>
        <v>0.60000000000000142</v>
      </c>
      <c r="I224">
        <f t="shared" si="43"/>
        <v>0.60000000000000142</v>
      </c>
      <c r="J224">
        <f t="shared" si="44"/>
        <v>17</v>
      </c>
      <c r="K224">
        <f t="shared" si="49"/>
        <v>0.5</v>
      </c>
      <c r="L224">
        <f t="shared" si="52"/>
        <v>18.200000000000003</v>
      </c>
      <c r="M224">
        <f t="shared" si="47"/>
        <v>0.98360655737704927</v>
      </c>
      <c r="N224">
        <v>28</v>
      </c>
      <c r="O224">
        <f t="shared" si="50"/>
        <v>6.5</v>
      </c>
      <c r="P224">
        <f t="shared" si="51"/>
        <v>455</v>
      </c>
      <c r="Q224">
        <f t="shared" si="46"/>
        <v>0</v>
      </c>
      <c r="R224">
        <v>0</v>
      </c>
    </row>
    <row r="225" spans="1:18" x14ac:dyDescent="0.3">
      <c r="A225" t="s">
        <v>1</v>
      </c>
      <c r="B225" s="1">
        <v>45101</v>
      </c>
      <c r="C225" t="s">
        <v>7</v>
      </c>
      <c r="D225" t="s">
        <v>14</v>
      </c>
      <c r="E225">
        <v>6</v>
      </c>
      <c r="F225">
        <v>16.5</v>
      </c>
      <c r="G225">
        <v>0</v>
      </c>
      <c r="H225">
        <f t="shared" si="48"/>
        <v>0.5</v>
      </c>
      <c r="I225">
        <f t="shared" si="43"/>
        <v>0.5</v>
      </c>
      <c r="J225">
        <f t="shared" si="44"/>
        <v>17</v>
      </c>
      <c r="K225">
        <f t="shared" si="49"/>
        <v>0.80000000000000071</v>
      </c>
      <c r="L225">
        <f t="shared" si="52"/>
        <v>19.000000000000004</v>
      </c>
      <c r="M225">
        <f t="shared" si="47"/>
        <v>0.98360655737704927</v>
      </c>
      <c r="N225">
        <v>29</v>
      </c>
      <c r="O225">
        <f t="shared" si="50"/>
        <v>6.5</v>
      </c>
      <c r="P225">
        <f t="shared" si="51"/>
        <v>455</v>
      </c>
      <c r="Q225">
        <f t="shared" si="46"/>
        <v>0</v>
      </c>
      <c r="R225">
        <v>0</v>
      </c>
    </row>
    <row r="226" spans="1:18" x14ac:dyDescent="0.3">
      <c r="A226" t="s">
        <v>2</v>
      </c>
      <c r="B226" s="1">
        <v>45102</v>
      </c>
      <c r="C226" t="s">
        <v>7</v>
      </c>
      <c r="D226" t="s">
        <v>14</v>
      </c>
      <c r="E226">
        <v>6</v>
      </c>
      <c r="F226">
        <v>16.2</v>
      </c>
      <c r="G226">
        <v>0</v>
      </c>
      <c r="H226">
        <f t="shared" si="48"/>
        <v>0.80000000000000071</v>
      </c>
      <c r="I226">
        <f t="shared" si="43"/>
        <v>0.80000000000000071</v>
      </c>
      <c r="J226">
        <f t="shared" si="44"/>
        <v>17</v>
      </c>
      <c r="K226">
        <f t="shared" si="49"/>
        <v>0.80000000000000071</v>
      </c>
      <c r="L226">
        <f t="shared" si="52"/>
        <v>19.800000000000004</v>
      </c>
      <c r="M226">
        <f t="shared" si="47"/>
        <v>0.98360655737704927</v>
      </c>
      <c r="N226">
        <v>30</v>
      </c>
      <c r="O226">
        <f t="shared" si="50"/>
        <v>6.5</v>
      </c>
      <c r="P226">
        <f t="shared" si="51"/>
        <v>455</v>
      </c>
      <c r="Q226">
        <f t="shared" si="46"/>
        <v>0</v>
      </c>
      <c r="R226">
        <v>0</v>
      </c>
    </row>
    <row r="227" spans="1:18" x14ac:dyDescent="0.3">
      <c r="A227" t="s">
        <v>3</v>
      </c>
      <c r="B227" s="1">
        <v>45103</v>
      </c>
      <c r="C227" t="s">
        <v>7</v>
      </c>
      <c r="D227" t="s">
        <v>14</v>
      </c>
      <c r="E227">
        <v>6</v>
      </c>
      <c r="F227">
        <v>16.2</v>
      </c>
      <c r="G227">
        <v>0.5</v>
      </c>
      <c r="H227">
        <f t="shared" si="48"/>
        <v>0.30000000000000071</v>
      </c>
      <c r="I227">
        <f t="shared" si="43"/>
        <v>0.80000000000000071</v>
      </c>
      <c r="J227">
        <f t="shared" si="44"/>
        <v>17</v>
      </c>
      <c r="K227">
        <f t="shared" si="49"/>
        <v>0.60000000000000142</v>
      </c>
      <c r="L227">
        <f t="shared" si="52"/>
        <v>20.400000000000006</v>
      </c>
      <c r="M227">
        <f t="shared" si="47"/>
        <v>0.98360655737704927</v>
      </c>
      <c r="N227">
        <v>31</v>
      </c>
      <c r="O227">
        <f t="shared" si="50"/>
        <v>7</v>
      </c>
      <c r="P227">
        <f t="shared" si="51"/>
        <v>490</v>
      </c>
      <c r="Q227">
        <f t="shared" si="46"/>
        <v>0</v>
      </c>
      <c r="R227">
        <v>0</v>
      </c>
    </row>
    <row r="228" spans="1:18" x14ac:dyDescent="0.3">
      <c r="A228" t="s">
        <v>4</v>
      </c>
      <c r="B228" s="1">
        <v>45104</v>
      </c>
      <c r="C228" t="s">
        <v>7</v>
      </c>
      <c r="D228" t="s">
        <v>14</v>
      </c>
      <c r="E228">
        <v>6</v>
      </c>
      <c r="F228">
        <v>16.399999999999999</v>
      </c>
      <c r="G228">
        <v>0</v>
      </c>
      <c r="H228">
        <f t="shared" si="48"/>
        <v>0.60000000000000142</v>
      </c>
      <c r="I228">
        <f t="shared" si="43"/>
        <v>0.60000000000000142</v>
      </c>
      <c r="J228">
        <f t="shared" si="44"/>
        <v>17</v>
      </c>
      <c r="K228">
        <f t="shared" si="49"/>
        <v>0.5</v>
      </c>
      <c r="L228">
        <f t="shared" si="52"/>
        <v>20.900000000000006</v>
      </c>
      <c r="M228">
        <f t="shared" si="47"/>
        <v>0.98360655737704927</v>
      </c>
      <c r="N228">
        <v>32</v>
      </c>
      <c r="O228">
        <f t="shared" si="50"/>
        <v>7</v>
      </c>
      <c r="P228">
        <f t="shared" si="51"/>
        <v>490</v>
      </c>
      <c r="Q228">
        <f t="shared" si="46"/>
        <v>0</v>
      </c>
      <c r="R228">
        <v>0</v>
      </c>
    </row>
    <row r="229" spans="1:18" x14ac:dyDescent="0.3">
      <c r="A229" t="s">
        <v>5</v>
      </c>
      <c r="B229" s="1">
        <v>45105</v>
      </c>
      <c r="C229" t="s">
        <v>7</v>
      </c>
      <c r="D229" t="s">
        <v>14</v>
      </c>
      <c r="E229">
        <v>6</v>
      </c>
      <c r="F229">
        <v>16.5</v>
      </c>
      <c r="G229">
        <v>0</v>
      </c>
      <c r="H229">
        <f t="shared" si="48"/>
        <v>0.5</v>
      </c>
      <c r="I229">
        <f t="shared" si="43"/>
        <v>0.5</v>
      </c>
      <c r="J229">
        <f t="shared" si="44"/>
        <v>17</v>
      </c>
      <c r="K229">
        <f t="shared" si="49"/>
        <v>0.80000000000000071</v>
      </c>
      <c r="L229">
        <f t="shared" si="52"/>
        <v>21.700000000000006</v>
      </c>
      <c r="M229">
        <f t="shared" si="47"/>
        <v>0.98360655737704927</v>
      </c>
      <c r="N229">
        <v>33</v>
      </c>
      <c r="O229">
        <f t="shared" si="50"/>
        <v>7</v>
      </c>
      <c r="P229">
        <f t="shared" si="51"/>
        <v>490</v>
      </c>
      <c r="Q229">
        <f t="shared" si="46"/>
        <v>0</v>
      </c>
      <c r="R229">
        <v>0</v>
      </c>
    </row>
    <row r="230" spans="1:18" x14ac:dyDescent="0.3">
      <c r="A230" t="s">
        <v>6</v>
      </c>
      <c r="B230" s="1">
        <v>45106</v>
      </c>
      <c r="C230" t="s">
        <v>7</v>
      </c>
      <c r="D230" t="s">
        <v>14</v>
      </c>
      <c r="E230">
        <v>6</v>
      </c>
      <c r="F230">
        <v>16.2</v>
      </c>
      <c r="G230">
        <v>0.5</v>
      </c>
      <c r="H230">
        <f t="shared" si="48"/>
        <v>0.30000000000000071</v>
      </c>
      <c r="I230">
        <f t="shared" si="43"/>
        <v>0.80000000000000071</v>
      </c>
      <c r="J230">
        <f t="shared" si="44"/>
        <v>17</v>
      </c>
      <c r="K230">
        <f t="shared" si="49"/>
        <v>0.69999999999999929</v>
      </c>
      <c r="L230">
        <f t="shared" si="52"/>
        <v>22.400000000000006</v>
      </c>
      <c r="M230">
        <f t="shared" si="47"/>
        <v>0.98360655737704927</v>
      </c>
      <c r="N230">
        <v>34</v>
      </c>
      <c r="O230">
        <f t="shared" si="50"/>
        <v>7.5</v>
      </c>
      <c r="P230">
        <f t="shared" si="51"/>
        <v>525</v>
      </c>
      <c r="Q230">
        <f t="shared" si="46"/>
        <v>0</v>
      </c>
      <c r="R230">
        <v>0</v>
      </c>
    </row>
    <row r="231" spans="1:18" x14ac:dyDescent="0.3">
      <c r="A231" t="s">
        <v>0</v>
      </c>
      <c r="B231" s="1">
        <v>45107</v>
      </c>
      <c r="C231" t="s">
        <v>7</v>
      </c>
      <c r="D231" t="s">
        <v>14</v>
      </c>
      <c r="E231">
        <v>6</v>
      </c>
      <c r="F231">
        <v>16.3</v>
      </c>
      <c r="G231">
        <v>0</v>
      </c>
      <c r="H231">
        <f t="shared" si="48"/>
        <v>0.69999999999999929</v>
      </c>
      <c r="I231">
        <f t="shared" si="43"/>
        <v>0.69999999999999929</v>
      </c>
      <c r="J231">
        <f t="shared" si="44"/>
        <v>17</v>
      </c>
      <c r="K231">
        <f t="shared" si="49"/>
        <v>0.39999999999999858</v>
      </c>
      <c r="L231">
        <f t="shared" si="52"/>
        <v>22.800000000000004</v>
      </c>
      <c r="M231">
        <f t="shared" si="47"/>
        <v>0.98360655737704927</v>
      </c>
      <c r="N231">
        <v>35</v>
      </c>
      <c r="O231">
        <f t="shared" si="50"/>
        <v>7.5</v>
      </c>
      <c r="P231">
        <f t="shared" si="51"/>
        <v>525</v>
      </c>
      <c r="Q231">
        <f t="shared" si="46"/>
        <v>0</v>
      </c>
      <c r="R231">
        <v>0</v>
      </c>
    </row>
    <row r="232" spans="1:18" x14ac:dyDescent="0.3">
      <c r="A232" t="s">
        <v>1</v>
      </c>
      <c r="B232" s="1">
        <v>45108</v>
      </c>
      <c r="C232" t="s">
        <v>7</v>
      </c>
      <c r="D232" t="s">
        <v>14</v>
      </c>
      <c r="E232">
        <v>6</v>
      </c>
      <c r="F232">
        <v>16.600000000000001</v>
      </c>
      <c r="G232">
        <v>0</v>
      </c>
      <c r="H232">
        <f t="shared" si="48"/>
        <v>0.39999999999999858</v>
      </c>
      <c r="I232">
        <f t="shared" si="43"/>
        <v>0.39999999999999858</v>
      </c>
      <c r="J232">
        <f t="shared" si="44"/>
        <v>17</v>
      </c>
      <c r="K232">
        <f t="shared" si="49"/>
        <v>0.39999999999999858</v>
      </c>
      <c r="L232">
        <f>L231+K232</f>
        <v>23.200000000000003</v>
      </c>
      <c r="M232">
        <f t="shared" si="47"/>
        <v>0.98360655737704927</v>
      </c>
      <c r="N232">
        <v>36</v>
      </c>
      <c r="O232">
        <f t="shared" si="50"/>
        <v>7.5</v>
      </c>
      <c r="P232">
        <f t="shared" si="51"/>
        <v>525</v>
      </c>
      <c r="Q232">
        <f t="shared" si="46"/>
        <v>0</v>
      </c>
      <c r="R232">
        <v>0</v>
      </c>
    </row>
    <row r="233" spans="1:18" x14ac:dyDescent="0.3">
      <c r="A233" t="s">
        <v>2</v>
      </c>
      <c r="B233" s="1">
        <v>45109</v>
      </c>
      <c r="C233" t="s">
        <v>7</v>
      </c>
      <c r="D233" t="s">
        <v>14</v>
      </c>
      <c r="E233">
        <v>6</v>
      </c>
      <c r="F233">
        <v>16.600000000000001</v>
      </c>
      <c r="G233">
        <v>0</v>
      </c>
      <c r="H233">
        <f t="shared" si="48"/>
        <v>0.39999999999999858</v>
      </c>
      <c r="I233">
        <f t="shared" si="43"/>
        <v>0.39999999999999858</v>
      </c>
      <c r="J233">
        <f t="shared" si="44"/>
        <v>17</v>
      </c>
      <c r="K233">
        <f t="shared" si="49"/>
        <v>0.60000000000000142</v>
      </c>
      <c r="L233">
        <f t="shared" si="52"/>
        <v>23.800000000000004</v>
      </c>
      <c r="M233">
        <f t="shared" si="47"/>
        <v>0.98360655737704927</v>
      </c>
      <c r="N233">
        <v>37</v>
      </c>
      <c r="O233">
        <f t="shared" si="50"/>
        <v>7.5</v>
      </c>
      <c r="P233">
        <f t="shared" si="51"/>
        <v>525</v>
      </c>
      <c r="Q233">
        <f t="shared" si="46"/>
        <v>0</v>
      </c>
      <c r="R233">
        <v>0</v>
      </c>
    </row>
    <row r="234" spans="1:18" x14ac:dyDescent="0.3">
      <c r="A234" t="s">
        <v>3</v>
      </c>
      <c r="B234" s="1">
        <v>45110</v>
      </c>
      <c r="C234" t="s">
        <v>7</v>
      </c>
      <c r="D234" t="s">
        <v>14</v>
      </c>
      <c r="E234">
        <v>6</v>
      </c>
      <c r="F234">
        <v>16.399999999999999</v>
      </c>
      <c r="G234">
        <v>0</v>
      </c>
      <c r="H234">
        <f t="shared" si="48"/>
        <v>0.60000000000000142</v>
      </c>
      <c r="I234">
        <f t="shared" si="43"/>
        <v>0.60000000000000142</v>
      </c>
      <c r="J234">
        <f t="shared" si="44"/>
        <v>17</v>
      </c>
      <c r="K234">
        <f t="shared" si="49"/>
        <v>0.69999999999999929</v>
      </c>
      <c r="L234">
        <f t="shared" si="52"/>
        <v>24.500000000000004</v>
      </c>
      <c r="M234">
        <f t="shared" si="47"/>
        <v>0.98360655737704927</v>
      </c>
      <c r="N234">
        <v>38</v>
      </c>
      <c r="O234">
        <f t="shared" si="50"/>
        <v>7.5</v>
      </c>
      <c r="P234">
        <f t="shared" si="51"/>
        <v>525</v>
      </c>
      <c r="Q234">
        <f t="shared" si="46"/>
        <v>0</v>
      </c>
      <c r="R234">
        <v>0</v>
      </c>
    </row>
    <row r="235" spans="1:18" x14ac:dyDescent="0.3">
      <c r="A235" t="s">
        <v>4</v>
      </c>
      <c r="B235" s="1">
        <v>45111</v>
      </c>
      <c r="C235" t="s">
        <v>7</v>
      </c>
      <c r="D235" t="s">
        <v>14</v>
      </c>
      <c r="E235">
        <v>6</v>
      </c>
      <c r="F235">
        <v>16.3</v>
      </c>
      <c r="Q235">
        <f t="shared" si="46"/>
        <v>0</v>
      </c>
      <c r="R235">
        <v>0</v>
      </c>
    </row>
    <row r="236" spans="1:18" x14ac:dyDescent="0.3">
      <c r="A236" t="s">
        <v>1</v>
      </c>
      <c r="B236" s="1">
        <v>45073</v>
      </c>
      <c r="C236" t="s">
        <v>7</v>
      </c>
      <c r="D236" t="s">
        <v>14</v>
      </c>
      <c r="E236">
        <v>7</v>
      </c>
      <c r="F236">
        <v>17</v>
      </c>
      <c r="G236">
        <v>0</v>
      </c>
      <c r="H236">
        <f>17-F236-G236</f>
        <v>0</v>
      </c>
      <c r="I236">
        <f t="shared" si="43"/>
        <v>0</v>
      </c>
      <c r="J236">
        <f t="shared" si="44"/>
        <v>17</v>
      </c>
      <c r="K236">
        <f>J236-F237</f>
        <v>0.10000000000000142</v>
      </c>
      <c r="M236">
        <f t="shared" si="47"/>
        <v>0.98360655737704927</v>
      </c>
      <c r="N236">
        <v>1</v>
      </c>
      <c r="O236">
        <v>2.5</v>
      </c>
      <c r="P236">
        <f>O236*70</f>
        <v>175</v>
      </c>
      <c r="Q236">
        <f t="shared" si="46"/>
        <v>0</v>
      </c>
      <c r="R236">
        <v>0</v>
      </c>
    </row>
    <row r="237" spans="1:18" x14ac:dyDescent="0.3">
      <c r="A237" t="s">
        <v>2</v>
      </c>
      <c r="B237" s="1">
        <v>45074</v>
      </c>
      <c r="C237" t="s">
        <v>7</v>
      </c>
      <c r="D237" t="s">
        <v>14</v>
      </c>
      <c r="E237">
        <v>7</v>
      </c>
      <c r="F237">
        <v>16.899999999999999</v>
      </c>
      <c r="G237">
        <v>0</v>
      </c>
      <c r="H237">
        <f t="shared" ref="H237:H273" si="53">17-F237-G237</f>
        <v>0.10000000000000142</v>
      </c>
      <c r="I237">
        <f t="shared" si="43"/>
        <v>0.10000000000000142</v>
      </c>
      <c r="J237">
        <f t="shared" si="44"/>
        <v>17</v>
      </c>
      <c r="K237">
        <f t="shared" ref="K237:K273" si="54">J237-F238</f>
        <v>0.19999999999999929</v>
      </c>
      <c r="L237">
        <f>K236+K237</f>
        <v>0.30000000000000071</v>
      </c>
      <c r="M237">
        <f t="shared" si="47"/>
        <v>0.98360655737704927</v>
      </c>
      <c r="N237">
        <v>2</v>
      </c>
      <c r="O237">
        <f t="shared" ref="O237:O273" si="55">O236+G237</f>
        <v>2.5</v>
      </c>
      <c r="P237">
        <f t="shared" ref="P237:P273" si="56">O237*70</f>
        <v>175</v>
      </c>
      <c r="Q237">
        <f t="shared" si="46"/>
        <v>0</v>
      </c>
      <c r="R237">
        <v>0</v>
      </c>
    </row>
    <row r="238" spans="1:18" x14ac:dyDescent="0.3">
      <c r="A238" t="s">
        <v>3</v>
      </c>
      <c r="B238" s="1">
        <v>45075</v>
      </c>
      <c r="C238" t="s">
        <v>7</v>
      </c>
      <c r="D238" t="s">
        <v>14</v>
      </c>
      <c r="E238">
        <v>7</v>
      </c>
      <c r="F238">
        <v>16.8</v>
      </c>
      <c r="G238">
        <v>0.25</v>
      </c>
      <c r="H238">
        <v>0</v>
      </c>
      <c r="I238">
        <f t="shared" si="43"/>
        <v>0.25</v>
      </c>
      <c r="J238">
        <f t="shared" si="44"/>
        <v>17.05</v>
      </c>
      <c r="K238">
        <f t="shared" si="54"/>
        <v>0.65000000000000213</v>
      </c>
      <c r="L238">
        <f>L237+K238</f>
        <v>0.95000000000000284</v>
      </c>
      <c r="M238">
        <f t="shared" si="47"/>
        <v>0.9918032786885248</v>
      </c>
      <c r="N238">
        <v>3</v>
      </c>
      <c r="O238">
        <f t="shared" si="55"/>
        <v>2.75</v>
      </c>
      <c r="P238">
        <f t="shared" si="56"/>
        <v>192.5</v>
      </c>
      <c r="Q238">
        <f t="shared" si="46"/>
        <v>0</v>
      </c>
      <c r="R238">
        <v>0</v>
      </c>
    </row>
    <row r="239" spans="1:18" x14ac:dyDescent="0.3">
      <c r="A239" t="s">
        <v>4</v>
      </c>
      <c r="B239" s="1">
        <v>45076</v>
      </c>
      <c r="C239" t="s">
        <v>7</v>
      </c>
      <c r="D239" t="s">
        <v>14</v>
      </c>
      <c r="E239">
        <v>7</v>
      </c>
      <c r="F239">
        <v>16.399999999999999</v>
      </c>
      <c r="G239">
        <v>0.25</v>
      </c>
      <c r="H239">
        <f t="shared" si="53"/>
        <v>0.35000000000000142</v>
      </c>
      <c r="I239">
        <f t="shared" si="43"/>
        <v>0.60000000000000142</v>
      </c>
      <c r="J239">
        <f t="shared" si="44"/>
        <v>17</v>
      </c>
      <c r="K239">
        <f t="shared" si="54"/>
        <v>0.5</v>
      </c>
      <c r="L239">
        <f t="shared" ref="L239:L273" si="57">L238+K239</f>
        <v>1.4500000000000028</v>
      </c>
      <c r="M239">
        <f t="shared" si="47"/>
        <v>0.98360655737704927</v>
      </c>
      <c r="N239">
        <v>4</v>
      </c>
      <c r="O239">
        <f t="shared" si="55"/>
        <v>3</v>
      </c>
      <c r="P239">
        <f t="shared" si="56"/>
        <v>210</v>
      </c>
      <c r="Q239">
        <f t="shared" si="46"/>
        <v>0</v>
      </c>
      <c r="R239">
        <v>0</v>
      </c>
    </row>
    <row r="240" spans="1:18" x14ac:dyDescent="0.3">
      <c r="A240" t="s">
        <v>5</v>
      </c>
      <c r="B240" s="1">
        <v>45077</v>
      </c>
      <c r="C240" t="s">
        <v>7</v>
      </c>
      <c r="D240" t="s">
        <v>14</v>
      </c>
      <c r="E240">
        <v>7</v>
      </c>
      <c r="F240">
        <v>16.5</v>
      </c>
      <c r="G240">
        <v>0</v>
      </c>
      <c r="H240">
        <f t="shared" si="53"/>
        <v>0.5</v>
      </c>
      <c r="I240">
        <f t="shared" si="43"/>
        <v>0.5</v>
      </c>
      <c r="J240">
        <f t="shared" si="44"/>
        <v>17</v>
      </c>
      <c r="K240">
        <f t="shared" si="54"/>
        <v>0.39999999999999858</v>
      </c>
      <c r="L240">
        <f t="shared" si="57"/>
        <v>1.8500000000000014</v>
      </c>
      <c r="M240">
        <f t="shared" si="47"/>
        <v>0.98360655737704927</v>
      </c>
      <c r="N240">
        <v>5</v>
      </c>
      <c r="O240">
        <f t="shared" si="55"/>
        <v>3</v>
      </c>
      <c r="P240">
        <f t="shared" si="56"/>
        <v>210</v>
      </c>
      <c r="Q240">
        <f t="shared" si="46"/>
        <v>0</v>
      </c>
      <c r="R240">
        <v>0</v>
      </c>
    </row>
    <row r="241" spans="1:18" x14ac:dyDescent="0.3">
      <c r="A241" t="s">
        <v>6</v>
      </c>
      <c r="B241" s="1">
        <v>45078</v>
      </c>
      <c r="C241" t="s">
        <v>7</v>
      </c>
      <c r="D241" t="s">
        <v>14</v>
      </c>
      <c r="E241">
        <v>7</v>
      </c>
      <c r="F241">
        <v>16.600000000000001</v>
      </c>
      <c r="G241">
        <v>0.25</v>
      </c>
      <c r="H241">
        <f t="shared" si="53"/>
        <v>0.14999999999999858</v>
      </c>
      <c r="I241">
        <f t="shared" si="43"/>
        <v>0.39999999999999858</v>
      </c>
      <c r="J241">
        <f t="shared" si="44"/>
        <v>17</v>
      </c>
      <c r="K241">
        <f t="shared" si="54"/>
        <v>0.39999999999999858</v>
      </c>
      <c r="L241">
        <f t="shared" si="57"/>
        <v>2.25</v>
      </c>
      <c r="M241">
        <f t="shared" si="47"/>
        <v>0.98360655737704927</v>
      </c>
      <c r="N241">
        <v>6</v>
      </c>
      <c r="O241">
        <f t="shared" si="55"/>
        <v>3.25</v>
      </c>
      <c r="P241">
        <f t="shared" si="56"/>
        <v>227.5</v>
      </c>
      <c r="Q241">
        <f t="shared" si="46"/>
        <v>0</v>
      </c>
      <c r="R241">
        <v>0</v>
      </c>
    </row>
    <row r="242" spans="1:18" x14ac:dyDescent="0.3">
      <c r="A242" t="s">
        <v>0</v>
      </c>
      <c r="B242" s="1">
        <v>45079</v>
      </c>
      <c r="C242" t="s">
        <v>7</v>
      </c>
      <c r="D242" t="s">
        <v>14</v>
      </c>
      <c r="E242">
        <v>7</v>
      </c>
      <c r="F242">
        <v>16.600000000000001</v>
      </c>
      <c r="G242">
        <v>0.25</v>
      </c>
      <c r="H242">
        <f t="shared" si="53"/>
        <v>0.14999999999999858</v>
      </c>
      <c r="I242">
        <f t="shared" ref="I242:I305" si="58">H242+G242</f>
        <v>0.39999999999999858</v>
      </c>
      <c r="J242">
        <f t="shared" ref="J242:J305" si="59">I242+F242</f>
        <v>17</v>
      </c>
      <c r="K242">
        <f t="shared" si="54"/>
        <v>0.10000000000000142</v>
      </c>
      <c r="L242">
        <f t="shared" si="57"/>
        <v>2.3500000000000014</v>
      </c>
      <c r="M242">
        <f t="shared" si="47"/>
        <v>0.98360655737704927</v>
      </c>
      <c r="N242">
        <v>7</v>
      </c>
      <c r="O242">
        <f t="shared" si="55"/>
        <v>3.5</v>
      </c>
      <c r="P242">
        <f t="shared" si="56"/>
        <v>245</v>
      </c>
      <c r="Q242">
        <f t="shared" si="46"/>
        <v>0</v>
      </c>
      <c r="R242">
        <v>0</v>
      </c>
    </row>
    <row r="243" spans="1:18" x14ac:dyDescent="0.3">
      <c r="A243" t="s">
        <v>1</v>
      </c>
      <c r="B243" s="1">
        <v>45080</v>
      </c>
      <c r="C243" t="s">
        <v>7</v>
      </c>
      <c r="D243" t="s">
        <v>14</v>
      </c>
      <c r="E243">
        <v>7</v>
      </c>
      <c r="F243">
        <v>16.899999999999999</v>
      </c>
      <c r="G243">
        <v>0</v>
      </c>
      <c r="H243">
        <f t="shared" si="53"/>
        <v>0.10000000000000142</v>
      </c>
      <c r="I243">
        <f t="shared" si="58"/>
        <v>0.10000000000000142</v>
      </c>
      <c r="J243">
        <f t="shared" si="59"/>
        <v>17</v>
      </c>
      <c r="K243">
        <f t="shared" si="54"/>
        <v>0.30000000000000071</v>
      </c>
      <c r="L243">
        <f t="shared" si="57"/>
        <v>2.6500000000000021</v>
      </c>
      <c r="M243">
        <f t="shared" si="47"/>
        <v>0.98360655737704927</v>
      </c>
      <c r="N243">
        <v>8</v>
      </c>
      <c r="O243">
        <f t="shared" si="55"/>
        <v>3.5</v>
      </c>
      <c r="P243">
        <f t="shared" si="56"/>
        <v>245</v>
      </c>
      <c r="Q243">
        <f t="shared" si="46"/>
        <v>0</v>
      </c>
      <c r="R243">
        <v>0</v>
      </c>
    </row>
    <row r="244" spans="1:18" x14ac:dyDescent="0.3">
      <c r="A244" t="s">
        <v>2</v>
      </c>
      <c r="B244" s="1">
        <v>45081</v>
      </c>
      <c r="C244" t="s">
        <v>7</v>
      </c>
      <c r="D244" t="s">
        <v>14</v>
      </c>
      <c r="E244">
        <v>7</v>
      </c>
      <c r="F244">
        <v>16.7</v>
      </c>
      <c r="G244">
        <v>0</v>
      </c>
      <c r="H244">
        <f t="shared" si="53"/>
        <v>0.30000000000000071</v>
      </c>
      <c r="I244">
        <f t="shared" si="58"/>
        <v>0.30000000000000071</v>
      </c>
      <c r="J244">
        <f t="shared" si="59"/>
        <v>17</v>
      </c>
      <c r="K244">
        <f t="shared" si="54"/>
        <v>0.39999999999999858</v>
      </c>
      <c r="L244">
        <f t="shared" si="57"/>
        <v>3.0500000000000007</v>
      </c>
      <c r="M244">
        <f t="shared" si="47"/>
        <v>0.98360655737704927</v>
      </c>
      <c r="N244">
        <v>9</v>
      </c>
      <c r="O244">
        <f t="shared" si="55"/>
        <v>3.5</v>
      </c>
      <c r="P244">
        <f t="shared" si="56"/>
        <v>245</v>
      </c>
      <c r="Q244">
        <f t="shared" si="46"/>
        <v>0</v>
      </c>
      <c r="R244">
        <v>0</v>
      </c>
    </row>
    <row r="245" spans="1:18" x14ac:dyDescent="0.3">
      <c r="A245" t="s">
        <v>3</v>
      </c>
      <c r="B245" s="1">
        <v>45082</v>
      </c>
      <c r="C245" t="s">
        <v>7</v>
      </c>
      <c r="D245" t="s">
        <v>14</v>
      </c>
      <c r="E245">
        <v>7</v>
      </c>
      <c r="F245">
        <v>16.600000000000001</v>
      </c>
      <c r="G245">
        <v>0.25</v>
      </c>
      <c r="H245">
        <f t="shared" si="53"/>
        <v>0.14999999999999858</v>
      </c>
      <c r="I245">
        <f t="shared" si="58"/>
        <v>0.39999999999999858</v>
      </c>
      <c r="J245">
        <f t="shared" si="59"/>
        <v>17</v>
      </c>
      <c r="K245">
        <f t="shared" si="54"/>
        <v>0.19999999999999929</v>
      </c>
      <c r="L245">
        <f t="shared" si="57"/>
        <v>3.25</v>
      </c>
      <c r="M245">
        <f t="shared" si="47"/>
        <v>0.98360655737704927</v>
      </c>
      <c r="N245">
        <v>10</v>
      </c>
      <c r="O245">
        <f t="shared" si="55"/>
        <v>3.75</v>
      </c>
      <c r="P245">
        <f t="shared" si="56"/>
        <v>262.5</v>
      </c>
      <c r="Q245">
        <f t="shared" si="46"/>
        <v>0</v>
      </c>
      <c r="R245">
        <v>0</v>
      </c>
    </row>
    <row r="246" spans="1:18" x14ac:dyDescent="0.3">
      <c r="A246" t="s">
        <v>4</v>
      </c>
      <c r="B246" s="1">
        <v>45083</v>
      </c>
      <c r="C246" t="s">
        <v>7</v>
      </c>
      <c r="D246" t="s">
        <v>14</v>
      </c>
      <c r="E246">
        <v>7</v>
      </c>
      <c r="F246">
        <v>16.8</v>
      </c>
      <c r="G246">
        <v>0.25</v>
      </c>
      <c r="H246">
        <v>0</v>
      </c>
      <c r="I246">
        <f t="shared" si="58"/>
        <v>0.25</v>
      </c>
      <c r="J246">
        <f t="shared" si="59"/>
        <v>17.05</v>
      </c>
      <c r="K246">
        <f t="shared" si="54"/>
        <v>0.65000000000000213</v>
      </c>
      <c r="L246">
        <f t="shared" si="57"/>
        <v>3.9000000000000021</v>
      </c>
      <c r="M246">
        <f t="shared" si="47"/>
        <v>0.9918032786885248</v>
      </c>
      <c r="N246">
        <v>11</v>
      </c>
      <c r="O246">
        <f t="shared" si="55"/>
        <v>4</v>
      </c>
      <c r="P246">
        <f t="shared" si="56"/>
        <v>280</v>
      </c>
      <c r="Q246">
        <f t="shared" si="46"/>
        <v>0</v>
      </c>
      <c r="R246">
        <v>0</v>
      </c>
    </row>
    <row r="247" spans="1:18" x14ac:dyDescent="0.3">
      <c r="A247" t="s">
        <v>5</v>
      </c>
      <c r="B247" s="1">
        <v>45084</v>
      </c>
      <c r="C247" t="s">
        <v>7</v>
      </c>
      <c r="D247" t="s">
        <v>14</v>
      </c>
      <c r="E247">
        <v>7</v>
      </c>
      <c r="F247">
        <v>16.399999999999999</v>
      </c>
      <c r="G247">
        <v>0</v>
      </c>
      <c r="H247">
        <f t="shared" si="53"/>
        <v>0.60000000000000142</v>
      </c>
      <c r="I247">
        <f t="shared" si="58"/>
        <v>0.60000000000000142</v>
      </c>
      <c r="J247">
        <f t="shared" si="59"/>
        <v>17</v>
      </c>
      <c r="K247">
        <f t="shared" si="54"/>
        <v>0.5</v>
      </c>
      <c r="L247">
        <f t="shared" si="57"/>
        <v>4.4000000000000021</v>
      </c>
      <c r="M247">
        <f t="shared" si="47"/>
        <v>0.98360655737704927</v>
      </c>
      <c r="N247">
        <v>12</v>
      </c>
      <c r="O247">
        <f t="shared" si="55"/>
        <v>4</v>
      </c>
      <c r="P247">
        <f t="shared" si="56"/>
        <v>280</v>
      </c>
      <c r="Q247">
        <f t="shared" si="46"/>
        <v>0</v>
      </c>
      <c r="R247">
        <v>0</v>
      </c>
    </row>
    <row r="248" spans="1:18" x14ac:dyDescent="0.3">
      <c r="A248" t="s">
        <v>6</v>
      </c>
      <c r="B248" s="1">
        <v>45085</v>
      </c>
      <c r="C248" t="s">
        <v>7</v>
      </c>
      <c r="D248" t="s">
        <v>14</v>
      </c>
      <c r="E248">
        <v>7</v>
      </c>
      <c r="F248">
        <v>16.5</v>
      </c>
      <c r="G248">
        <v>0.25</v>
      </c>
      <c r="H248">
        <f t="shared" si="53"/>
        <v>0.25</v>
      </c>
      <c r="I248">
        <f t="shared" si="58"/>
        <v>0.5</v>
      </c>
      <c r="J248">
        <f t="shared" si="59"/>
        <v>17</v>
      </c>
      <c r="K248">
        <f t="shared" si="54"/>
        <v>0.5</v>
      </c>
      <c r="L248">
        <f t="shared" si="57"/>
        <v>4.9000000000000021</v>
      </c>
      <c r="M248">
        <f t="shared" si="47"/>
        <v>0.98360655737704927</v>
      </c>
      <c r="N248">
        <v>13</v>
      </c>
      <c r="O248">
        <f t="shared" si="55"/>
        <v>4.25</v>
      </c>
      <c r="P248">
        <f t="shared" si="56"/>
        <v>297.5</v>
      </c>
      <c r="Q248">
        <f t="shared" si="46"/>
        <v>0</v>
      </c>
      <c r="R248">
        <v>0</v>
      </c>
    </row>
    <row r="249" spans="1:18" x14ac:dyDescent="0.3">
      <c r="A249" t="s">
        <v>0</v>
      </c>
      <c r="B249" s="1">
        <v>45086</v>
      </c>
      <c r="C249" t="s">
        <v>7</v>
      </c>
      <c r="D249" t="s">
        <v>14</v>
      </c>
      <c r="E249">
        <v>7</v>
      </c>
      <c r="F249">
        <v>16.5</v>
      </c>
      <c r="G249">
        <v>0.25</v>
      </c>
      <c r="H249">
        <f t="shared" si="53"/>
        <v>0.25</v>
      </c>
      <c r="I249">
        <f t="shared" si="58"/>
        <v>0.5</v>
      </c>
      <c r="J249">
        <f t="shared" si="59"/>
        <v>17</v>
      </c>
      <c r="K249">
        <f t="shared" si="54"/>
        <v>0.80000000000000071</v>
      </c>
      <c r="L249">
        <f t="shared" si="57"/>
        <v>5.7000000000000028</v>
      </c>
      <c r="M249">
        <f t="shared" si="47"/>
        <v>0.98360655737704927</v>
      </c>
      <c r="N249">
        <v>14</v>
      </c>
      <c r="O249">
        <f t="shared" si="55"/>
        <v>4.5</v>
      </c>
      <c r="P249">
        <f t="shared" si="56"/>
        <v>315</v>
      </c>
      <c r="Q249">
        <f t="shared" si="46"/>
        <v>0</v>
      </c>
      <c r="R249">
        <v>0</v>
      </c>
    </row>
    <row r="250" spans="1:18" x14ac:dyDescent="0.3">
      <c r="A250" t="s">
        <v>1</v>
      </c>
      <c r="B250" s="1">
        <v>45087</v>
      </c>
      <c r="C250" t="s">
        <v>7</v>
      </c>
      <c r="D250" t="s">
        <v>14</v>
      </c>
      <c r="E250">
        <v>7</v>
      </c>
      <c r="F250">
        <v>16.2</v>
      </c>
      <c r="G250">
        <v>0</v>
      </c>
      <c r="H250">
        <f t="shared" si="53"/>
        <v>0.80000000000000071</v>
      </c>
      <c r="I250">
        <f t="shared" si="58"/>
        <v>0.80000000000000071</v>
      </c>
      <c r="J250">
        <f t="shared" si="59"/>
        <v>17</v>
      </c>
      <c r="K250">
        <f t="shared" si="54"/>
        <v>0.69999999999999929</v>
      </c>
      <c r="L250">
        <f t="shared" si="57"/>
        <v>6.4000000000000021</v>
      </c>
      <c r="M250">
        <f t="shared" si="47"/>
        <v>0.98360655737704927</v>
      </c>
      <c r="N250">
        <v>15</v>
      </c>
      <c r="O250">
        <f t="shared" si="55"/>
        <v>4.5</v>
      </c>
      <c r="P250">
        <f t="shared" si="56"/>
        <v>315</v>
      </c>
      <c r="Q250">
        <f t="shared" si="46"/>
        <v>0</v>
      </c>
      <c r="R250">
        <v>0</v>
      </c>
    </row>
    <row r="251" spans="1:18" x14ac:dyDescent="0.3">
      <c r="A251" t="s">
        <v>2</v>
      </c>
      <c r="B251" s="1">
        <v>45088</v>
      </c>
      <c r="C251" t="s">
        <v>7</v>
      </c>
      <c r="D251" t="s">
        <v>14</v>
      </c>
      <c r="E251">
        <v>7</v>
      </c>
      <c r="F251">
        <v>16.3</v>
      </c>
      <c r="G251">
        <v>0</v>
      </c>
      <c r="H251">
        <f t="shared" si="53"/>
        <v>0.69999999999999929</v>
      </c>
      <c r="I251">
        <f t="shared" si="58"/>
        <v>0.69999999999999929</v>
      </c>
      <c r="J251">
        <f t="shared" si="59"/>
        <v>17</v>
      </c>
      <c r="K251">
        <f t="shared" si="54"/>
        <v>0.5</v>
      </c>
      <c r="L251">
        <f t="shared" si="57"/>
        <v>6.9000000000000021</v>
      </c>
      <c r="M251">
        <f t="shared" si="47"/>
        <v>0.98360655737704927</v>
      </c>
      <c r="N251">
        <v>16</v>
      </c>
      <c r="O251">
        <f t="shared" si="55"/>
        <v>4.5</v>
      </c>
      <c r="P251">
        <f t="shared" si="56"/>
        <v>315</v>
      </c>
      <c r="Q251">
        <f t="shared" si="46"/>
        <v>0</v>
      </c>
      <c r="R251">
        <v>0</v>
      </c>
    </row>
    <row r="252" spans="1:18" x14ac:dyDescent="0.3">
      <c r="A252" t="s">
        <v>3</v>
      </c>
      <c r="B252" s="1">
        <v>45089</v>
      </c>
      <c r="C252" t="s">
        <v>7</v>
      </c>
      <c r="D252" t="s">
        <v>14</v>
      </c>
      <c r="E252">
        <v>7</v>
      </c>
      <c r="F252">
        <v>16.5</v>
      </c>
      <c r="G252">
        <v>0.5</v>
      </c>
      <c r="H252">
        <f t="shared" si="53"/>
        <v>0</v>
      </c>
      <c r="I252">
        <f t="shared" si="58"/>
        <v>0.5</v>
      </c>
      <c r="J252">
        <f t="shared" si="59"/>
        <v>17</v>
      </c>
      <c r="K252">
        <f t="shared" si="54"/>
        <v>0.30000000000000071</v>
      </c>
      <c r="L252">
        <f t="shared" si="57"/>
        <v>7.2000000000000028</v>
      </c>
      <c r="M252">
        <f t="shared" si="47"/>
        <v>0.98360655737704927</v>
      </c>
      <c r="N252">
        <v>17</v>
      </c>
      <c r="O252">
        <f t="shared" si="55"/>
        <v>5</v>
      </c>
      <c r="P252">
        <f t="shared" si="56"/>
        <v>350</v>
      </c>
      <c r="Q252">
        <f t="shared" si="46"/>
        <v>0</v>
      </c>
      <c r="R252">
        <v>0</v>
      </c>
    </row>
    <row r="253" spans="1:18" x14ac:dyDescent="0.3">
      <c r="A253" t="s">
        <v>4</v>
      </c>
      <c r="B253" s="1">
        <v>45090</v>
      </c>
      <c r="C253" t="s">
        <v>7</v>
      </c>
      <c r="D253" t="s">
        <v>14</v>
      </c>
      <c r="E253">
        <v>7</v>
      </c>
      <c r="F253">
        <v>16.7</v>
      </c>
      <c r="G253">
        <v>0</v>
      </c>
      <c r="H253">
        <f t="shared" si="53"/>
        <v>0.30000000000000071</v>
      </c>
      <c r="I253">
        <f t="shared" si="58"/>
        <v>0.30000000000000071</v>
      </c>
      <c r="J253">
        <f t="shared" si="59"/>
        <v>17</v>
      </c>
      <c r="K253">
        <f t="shared" si="54"/>
        <v>0.39999999999999858</v>
      </c>
      <c r="L253">
        <f t="shared" si="57"/>
        <v>7.6000000000000014</v>
      </c>
      <c r="M253">
        <f t="shared" si="47"/>
        <v>0.98360655737704927</v>
      </c>
      <c r="N253">
        <v>18</v>
      </c>
      <c r="O253">
        <f t="shared" si="55"/>
        <v>5</v>
      </c>
      <c r="P253">
        <f t="shared" si="56"/>
        <v>350</v>
      </c>
      <c r="Q253">
        <f t="shared" si="46"/>
        <v>0</v>
      </c>
      <c r="R253">
        <v>0</v>
      </c>
    </row>
    <row r="254" spans="1:18" x14ac:dyDescent="0.3">
      <c r="A254" t="s">
        <v>5</v>
      </c>
      <c r="B254" s="1">
        <v>45091</v>
      </c>
      <c r="C254" t="s">
        <v>7</v>
      </c>
      <c r="D254" t="s">
        <v>14</v>
      </c>
      <c r="E254">
        <v>7</v>
      </c>
      <c r="F254">
        <v>16.600000000000001</v>
      </c>
      <c r="G254">
        <v>0</v>
      </c>
      <c r="H254">
        <f t="shared" si="53"/>
        <v>0.39999999999999858</v>
      </c>
      <c r="I254">
        <f t="shared" si="58"/>
        <v>0.39999999999999858</v>
      </c>
      <c r="J254">
        <f t="shared" si="59"/>
        <v>17</v>
      </c>
      <c r="K254">
        <f t="shared" si="54"/>
        <v>0.60000000000000142</v>
      </c>
      <c r="L254">
        <f t="shared" si="57"/>
        <v>8.2000000000000028</v>
      </c>
      <c r="M254">
        <f t="shared" si="47"/>
        <v>0.98360655737704927</v>
      </c>
      <c r="N254">
        <v>19</v>
      </c>
      <c r="O254">
        <f t="shared" si="55"/>
        <v>5</v>
      </c>
      <c r="P254">
        <f t="shared" si="56"/>
        <v>350</v>
      </c>
      <c r="Q254">
        <f t="shared" si="46"/>
        <v>0</v>
      </c>
      <c r="R254">
        <v>0</v>
      </c>
    </row>
    <row r="255" spans="1:18" x14ac:dyDescent="0.3">
      <c r="A255" t="s">
        <v>6</v>
      </c>
      <c r="B255" s="1">
        <v>45092</v>
      </c>
      <c r="C255" t="s">
        <v>7</v>
      </c>
      <c r="D255" t="s">
        <v>14</v>
      </c>
      <c r="E255">
        <v>7</v>
      </c>
      <c r="F255">
        <v>16.399999999999999</v>
      </c>
      <c r="G255">
        <v>0.5</v>
      </c>
      <c r="H255">
        <f t="shared" si="53"/>
        <v>0.10000000000000142</v>
      </c>
      <c r="I255">
        <f t="shared" si="58"/>
        <v>0.60000000000000142</v>
      </c>
      <c r="J255">
        <f t="shared" si="59"/>
        <v>17</v>
      </c>
      <c r="K255">
        <f t="shared" si="54"/>
        <v>0.69999999999999929</v>
      </c>
      <c r="L255">
        <f t="shared" si="57"/>
        <v>8.9000000000000021</v>
      </c>
      <c r="M255">
        <f t="shared" si="47"/>
        <v>0.98360655737704927</v>
      </c>
      <c r="N255">
        <v>20</v>
      </c>
      <c r="O255">
        <f t="shared" si="55"/>
        <v>5.5</v>
      </c>
      <c r="P255">
        <f t="shared" si="56"/>
        <v>385</v>
      </c>
      <c r="Q255">
        <f t="shared" si="46"/>
        <v>0</v>
      </c>
      <c r="R255">
        <v>0</v>
      </c>
    </row>
    <row r="256" spans="1:18" x14ac:dyDescent="0.3">
      <c r="A256" t="s">
        <v>0</v>
      </c>
      <c r="B256" s="1">
        <v>45093</v>
      </c>
      <c r="C256" t="s">
        <v>7</v>
      </c>
      <c r="D256" t="s">
        <v>14</v>
      </c>
      <c r="E256">
        <v>7</v>
      </c>
      <c r="F256">
        <v>16.3</v>
      </c>
      <c r="G256">
        <v>0</v>
      </c>
      <c r="H256">
        <f t="shared" si="53"/>
        <v>0.69999999999999929</v>
      </c>
      <c r="I256">
        <f t="shared" si="58"/>
        <v>0.69999999999999929</v>
      </c>
      <c r="J256">
        <f t="shared" si="59"/>
        <v>17</v>
      </c>
      <c r="K256">
        <f>J256-F257</f>
        <v>0.69999999999999929</v>
      </c>
      <c r="L256">
        <f t="shared" si="57"/>
        <v>9.6000000000000014</v>
      </c>
      <c r="M256">
        <f t="shared" si="47"/>
        <v>0.98360655737704927</v>
      </c>
      <c r="N256">
        <v>21</v>
      </c>
      <c r="O256">
        <f t="shared" si="55"/>
        <v>5.5</v>
      </c>
      <c r="P256">
        <f t="shared" si="56"/>
        <v>385</v>
      </c>
      <c r="Q256">
        <f t="shared" si="46"/>
        <v>0</v>
      </c>
      <c r="R256">
        <v>0</v>
      </c>
    </row>
    <row r="257" spans="1:18" x14ac:dyDescent="0.3">
      <c r="A257" t="s">
        <v>1</v>
      </c>
      <c r="B257" s="1">
        <v>45094</v>
      </c>
      <c r="C257" t="s">
        <v>7</v>
      </c>
      <c r="D257" t="s">
        <v>14</v>
      </c>
      <c r="E257">
        <v>7</v>
      </c>
      <c r="F257">
        <v>16.3</v>
      </c>
      <c r="G257">
        <v>0</v>
      </c>
      <c r="H257">
        <f t="shared" si="53"/>
        <v>0.69999999999999929</v>
      </c>
      <c r="I257">
        <f t="shared" si="58"/>
        <v>0.69999999999999929</v>
      </c>
      <c r="J257">
        <f t="shared" si="59"/>
        <v>17</v>
      </c>
      <c r="K257">
        <f t="shared" si="54"/>
        <v>0.5</v>
      </c>
      <c r="L257">
        <f t="shared" si="57"/>
        <v>10.100000000000001</v>
      </c>
      <c r="M257">
        <f t="shared" si="47"/>
        <v>0.98360655737704927</v>
      </c>
      <c r="N257">
        <v>22</v>
      </c>
      <c r="O257">
        <f t="shared" si="55"/>
        <v>5.5</v>
      </c>
      <c r="P257">
        <f t="shared" si="56"/>
        <v>385</v>
      </c>
      <c r="Q257">
        <f t="shared" si="46"/>
        <v>0</v>
      </c>
      <c r="R257">
        <v>0</v>
      </c>
    </row>
    <row r="258" spans="1:18" x14ac:dyDescent="0.3">
      <c r="A258" t="s">
        <v>2</v>
      </c>
      <c r="B258" s="1">
        <v>45095</v>
      </c>
      <c r="C258" t="s">
        <v>7</v>
      </c>
      <c r="D258" t="s">
        <v>14</v>
      </c>
      <c r="E258">
        <v>7</v>
      </c>
      <c r="F258">
        <v>16.5</v>
      </c>
      <c r="G258">
        <v>0</v>
      </c>
      <c r="H258">
        <f t="shared" si="53"/>
        <v>0.5</v>
      </c>
      <c r="I258">
        <f t="shared" si="58"/>
        <v>0.5</v>
      </c>
      <c r="J258">
        <f t="shared" si="59"/>
        <v>17</v>
      </c>
      <c r="K258">
        <f t="shared" si="54"/>
        <v>0.60000000000000142</v>
      </c>
      <c r="L258">
        <f t="shared" si="57"/>
        <v>10.700000000000003</v>
      </c>
      <c r="M258">
        <f t="shared" si="47"/>
        <v>0.98360655737704927</v>
      </c>
      <c r="N258">
        <v>23</v>
      </c>
      <c r="O258">
        <f t="shared" si="55"/>
        <v>5.5</v>
      </c>
      <c r="P258">
        <f t="shared" si="56"/>
        <v>385</v>
      </c>
      <c r="Q258">
        <f t="shared" si="46"/>
        <v>0</v>
      </c>
      <c r="R258">
        <v>0</v>
      </c>
    </row>
    <row r="259" spans="1:18" x14ac:dyDescent="0.3">
      <c r="A259" t="s">
        <v>3</v>
      </c>
      <c r="B259" s="1">
        <v>45096</v>
      </c>
      <c r="C259" t="s">
        <v>7</v>
      </c>
      <c r="D259" t="s">
        <v>14</v>
      </c>
      <c r="E259">
        <v>7</v>
      </c>
      <c r="F259">
        <v>16.399999999999999</v>
      </c>
      <c r="G259">
        <v>0.5</v>
      </c>
      <c r="H259">
        <f t="shared" si="53"/>
        <v>0.10000000000000142</v>
      </c>
      <c r="I259">
        <f t="shared" si="58"/>
        <v>0.60000000000000142</v>
      </c>
      <c r="J259">
        <f t="shared" si="59"/>
        <v>17</v>
      </c>
      <c r="K259">
        <f t="shared" si="54"/>
        <v>0.60000000000000142</v>
      </c>
      <c r="L259">
        <f t="shared" si="57"/>
        <v>11.300000000000004</v>
      </c>
      <c r="M259">
        <f t="shared" ref="M259:M273" si="60">(J259-11)/6.1</f>
        <v>0.98360655737704927</v>
      </c>
      <c r="N259">
        <v>24</v>
      </c>
      <c r="O259">
        <f t="shared" si="55"/>
        <v>6</v>
      </c>
      <c r="P259">
        <f t="shared" si="56"/>
        <v>420</v>
      </c>
      <c r="Q259">
        <f t="shared" ref="Q259:Q311" si="61">M259-M259</f>
        <v>0</v>
      </c>
      <c r="R259">
        <v>0</v>
      </c>
    </row>
    <row r="260" spans="1:18" x14ac:dyDescent="0.3">
      <c r="A260" t="s">
        <v>4</v>
      </c>
      <c r="B260" s="1">
        <v>45097</v>
      </c>
      <c r="C260" t="s">
        <v>7</v>
      </c>
      <c r="D260" t="s">
        <v>14</v>
      </c>
      <c r="E260">
        <v>7</v>
      </c>
      <c r="F260">
        <v>16.399999999999999</v>
      </c>
      <c r="G260">
        <v>0</v>
      </c>
      <c r="H260">
        <f t="shared" si="53"/>
        <v>0.60000000000000142</v>
      </c>
      <c r="I260">
        <f t="shared" si="58"/>
        <v>0.60000000000000142</v>
      </c>
      <c r="J260">
        <f t="shared" si="59"/>
        <v>17</v>
      </c>
      <c r="K260">
        <f t="shared" si="54"/>
        <v>0.60000000000000142</v>
      </c>
      <c r="L260">
        <f t="shared" si="57"/>
        <v>11.900000000000006</v>
      </c>
      <c r="M260">
        <f t="shared" si="60"/>
        <v>0.98360655737704927</v>
      </c>
      <c r="N260">
        <v>25</v>
      </c>
      <c r="O260">
        <f t="shared" si="55"/>
        <v>6</v>
      </c>
      <c r="P260">
        <f t="shared" si="56"/>
        <v>420</v>
      </c>
      <c r="Q260">
        <f t="shared" si="61"/>
        <v>0</v>
      </c>
      <c r="R260">
        <v>0</v>
      </c>
    </row>
    <row r="261" spans="1:18" x14ac:dyDescent="0.3">
      <c r="A261" t="s">
        <v>5</v>
      </c>
      <c r="B261" s="1">
        <v>45098</v>
      </c>
      <c r="C261" t="s">
        <v>7</v>
      </c>
      <c r="D261" t="s">
        <v>14</v>
      </c>
      <c r="E261">
        <v>7</v>
      </c>
      <c r="F261">
        <v>16.399999999999999</v>
      </c>
      <c r="G261">
        <v>0</v>
      </c>
      <c r="H261">
        <f t="shared" si="53"/>
        <v>0.60000000000000142</v>
      </c>
      <c r="I261">
        <f t="shared" si="58"/>
        <v>0.60000000000000142</v>
      </c>
      <c r="J261">
        <f t="shared" si="59"/>
        <v>17</v>
      </c>
      <c r="K261">
        <f t="shared" si="54"/>
        <v>0.5</v>
      </c>
      <c r="L261">
        <f t="shared" si="57"/>
        <v>12.400000000000006</v>
      </c>
      <c r="M261">
        <f t="shared" si="60"/>
        <v>0.98360655737704927</v>
      </c>
      <c r="N261">
        <v>26</v>
      </c>
      <c r="O261">
        <f t="shared" si="55"/>
        <v>6</v>
      </c>
      <c r="P261">
        <f t="shared" si="56"/>
        <v>420</v>
      </c>
      <c r="Q261">
        <f t="shared" si="61"/>
        <v>0</v>
      </c>
      <c r="R261">
        <v>0</v>
      </c>
    </row>
    <row r="262" spans="1:18" x14ac:dyDescent="0.3">
      <c r="A262" t="s">
        <v>6</v>
      </c>
      <c r="B262" s="1">
        <v>45099</v>
      </c>
      <c r="C262" t="s">
        <v>7</v>
      </c>
      <c r="D262" t="s">
        <v>14</v>
      </c>
      <c r="E262">
        <v>7</v>
      </c>
      <c r="F262">
        <v>16.5</v>
      </c>
      <c r="G262">
        <v>0.5</v>
      </c>
      <c r="H262">
        <f t="shared" si="53"/>
        <v>0</v>
      </c>
      <c r="I262">
        <f t="shared" si="58"/>
        <v>0.5</v>
      </c>
      <c r="J262">
        <f t="shared" si="59"/>
        <v>17</v>
      </c>
      <c r="K262">
        <f t="shared" si="54"/>
        <v>1</v>
      </c>
      <c r="L262">
        <f t="shared" si="57"/>
        <v>13.400000000000006</v>
      </c>
      <c r="M262">
        <f t="shared" si="60"/>
        <v>0.98360655737704927</v>
      </c>
      <c r="N262">
        <v>27</v>
      </c>
      <c r="O262">
        <f t="shared" si="55"/>
        <v>6.5</v>
      </c>
      <c r="P262">
        <f t="shared" si="56"/>
        <v>455</v>
      </c>
      <c r="Q262">
        <f t="shared" si="61"/>
        <v>0</v>
      </c>
      <c r="R262">
        <v>0</v>
      </c>
    </row>
    <row r="263" spans="1:18" x14ac:dyDescent="0.3">
      <c r="A263" t="s">
        <v>0</v>
      </c>
      <c r="B263" s="1">
        <v>45100</v>
      </c>
      <c r="C263" t="s">
        <v>7</v>
      </c>
      <c r="D263" t="s">
        <v>14</v>
      </c>
      <c r="E263">
        <v>7</v>
      </c>
      <c r="F263">
        <v>16</v>
      </c>
      <c r="G263">
        <v>0</v>
      </c>
      <c r="H263">
        <f t="shared" si="53"/>
        <v>1</v>
      </c>
      <c r="I263">
        <f t="shared" si="58"/>
        <v>1</v>
      </c>
      <c r="J263">
        <f t="shared" si="59"/>
        <v>17</v>
      </c>
      <c r="K263">
        <f t="shared" si="54"/>
        <v>0.80000000000000071</v>
      </c>
      <c r="L263">
        <f t="shared" si="57"/>
        <v>14.200000000000006</v>
      </c>
      <c r="M263">
        <f t="shared" si="60"/>
        <v>0.98360655737704927</v>
      </c>
      <c r="N263">
        <v>28</v>
      </c>
      <c r="O263">
        <f t="shared" si="55"/>
        <v>6.5</v>
      </c>
      <c r="P263">
        <f t="shared" si="56"/>
        <v>455</v>
      </c>
      <c r="Q263">
        <f t="shared" si="61"/>
        <v>0</v>
      </c>
      <c r="R263">
        <v>0</v>
      </c>
    </row>
    <row r="264" spans="1:18" x14ac:dyDescent="0.3">
      <c r="A264" t="s">
        <v>1</v>
      </c>
      <c r="B264" s="1">
        <v>45101</v>
      </c>
      <c r="C264" t="s">
        <v>7</v>
      </c>
      <c r="D264" t="s">
        <v>14</v>
      </c>
      <c r="E264">
        <v>7</v>
      </c>
      <c r="F264">
        <v>16.2</v>
      </c>
      <c r="G264">
        <v>0</v>
      </c>
      <c r="H264">
        <f t="shared" si="53"/>
        <v>0.80000000000000071</v>
      </c>
      <c r="I264">
        <f t="shared" si="58"/>
        <v>0.80000000000000071</v>
      </c>
      <c r="J264">
        <f t="shared" si="59"/>
        <v>17</v>
      </c>
      <c r="K264">
        <f t="shared" si="54"/>
        <v>0.5</v>
      </c>
      <c r="L264">
        <f t="shared" si="57"/>
        <v>14.700000000000006</v>
      </c>
      <c r="M264">
        <f t="shared" si="60"/>
        <v>0.98360655737704927</v>
      </c>
      <c r="N264">
        <v>29</v>
      </c>
      <c r="O264">
        <f t="shared" si="55"/>
        <v>6.5</v>
      </c>
      <c r="P264">
        <f t="shared" si="56"/>
        <v>455</v>
      </c>
      <c r="Q264">
        <f t="shared" si="61"/>
        <v>0</v>
      </c>
      <c r="R264">
        <v>0</v>
      </c>
    </row>
    <row r="265" spans="1:18" x14ac:dyDescent="0.3">
      <c r="A265" t="s">
        <v>2</v>
      </c>
      <c r="B265" s="1">
        <v>45102</v>
      </c>
      <c r="C265" t="s">
        <v>7</v>
      </c>
      <c r="D265" t="s">
        <v>14</v>
      </c>
      <c r="E265">
        <v>7</v>
      </c>
      <c r="F265">
        <v>16.5</v>
      </c>
      <c r="G265">
        <v>0</v>
      </c>
      <c r="H265">
        <f t="shared" si="53"/>
        <v>0.5</v>
      </c>
      <c r="I265">
        <f t="shared" si="58"/>
        <v>0.5</v>
      </c>
      <c r="J265">
        <f t="shared" si="59"/>
        <v>17</v>
      </c>
      <c r="K265">
        <f>J265-F266</f>
        <v>0.5</v>
      </c>
      <c r="L265">
        <f t="shared" si="57"/>
        <v>15.200000000000006</v>
      </c>
      <c r="M265">
        <f t="shared" si="60"/>
        <v>0.98360655737704927</v>
      </c>
      <c r="N265">
        <v>30</v>
      </c>
      <c r="O265">
        <f t="shared" si="55"/>
        <v>6.5</v>
      </c>
      <c r="P265">
        <f t="shared" si="56"/>
        <v>455</v>
      </c>
      <c r="Q265">
        <f t="shared" si="61"/>
        <v>0</v>
      </c>
      <c r="R265">
        <v>0</v>
      </c>
    </row>
    <row r="266" spans="1:18" x14ac:dyDescent="0.3">
      <c r="A266" t="s">
        <v>3</v>
      </c>
      <c r="B266" s="1">
        <v>45103</v>
      </c>
      <c r="C266" t="s">
        <v>7</v>
      </c>
      <c r="D266" t="s">
        <v>14</v>
      </c>
      <c r="E266">
        <v>7</v>
      </c>
      <c r="F266">
        <v>16.5</v>
      </c>
      <c r="G266">
        <v>0.5</v>
      </c>
      <c r="H266">
        <f t="shared" si="53"/>
        <v>0</v>
      </c>
      <c r="I266">
        <f t="shared" si="58"/>
        <v>0.5</v>
      </c>
      <c r="J266">
        <f t="shared" si="59"/>
        <v>17</v>
      </c>
      <c r="K266">
        <f t="shared" si="54"/>
        <v>0.5</v>
      </c>
      <c r="L266">
        <f t="shared" si="57"/>
        <v>15.700000000000006</v>
      </c>
      <c r="M266">
        <f t="shared" si="60"/>
        <v>0.98360655737704927</v>
      </c>
      <c r="N266">
        <v>31</v>
      </c>
      <c r="O266">
        <f t="shared" si="55"/>
        <v>7</v>
      </c>
      <c r="P266">
        <f t="shared" si="56"/>
        <v>490</v>
      </c>
      <c r="Q266">
        <f t="shared" si="61"/>
        <v>0</v>
      </c>
      <c r="R266">
        <v>0</v>
      </c>
    </row>
    <row r="267" spans="1:18" x14ac:dyDescent="0.3">
      <c r="A267" t="s">
        <v>4</v>
      </c>
      <c r="B267" s="1">
        <v>45104</v>
      </c>
      <c r="C267" t="s">
        <v>7</v>
      </c>
      <c r="D267" t="s">
        <v>14</v>
      </c>
      <c r="E267">
        <v>7</v>
      </c>
      <c r="F267">
        <v>16.5</v>
      </c>
      <c r="G267">
        <v>0</v>
      </c>
      <c r="H267">
        <f t="shared" si="53"/>
        <v>0.5</v>
      </c>
      <c r="I267">
        <f t="shared" si="58"/>
        <v>0.5</v>
      </c>
      <c r="J267">
        <f t="shared" si="59"/>
        <v>17</v>
      </c>
      <c r="K267">
        <f t="shared" si="54"/>
        <v>0.60000000000000142</v>
      </c>
      <c r="L267">
        <f t="shared" si="57"/>
        <v>16.300000000000008</v>
      </c>
      <c r="M267">
        <f t="shared" si="60"/>
        <v>0.98360655737704927</v>
      </c>
      <c r="N267">
        <v>32</v>
      </c>
      <c r="O267">
        <f t="shared" si="55"/>
        <v>7</v>
      </c>
      <c r="P267">
        <f t="shared" si="56"/>
        <v>490</v>
      </c>
      <c r="Q267">
        <f t="shared" si="61"/>
        <v>0</v>
      </c>
      <c r="R267">
        <v>0</v>
      </c>
    </row>
    <row r="268" spans="1:18" x14ac:dyDescent="0.3">
      <c r="A268" t="s">
        <v>5</v>
      </c>
      <c r="B268" s="1">
        <v>45105</v>
      </c>
      <c r="C268" t="s">
        <v>7</v>
      </c>
      <c r="D268" t="s">
        <v>14</v>
      </c>
      <c r="E268">
        <v>7</v>
      </c>
      <c r="F268">
        <v>16.399999999999999</v>
      </c>
      <c r="G268">
        <v>0</v>
      </c>
      <c r="H268">
        <f t="shared" si="53"/>
        <v>0.60000000000000142</v>
      </c>
      <c r="I268">
        <f t="shared" si="58"/>
        <v>0.60000000000000142</v>
      </c>
      <c r="J268">
        <f t="shared" si="59"/>
        <v>17</v>
      </c>
      <c r="K268">
        <f t="shared" si="54"/>
        <v>0.60000000000000142</v>
      </c>
      <c r="L268">
        <f t="shared" si="57"/>
        <v>16.900000000000009</v>
      </c>
      <c r="M268">
        <f t="shared" si="60"/>
        <v>0.98360655737704927</v>
      </c>
      <c r="N268">
        <v>33</v>
      </c>
      <c r="O268">
        <f t="shared" si="55"/>
        <v>7</v>
      </c>
      <c r="P268">
        <f t="shared" si="56"/>
        <v>490</v>
      </c>
      <c r="Q268">
        <f t="shared" si="61"/>
        <v>0</v>
      </c>
      <c r="R268">
        <v>0</v>
      </c>
    </row>
    <row r="269" spans="1:18" x14ac:dyDescent="0.3">
      <c r="A269" t="s">
        <v>6</v>
      </c>
      <c r="B269" s="1">
        <v>45106</v>
      </c>
      <c r="C269" t="s">
        <v>7</v>
      </c>
      <c r="D269" t="s">
        <v>14</v>
      </c>
      <c r="E269">
        <v>7</v>
      </c>
      <c r="F269">
        <v>16.399999999999999</v>
      </c>
      <c r="G269">
        <v>0.5</v>
      </c>
      <c r="H269">
        <f t="shared" si="53"/>
        <v>0.10000000000000142</v>
      </c>
      <c r="I269">
        <f t="shared" si="58"/>
        <v>0.60000000000000142</v>
      </c>
      <c r="J269">
        <f t="shared" si="59"/>
        <v>17</v>
      </c>
      <c r="K269">
        <f t="shared" si="54"/>
        <v>0.60000000000000142</v>
      </c>
      <c r="L269">
        <f t="shared" si="57"/>
        <v>17.500000000000011</v>
      </c>
      <c r="M269">
        <f t="shared" si="60"/>
        <v>0.98360655737704927</v>
      </c>
      <c r="N269">
        <v>34</v>
      </c>
      <c r="O269">
        <f t="shared" si="55"/>
        <v>7.5</v>
      </c>
      <c r="P269">
        <f t="shared" si="56"/>
        <v>525</v>
      </c>
      <c r="Q269">
        <f t="shared" si="61"/>
        <v>0</v>
      </c>
      <c r="R269">
        <v>0</v>
      </c>
    </row>
    <row r="270" spans="1:18" x14ac:dyDescent="0.3">
      <c r="A270" t="s">
        <v>0</v>
      </c>
      <c r="B270" s="1">
        <v>45107</v>
      </c>
      <c r="C270" t="s">
        <v>7</v>
      </c>
      <c r="D270" t="s">
        <v>14</v>
      </c>
      <c r="E270">
        <v>7</v>
      </c>
      <c r="F270">
        <v>16.399999999999999</v>
      </c>
      <c r="G270">
        <v>0</v>
      </c>
      <c r="H270">
        <f t="shared" si="53"/>
        <v>0.60000000000000142</v>
      </c>
      <c r="I270">
        <f t="shared" si="58"/>
        <v>0.60000000000000142</v>
      </c>
      <c r="J270">
        <f t="shared" si="59"/>
        <v>17</v>
      </c>
      <c r="K270">
        <f t="shared" si="54"/>
        <v>0.39999999999999858</v>
      </c>
      <c r="L270">
        <f t="shared" si="57"/>
        <v>17.900000000000009</v>
      </c>
      <c r="M270">
        <f t="shared" si="60"/>
        <v>0.98360655737704927</v>
      </c>
      <c r="N270">
        <v>35</v>
      </c>
      <c r="O270">
        <f t="shared" si="55"/>
        <v>7.5</v>
      </c>
      <c r="P270">
        <f t="shared" si="56"/>
        <v>525</v>
      </c>
      <c r="Q270">
        <f t="shared" si="61"/>
        <v>0</v>
      </c>
      <c r="R270">
        <v>0</v>
      </c>
    </row>
    <row r="271" spans="1:18" x14ac:dyDescent="0.3">
      <c r="A271" t="s">
        <v>1</v>
      </c>
      <c r="B271" s="1">
        <v>45108</v>
      </c>
      <c r="C271" t="s">
        <v>7</v>
      </c>
      <c r="D271" t="s">
        <v>14</v>
      </c>
      <c r="E271">
        <v>7</v>
      </c>
      <c r="F271">
        <v>16.600000000000001</v>
      </c>
      <c r="G271">
        <v>0</v>
      </c>
      <c r="H271">
        <f t="shared" si="53"/>
        <v>0.39999999999999858</v>
      </c>
      <c r="I271">
        <f t="shared" si="58"/>
        <v>0.39999999999999858</v>
      </c>
      <c r="J271">
        <f t="shared" si="59"/>
        <v>17</v>
      </c>
      <c r="K271">
        <f t="shared" si="54"/>
        <v>0.30000000000000071</v>
      </c>
      <c r="L271">
        <f t="shared" si="57"/>
        <v>18.20000000000001</v>
      </c>
      <c r="M271">
        <f t="shared" si="60"/>
        <v>0.98360655737704927</v>
      </c>
      <c r="N271">
        <v>36</v>
      </c>
      <c r="O271">
        <f t="shared" si="55"/>
        <v>7.5</v>
      </c>
      <c r="P271">
        <f t="shared" si="56"/>
        <v>525</v>
      </c>
      <c r="Q271">
        <f t="shared" si="61"/>
        <v>0</v>
      </c>
      <c r="R271">
        <v>0</v>
      </c>
    </row>
    <row r="272" spans="1:18" x14ac:dyDescent="0.3">
      <c r="A272" t="s">
        <v>2</v>
      </c>
      <c r="B272" s="1">
        <v>45109</v>
      </c>
      <c r="C272" t="s">
        <v>7</v>
      </c>
      <c r="D272" t="s">
        <v>14</v>
      </c>
      <c r="E272">
        <v>7</v>
      </c>
      <c r="F272">
        <v>16.7</v>
      </c>
      <c r="G272">
        <v>0</v>
      </c>
      <c r="H272">
        <f t="shared" si="53"/>
        <v>0.30000000000000071</v>
      </c>
      <c r="I272">
        <f t="shared" si="58"/>
        <v>0.30000000000000071</v>
      </c>
      <c r="J272">
        <f t="shared" si="59"/>
        <v>17</v>
      </c>
      <c r="K272">
        <f t="shared" si="54"/>
        <v>0.5</v>
      </c>
      <c r="L272">
        <f t="shared" si="57"/>
        <v>18.70000000000001</v>
      </c>
      <c r="M272">
        <f t="shared" si="60"/>
        <v>0.98360655737704927</v>
      </c>
      <c r="N272">
        <v>37</v>
      </c>
      <c r="O272">
        <f t="shared" si="55"/>
        <v>7.5</v>
      </c>
      <c r="P272">
        <f t="shared" si="56"/>
        <v>525</v>
      </c>
      <c r="Q272">
        <f t="shared" si="61"/>
        <v>0</v>
      </c>
      <c r="R272">
        <v>0</v>
      </c>
    </row>
    <row r="273" spans="1:18" x14ac:dyDescent="0.3">
      <c r="A273" t="s">
        <v>3</v>
      </c>
      <c r="B273" s="1">
        <v>45110</v>
      </c>
      <c r="C273" t="s">
        <v>7</v>
      </c>
      <c r="D273" t="s">
        <v>14</v>
      </c>
      <c r="E273">
        <v>7</v>
      </c>
      <c r="F273">
        <v>16.5</v>
      </c>
      <c r="G273">
        <v>0</v>
      </c>
      <c r="H273">
        <f t="shared" si="53"/>
        <v>0.5</v>
      </c>
      <c r="I273">
        <f t="shared" si="58"/>
        <v>0.5</v>
      </c>
      <c r="J273">
        <f t="shared" si="59"/>
        <v>17</v>
      </c>
      <c r="K273">
        <f t="shared" si="54"/>
        <v>0.39999999999999858</v>
      </c>
      <c r="L273">
        <f t="shared" si="57"/>
        <v>19.100000000000009</v>
      </c>
      <c r="M273">
        <f t="shared" si="60"/>
        <v>0.98360655737704927</v>
      </c>
      <c r="N273">
        <v>38</v>
      </c>
      <c r="O273">
        <f t="shared" si="55"/>
        <v>7.5</v>
      </c>
      <c r="P273">
        <f t="shared" si="56"/>
        <v>525</v>
      </c>
      <c r="Q273">
        <f t="shared" si="61"/>
        <v>0</v>
      </c>
      <c r="R273">
        <v>0</v>
      </c>
    </row>
    <row r="274" spans="1:18" x14ac:dyDescent="0.3">
      <c r="A274" t="s">
        <v>4</v>
      </c>
      <c r="B274" s="1">
        <v>45111</v>
      </c>
      <c r="C274" t="s">
        <v>7</v>
      </c>
      <c r="D274" t="s">
        <v>14</v>
      </c>
      <c r="E274">
        <v>7</v>
      </c>
      <c r="F274">
        <v>16.600000000000001</v>
      </c>
      <c r="Q274">
        <f t="shared" si="61"/>
        <v>0</v>
      </c>
      <c r="R274">
        <v>0</v>
      </c>
    </row>
    <row r="275" spans="1:18" x14ac:dyDescent="0.3">
      <c r="A275" t="s">
        <v>1</v>
      </c>
      <c r="B275" s="1">
        <v>45073</v>
      </c>
      <c r="C275" t="s">
        <v>7</v>
      </c>
      <c r="D275" t="s">
        <v>14</v>
      </c>
      <c r="E275">
        <v>8</v>
      </c>
      <c r="F275">
        <v>17</v>
      </c>
      <c r="G275">
        <v>0</v>
      </c>
      <c r="H275">
        <f>17-F275-G275</f>
        <v>0</v>
      </c>
      <c r="I275">
        <f t="shared" si="58"/>
        <v>0</v>
      </c>
      <c r="J275">
        <f t="shared" si="59"/>
        <v>17</v>
      </c>
      <c r="K275">
        <f>J275-F276</f>
        <v>0.39999999999999858</v>
      </c>
      <c r="M275">
        <f t="shared" ref="M275:M312" si="62">(J275-11)/6.1</f>
        <v>0.98360655737704927</v>
      </c>
      <c r="N275">
        <v>1</v>
      </c>
      <c r="O275">
        <v>2.5</v>
      </c>
      <c r="P275">
        <f>O275*70</f>
        <v>175</v>
      </c>
      <c r="Q275">
        <f t="shared" si="61"/>
        <v>0</v>
      </c>
      <c r="R275">
        <v>0</v>
      </c>
    </row>
    <row r="276" spans="1:18" x14ac:dyDescent="0.3">
      <c r="A276" t="s">
        <v>2</v>
      </c>
      <c r="B276" s="1">
        <v>45074</v>
      </c>
      <c r="C276" t="s">
        <v>7</v>
      </c>
      <c r="D276" t="s">
        <v>14</v>
      </c>
      <c r="E276">
        <v>8</v>
      </c>
      <c r="F276">
        <v>16.600000000000001</v>
      </c>
      <c r="G276">
        <v>0</v>
      </c>
      <c r="H276">
        <f t="shared" ref="H276:H312" si="63">17-F276-G276</f>
        <v>0.39999999999999858</v>
      </c>
      <c r="I276">
        <f t="shared" si="58"/>
        <v>0.39999999999999858</v>
      </c>
      <c r="J276">
        <f t="shared" si="59"/>
        <v>17</v>
      </c>
      <c r="K276">
        <f t="shared" ref="K276:K312" si="64">J276-F277</f>
        <v>0.39999999999999858</v>
      </c>
      <c r="L276">
        <f>K275+K276</f>
        <v>0.79999999999999716</v>
      </c>
      <c r="M276">
        <f t="shared" si="62"/>
        <v>0.98360655737704927</v>
      </c>
      <c r="N276">
        <v>2</v>
      </c>
      <c r="O276">
        <f t="shared" ref="O276:O312" si="65">O275+G276</f>
        <v>2.5</v>
      </c>
      <c r="P276">
        <f t="shared" ref="P276:P312" si="66">O276*70</f>
        <v>175</v>
      </c>
      <c r="Q276">
        <f t="shared" si="61"/>
        <v>0</v>
      </c>
      <c r="R276">
        <v>0</v>
      </c>
    </row>
    <row r="277" spans="1:18" x14ac:dyDescent="0.3">
      <c r="A277" t="s">
        <v>3</v>
      </c>
      <c r="B277" s="1">
        <v>45075</v>
      </c>
      <c r="C277" t="s">
        <v>7</v>
      </c>
      <c r="D277" t="s">
        <v>14</v>
      </c>
      <c r="E277">
        <v>8</v>
      </c>
      <c r="F277">
        <v>16.600000000000001</v>
      </c>
      <c r="G277">
        <v>0.25</v>
      </c>
      <c r="H277">
        <f t="shared" si="63"/>
        <v>0.14999999999999858</v>
      </c>
      <c r="I277">
        <f t="shared" si="58"/>
        <v>0.39999999999999858</v>
      </c>
      <c r="J277">
        <f t="shared" si="59"/>
        <v>17</v>
      </c>
      <c r="K277">
        <f t="shared" si="64"/>
        <v>0.60000000000000142</v>
      </c>
      <c r="L277">
        <f>L276+K277</f>
        <v>1.3999999999999986</v>
      </c>
      <c r="M277">
        <f t="shared" si="62"/>
        <v>0.98360655737704927</v>
      </c>
      <c r="N277">
        <v>3</v>
      </c>
      <c r="O277">
        <f t="shared" si="65"/>
        <v>2.75</v>
      </c>
      <c r="P277">
        <f t="shared" si="66"/>
        <v>192.5</v>
      </c>
      <c r="Q277">
        <f t="shared" si="61"/>
        <v>0</v>
      </c>
      <c r="R277">
        <v>0</v>
      </c>
    </row>
    <row r="278" spans="1:18" x14ac:dyDescent="0.3">
      <c r="A278" t="s">
        <v>4</v>
      </c>
      <c r="B278" s="1">
        <v>45076</v>
      </c>
      <c r="C278" t="s">
        <v>7</v>
      </c>
      <c r="D278" t="s">
        <v>14</v>
      </c>
      <c r="E278">
        <v>8</v>
      </c>
      <c r="F278">
        <v>16.399999999999999</v>
      </c>
      <c r="G278">
        <v>0.25</v>
      </c>
      <c r="H278">
        <f t="shared" si="63"/>
        <v>0.35000000000000142</v>
      </c>
      <c r="I278">
        <f t="shared" si="58"/>
        <v>0.60000000000000142</v>
      </c>
      <c r="J278">
        <f t="shared" si="59"/>
        <v>17</v>
      </c>
      <c r="K278">
        <f t="shared" si="64"/>
        <v>0.39999999999999858</v>
      </c>
      <c r="L278">
        <f t="shared" ref="L278:L312" si="67">L277+K278</f>
        <v>1.7999999999999972</v>
      </c>
      <c r="M278">
        <f t="shared" si="62"/>
        <v>0.98360655737704927</v>
      </c>
      <c r="N278">
        <v>4</v>
      </c>
      <c r="O278">
        <f t="shared" si="65"/>
        <v>3</v>
      </c>
      <c r="P278">
        <f t="shared" si="66"/>
        <v>210</v>
      </c>
      <c r="Q278">
        <f t="shared" si="61"/>
        <v>0</v>
      </c>
      <c r="R278">
        <v>0</v>
      </c>
    </row>
    <row r="279" spans="1:18" x14ac:dyDescent="0.3">
      <c r="A279" t="s">
        <v>5</v>
      </c>
      <c r="B279" s="1">
        <v>45077</v>
      </c>
      <c r="C279" t="s">
        <v>7</v>
      </c>
      <c r="D279" t="s">
        <v>14</v>
      </c>
      <c r="E279">
        <v>8</v>
      </c>
      <c r="F279">
        <v>16.600000000000001</v>
      </c>
      <c r="G279">
        <v>0</v>
      </c>
      <c r="H279">
        <f t="shared" si="63"/>
        <v>0.39999999999999858</v>
      </c>
      <c r="I279">
        <f t="shared" si="58"/>
        <v>0.39999999999999858</v>
      </c>
      <c r="J279">
        <f t="shared" si="59"/>
        <v>17</v>
      </c>
      <c r="K279">
        <f t="shared" si="64"/>
        <v>0.60000000000000142</v>
      </c>
      <c r="L279">
        <f t="shared" si="67"/>
        <v>2.3999999999999986</v>
      </c>
      <c r="M279">
        <f t="shared" si="62"/>
        <v>0.98360655737704927</v>
      </c>
      <c r="N279">
        <v>5</v>
      </c>
      <c r="O279">
        <f t="shared" si="65"/>
        <v>3</v>
      </c>
      <c r="P279">
        <f t="shared" si="66"/>
        <v>210</v>
      </c>
      <c r="Q279">
        <f t="shared" si="61"/>
        <v>0</v>
      </c>
      <c r="R279">
        <v>0</v>
      </c>
    </row>
    <row r="280" spans="1:18" x14ac:dyDescent="0.3">
      <c r="A280" t="s">
        <v>6</v>
      </c>
      <c r="B280" s="1">
        <v>45078</v>
      </c>
      <c r="C280" t="s">
        <v>7</v>
      </c>
      <c r="D280" t="s">
        <v>14</v>
      </c>
      <c r="E280">
        <v>8</v>
      </c>
      <c r="F280">
        <v>16.399999999999999</v>
      </c>
      <c r="G280">
        <v>0.25</v>
      </c>
      <c r="H280">
        <f t="shared" si="63"/>
        <v>0.35000000000000142</v>
      </c>
      <c r="I280">
        <f t="shared" si="58"/>
        <v>0.60000000000000142</v>
      </c>
      <c r="J280">
        <f t="shared" si="59"/>
        <v>17</v>
      </c>
      <c r="K280">
        <f t="shared" si="64"/>
        <v>0.19999999999999929</v>
      </c>
      <c r="L280">
        <f t="shared" si="67"/>
        <v>2.5999999999999979</v>
      </c>
      <c r="M280">
        <f t="shared" si="62"/>
        <v>0.98360655737704927</v>
      </c>
      <c r="N280">
        <v>6</v>
      </c>
      <c r="O280">
        <f t="shared" si="65"/>
        <v>3.25</v>
      </c>
      <c r="P280">
        <f t="shared" si="66"/>
        <v>227.5</v>
      </c>
      <c r="Q280">
        <f t="shared" si="61"/>
        <v>0</v>
      </c>
      <c r="R280">
        <v>0</v>
      </c>
    </row>
    <row r="281" spans="1:18" x14ac:dyDescent="0.3">
      <c r="A281" t="s">
        <v>0</v>
      </c>
      <c r="B281" s="1">
        <v>45079</v>
      </c>
      <c r="C281" t="s">
        <v>7</v>
      </c>
      <c r="D281" t="s">
        <v>14</v>
      </c>
      <c r="E281">
        <v>8</v>
      </c>
      <c r="F281">
        <v>16.8</v>
      </c>
      <c r="G281">
        <v>0.25</v>
      </c>
      <c r="H281">
        <v>0</v>
      </c>
      <c r="I281">
        <f t="shared" si="58"/>
        <v>0.25</v>
      </c>
      <c r="J281">
        <f t="shared" si="59"/>
        <v>17.05</v>
      </c>
      <c r="K281">
        <f t="shared" si="64"/>
        <v>0.15000000000000213</v>
      </c>
      <c r="L281">
        <f t="shared" si="67"/>
        <v>2.75</v>
      </c>
      <c r="M281">
        <f t="shared" si="62"/>
        <v>0.9918032786885248</v>
      </c>
      <c r="N281">
        <v>7</v>
      </c>
      <c r="O281">
        <f t="shared" si="65"/>
        <v>3.5</v>
      </c>
      <c r="P281">
        <f t="shared" si="66"/>
        <v>245</v>
      </c>
      <c r="Q281">
        <f t="shared" si="61"/>
        <v>0</v>
      </c>
      <c r="R281">
        <v>0</v>
      </c>
    </row>
    <row r="282" spans="1:18" x14ac:dyDescent="0.3">
      <c r="A282" t="s">
        <v>1</v>
      </c>
      <c r="B282" s="1">
        <v>45080</v>
      </c>
      <c r="C282" t="s">
        <v>7</v>
      </c>
      <c r="D282" t="s">
        <v>14</v>
      </c>
      <c r="E282">
        <v>8</v>
      </c>
      <c r="F282">
        <v>16.899999999999999</v>
      </c>
      <c r="G282">
        <v>0</v>
      </c>
      <c r="H282">
        <f t="shared" si="63"/>
        <v>0.10000000000000142</v>
      </c>
      <c r="I282">
        <f t="shared" si="58"/>
        <v>0.10000000000000142</v>
      </c>
      <c r="J282">
        <f t="shared" si="59"/>
        <v>17</v>
      </c>
      <c r="K282">
        <f t="shared" si="64"/>
        <v>0.30000000000000071</v>
      </c>
      <c r="L282">
        <f t="shared" si="67"/>
        <v>3.0500000000000007</v>
      </c>
      <c r="M282">
        <f t="shared" si="62"/>
        <v>0.98360655737704927</v>
      </c>
      <c r="N282">
        <v>8</v>
      </c>
      <c r="O282">
        <f t="shared" si="65"/>
        <v>3.5</v>
      </c>
      <c r="P282">
        <f t="shared" si="66"/>
        <v>245</v>
      </c>
      <c r="Q282">
        <f t="shared" si="61"/>
        <v>0</v>
      </c>
      <c r="R282">
        <v>0</v>
      </c>
    </row>
    <row r="283" spans="1:18" x14ac:dyDescent="0.3">
      <c r="A283" t="s">
        <v>2</v>
      </c>
      <c r="B283" s="1">
        <v>45081</v>
      </c>
      <c r="C283" t="s">
        <v>7</v>
      </c>
      <c r="D283" t="s">
        <v>14</v>
      </c>
      <c r="E283">
        <v>8</v>
      </c>
      <c r="F283">
        <v>16.7</v>
      </c>
      <c r="G283">
        <v>0</v>
      </c>
      <c r="H283">
        <f t="shared" si="63"/>
        <v>0.30000000000000071</v>
      </c>
      <c r="I283">
        <f t="shared" si="58"/>
        <v>0.30000000000000071</v>
      </c>
      <c r="J283">
        <f t="shared" si="59"/>
        <v>17</v>
      </c>
      <c r="K283">
        <f t="shared" si="64"/>
        <v>0.39999999999999858</v>
      </c>
      <c r="L283">
        <f t="shared" si="67"/>
        <v>3.4499999999999993</v>
      </c>
      <c r="M283">
        <f t="shared" si="62"/>
        <v>0.98360655737704927</v>
      </c>
      <c r="N283">
        <v>9</v>
      </c>
      <c r="O283">
        <f t="shared" si="65"/>
        <v>3.5</v>
      </c>
      <c r="P283">
        <f t="shared" si="66"/>
        <v>245</v>
      </c>
      <c r="Q283">
        <f t="shared" si="61"/>
        <v>0</v>
      </c>
      <c r="R283">
        <v>0</v>
      </c>
    </row>
    <row r="284" spans="1:18" x14ac:dyDescent="0.3">
      <c r="A284" t="s">
        <v>3</v>
      </c>
      <c r="B284" s="1">
        <v>45082</v>
      </c>
      <c r="C284" t="s">
        <v>7</v>
      </c>
      <c r="D284" t="s">
        <v>14</v>
      </c>
      <c r="E284">
        <v>8</v>
      </c>
      <c r="F284">
        <v>16.600000000000001</v>
      </c>
      <c r="G284">
        <v>0.25</v>
      </c>
      <c r="H284">
        <f t="shared" si="63"/>
        <v>0.14999999999999858</v>
      </c>
      <c r="I284">
        <f t="shared" si="58"/>
        <v>0.39999999999999858</v>
      </c>
      <c r="J284">
        <f t="shared" si="59"/>
        <v>17</v>
      </c>
      <c r="K284">
        <f t="shared" si="64"/>
        <v>0.30000000000000071</v>
      </c>
      <c r="L284">
        <f t="shared" si="67"/>
        <v>3.75</v>
      </c>
      <c r="M284">
        <f t="shared" si="62"/>
        <v>0.98360655737704927</v>
      </c>
      <c r="N284">
        <v>10</v>
      </c>
      <c r="O284">
        <f t="shared" si="65"/>
        <v>3.75</v>
      </c>
      <c r="P284">
        <f t="shared" si="66"/>
        <v>262.5</v>
      </c>
      <c r="Q284">
        <f t="shared" si="61"/>
        <v>0</v>
      </c>
      <c r="R284">
        <v>0</v>
      </c>
    </row>
    <row r="285" spans="1:18" x14ac:dyDescent="0.3">
      <c r="A285" t="s">
        <v>4</v>
      </c>
      <c r="B285" s="1">
        <v>45083</v>
      </c>
      <c r="C285" t="s">
        <v>7</v>
      </c>
      <c r="D285" t="s">
        <v>14</v>
      </c>
      <c r="E285">
        <v>8</v>
      </c>
      <c r="F285">
        <v>16.7</v>
      </c>
      <c r="G285">
        <v>0.25</v>
      </c>
      <c r="H285">
        <f t="shared" si="63"/>
        <v>5.0000000000000711E-2</v>
      </c>
      <c r="I285">
        <f t="shared" si="58"/>
        <v>0.30000000000000071</v>
      </c>
      <c r="J285">
        <f t="shared" si="59"/>
        <v>17</v>
      </c>
      <c r="K285">
        <f t="shared" si="64"/>
        <v>0.60000000000000142</v>
      </c>
      <c r="L285">
        <f t="shared" si="67"/>
        <v>4.3500000000000014</v>
      </c>
      <c r="M285">
        <f t="shared" si="62"/>
        <v>0.98360655737704927</v>
      </c>
      <c r="N285">
        <v>11</v>
      </c>
      <c r="O285">
        <f t="shared" si="65"/>
        <v>4</v>
      </c>
      <c r="P285">
        <f t="shared" si="66"/>
        <v>280</v>
      </c>
      <c r="Q285">
        <f t="shared" si="61"/>
        <v>0</v>
      </c>
      <c r="R285">
        <v>0</v>
      </c>
    </row>
    <row r="286" spans="1:18" x14ac:dyDescent="0.3">
      <c r="A286" t="s">
        <v>5</v>
      </c>
      <c r="B286" s="1">
        <v>45084</v>
      </c>
      <c r="C286" t="s">
        <v>7</v>
      </c>
      <c r="D286" t="s">
        <v>14</v>
      </c>
      <c r="E286">
        <v>8</v>
      </c>
      <c r="F286">
        <v>16.399999999999999</v>
      </c>
      <c r="G286">
        <v>0</v>
      </c>
      <c r="H286">
        <f t="shared" si="63"/>
        <v>0.60000000000000142</v>
      </c>
      <c r="I286">
        <f t="shared" si="58"/>
        <v>0.60000000000000142</v>
      </c>
      <c r="J286">
        <f t="shared" si="59"/>
        <v>17</v>
      </c>
      <c r="K286">
        <f t="shared" si="64"/>
        <v>0.5</v>
      </c>
      <c r="L286">
        <f t="shared" si="67"/>
        <v>4.8500000000000014</v>
      </c>
      <c r="M286">
        <f t="shared" si="62"/>
        <v>0.98360655737704927</v>
      </c>
      <c r="N286">
        <v>12</v>
      </c>
      <c r="O286">
        <f t="shared" si="65"/>
        <v>4</v>
      </c>
      <c r="P286">
        <f t="shared" si="66"/>
        <v>280</v>
      </c>
      <c r="Q286">
        <f t="shared" si="61"/>
        <v>0</v>
      </c>
      <c r="R286">
        <v>0</v>
      </c>
    </row>
    <row r="287" spans="1:18" x14ac:dyDescent="0.3">
      <c r="A287" t="s">
        <v>6</v>
      </c>
      <c r="B287" s="1">
        <v>45085</v>
      </c>
      <c r="C287" t="s">
        <v>7</v>
      </c>
      <c r="D287" t="s">
        <v>14</v>
      </c>
      <c r="E287">
        <v>8</v>
      </c>
      <c r="F287">
        <v>16.5</v>
      </c>
      <c r="G287">
        <v>0.25</v>
      </c>
      <c r="H287">
        <f t="shared" si="63"/>
        <v>0.25</v>
      </c>
      <c r="I287">
        <f t="shared" si="58"/>
        <v>0.5</v>
      </c>
      <c r="J287">
        <f t="shared" si="59"/>
        <v>17</v>
      </c>
      <c r="K287">
        <f t="shared" si="64"/>
        <v>0.5</v>
      </c>
      <c r="L287">
        <f t="shared" si="67"/>
        <v>5.3500000000000014</v>
      </c>
      <c r="M287">
        <f t="shared" si="62"/>
        <v>0.98360655737704927</v>
      </c>
      <c r="N287">
        <v>13</v>
      </c>
      <c r="O287">
        <f t="shared" si="65"/>
        <v>4.25</v>
      </c>
      <c r="P287">
        <f t="shared" si="66"/>
        <v>297.5</v>
      </c>
      <c r="Q287">
        <f t="shared" si="61"/>
        <v>0</v>
      </c>
      <c r="R287">
        <v>0</v>
      </c>
    </row>
    <row r="288" spans="1:18" x14ac:dyDescent="0.3">
      <c r="A288" t="s">
        <v>0</v>
      </c>
      <c r="B288" s="1">
        <v>45086</v>
      </c>
      <c r="C288" t="s">
        <v>7</v>
      </c>
      <c r="D288" t="s">
        <v>14</v>
      </c>
      <c r="E288">
        <v>8</v>
      </c>
      <c r="F288">
        <v>16.5</v>
      </c>
      <c r="G288">
        <v>0.25</v>
      </c>
      <c r="H288">
        <f t="shared" si="63"/>
        <v>0.25</v>
      </c>
      <c r="I288">
        <f t="shared" si="58"/>
        <v>0.5</v>
      </c>
      <c r="J288">
        <f t="shared" si="59"/>
        <v>17</v>
      </c>
      <c r="K288">
        <f t="shared" si="64"/>
        <v>0.60000000000000142</v>
      </c>
      <c r="L288">
        <f t="shared" si="67"/>
        <v>5.9500000000000028</v>
      </c>
      <c r="M288">
        <f t="shared" si="62"/>
        <v>0.98360655737704927</v>
      </c>
      <c r="N288">
        <v>14</v>
      </c>
      <c r="O288">
        <f t="shared" si="65"/>
        <v>4.5</v>
      </c>
      <c r="P288">
        <f t="shared" si="66"/>
        <v>315</v>
      </c>
      <c r="Q288">
        <f t="shared" si="61"/>
        <v>0</v>
      </c>
      <c r="R288">
        <v>0</v>
      </c>
    </row>
    <row r="289" spans="1:18" x14ac:dyDescent="0.3">
      <c r="A289" t="s">
        <v>1</v>
      </c>
      <c r="B289" s="1">
        <v>45087</v>
      </c>
      <c r="C289" t="s">
        <v>7</v>
      </c>
      <c r="D289" t="s">
        <v>14</v>
      </c>
      <c r="E289">
        <v>8</v>
      </c>
      <c r="F289">
        <v>16.399999999999999</v>
      </c>
      <c r="G289">
        <v>0</v>
      </c>
      <c r="H289">
        <f t="shared" si="63"/>
        <v>0.60000000000000142</v>
      </c>
      <c r="I289">
        <f t="shared" si="58"/>
        <v>0.60000000000000142</v>
      </c>
      <c r="J289">
        <f t="shared" si="59"/>
        <v>17</v>
      </c>
      <c r="K289">
        <f t="shared" si="64"/>
        <v>0.80000000000000071</v>
      </c>
      <c r="L289">
        <f t="shared" si="67"/>
        <v>6.7500000000000036</v>
      </c>
      <c r="M289">
        <f t="shared" si="62"/>
        <v>0.98360655737704927</v>
      </c>
      <c r="N289">
        <v>15</v>
      </c>
      <c r="O289">
        <f t="shared" si="65"/>
        <v>4.5</v>
      </c>
      <c r="P289">
        <f t="shared" si="66"/>
        <v>315</v>
      </c>
      <c r="Q289">
        <f t="shared" si="61"/>
        <v>0</v>
      </c>
      <c r="R289">
        <v>0</v>
      </c>
    </row>
    <row r="290" spans="1:18" x14ac:dyDescent="0.3">
      <c r="A290" t="s">
        <v>2</v>
      </c>
      <c r="B290" s="1">
        <v>45088</v>
      </c>
      <c r="C290" t="s">
        <v>7</v>
      </c>
      <c r="D290" t="s">
        <v>14</v>
      </c>
      <c r="E290">
        <v>8</v>
      </c>
      <c r="F290">
        <v>16.2</v>
      </c>
      <c r="G290">
        <v>0</v>
      </c>
      <c r="H290">
        <f t="shared" si="63"/>
        <v>0.80000000000000071</v>
      </c>
      <c r="I290">
        <f t="shared" si="58"/>
        <v>0.80000000000000071</v>
      </c>
      <c r="J290">
        <f t="shared" si="59"/>
        <v>17</v>
      </c>
      <c r="K290">
        <f t="shared" si="64"/>
        <v>0.60000000000000142</v>
      </c>
      <c r="L290">
        <f t="shared" si="67"/>
        <v>7.350000000000005</v>
      </c>
      <c r="M290">
        <f t="shared" si="62"/>
        <v>0.98360655737704927</v>
      </c>
      <c r="N290">
        <v>16</v>
      </c>
      <c r="O290">
        <f t="shared" si="65"/>
        <v>4.5</v>
      </c>
      <c r="P290">
        <f t="shared" si="66"/>
        <v>315</v>
      </c>
      <c r="Q290">
        <f t="shared" si="61"/>
        <v>0</v>
      </c>
      <c r="R290">
        <v>0</v>
      </c>
    </row>
    <row r="291" spans="1:18" x14ac:dyDescent="0.3">
      <c r="A291" t="s">
        <v>3</v>
      </c>
      <c r="B291" s="1">
        <v>45089</v>
      </c>
      <c r="C291" t="s">
        <v>7</v>
      </c>
      <c r="D291" t="s">
        <v>14</v>
      </c>
      <c r="E291">
        <v>8</v>
      </c>
      <c r="F291">
        <v>16.399999999999999</v>
      </c>
      <c r="G291">
        <v>0.5</v>
      </c>
      <c r="H291">
        <f t="shared" si="63"/>
        <v>0.10000000000000142</v>
      </c>
      <c r="I291">
        <f t="shared" si="58"/>
        <v>0.60000000000000142</v>
      </c>
      <c r="J291">
        <f t="shared" si="59"/>
        <v>17</v>
      </c>
      <c r="K291">
        <f t="shared" si="64"/>
        <v>0.19999999999999929</v>
      </c>
      <c r="L291">
        <f t="shared" si="67"/>
        <v>7.5500000000000043</v>
      </c>
      <c r="M291">
        <f t="shared" si="62"/>
        <v>0.98360655737704927</v>
      </c>
      <c r="N291">
        <v>17</v>
      </c>
      <c r="O291">
        <f t="shared" si="65"/>
        <v>5</v>
      </c>
      <c r="P291">
        <f t="shared" si="66"/>
        <v>350</v>
      </c>
      <c r="Q291">
        <f t="shared" si="61"/>
        <v>0</v>
      </c>
      <c r="R291">
        <v>0</v>
      </c>
    </row>
    <row r="292" spans="1:18" x14ac:dyDescent="0.3">
      <c r="A292" t="s">
        <v>4</v>
      </c>
      <c r="B292" s="1">
        <v>45090</v>
      </c>
      <c r="C292" t="s">
        <v>7</v>
      </c>
      <c r="D292" t="s">
        <v>14</v>
      </c>
      <c r="E292">
        <v>8</v>
      </c>
      <c r="F292">
        <v>16.8</v>
      </c>
      <c r="G292">
        <v>0</v>
      </c>
      <c r="H292">
        <f t="shared" si="63"/>
        <v>0.19999999999999929</v>
      </c>
      <c r="I292">
        <f t="shared" si="58"/>
        <v>0.19999999999999929</v>
      </c>
      <c r="J292">
        <f t="shared" si="59"/>
        <v>17</v>
      </c>
      <c r="K292">
        <f t="shared" si="64"/>
        <v>0.5</v>
      </c>
      <c r="L292">
        <f t="shared" si="67"/>
        <v>8.0500000000000043</v>
      </c>
      <c r="M292">
        <f t="shared" si="62"/>
        <v>0.98360655737704927</v>
      </c>
      <c r="N292">
        <v>18</v>
      </c>
      <c r="O292">
        <f t="shared" si="65"/>
        <v>5</v>
      </c>
      <c r="P292">
        <f t="shared" si="66"/>
        <v>350</v>
      </c>
      <c r="Q292">
        <f t="shared" si="61"/>
        <v>0</v>
      </c>
      <c r="R292">
        <v>0</v>
      </c>
    </row>
    <row r="293" spans="1:18" x14ac:dyDescent="0.3">
      <c r="A293" t="s">
        <v>5</v>
      </c>
      <c r="B293" s="1">
        <v>45091</v>
      </c>
      <c r="C293" t="s">
        <v>7</v>
      </c>
      <c r="D293" t="s">
        <v>14</v>
      </c>
      <c r="E293">
        <v>8</v>
      </c>
      <c r="F293">
        <v>16.5</v>
      </c>
      <c r="G293">
        <v>0</v>
      </c>
      <c r="H293">
        <f t="shared" si="63"/>
        <v>0.5</v>
      </c>
      <c r="I293">
        <f t="shared" si="58"/>
        <v>0.5</v>
      </c>
      <c r="J293">
        <f t="shared" si="59"/>
        <v>17</v>
      </c>
      <c r="K293">
        <f t="shared" si="64"/>
        <v>0.60000000000000142</v>
      </c>
      <c r="L293">
        <f t="shared" si="67"/>
        <v>8.6500000000000057</v>
      </c>
      <c r="M293">
        <f t="shared" si="62"/>
        <v>0.98360655737704927</v>
      </c>
      <c r="N293">
        <v>19</v>
      </c>
      <c r="O293">
        <f t="shared" si="65"/>
        <v>5</v>
      </c>
      <c r="P293">
        <f t="shared" si="66"/>
        <v>350</v>
      </c>
      <c r="Q293">
        <f t="shared" si="61"/>
        <v>0</v>
      </c>
      <c r="R293">
        <v>0</v>
      </c>
    </row>
    <row r="294" spans="1:18" x14ac:dyDescent="0.3">
      <c r="A294" t="s">
        <v>6</v>
      </c>
      <c r="B294" s="1">
        <v>45092</v>
      </c>
      <c r="C294" t="s">
        <v>7</v>
      </c>
      <c r="D294" t="s">
        <v>14</v>
      </c>
      <c r="E294">
        <v>8</v>
      </c>
      <c r="F294">
        <v>16.399999999999999</v>
      </c>
      <c r="G294">
        <v>0.5</v>
      </c>
      <c r="H294">
        <f t="shared" si="63"/>
        <v>0.10000000000000142</v>
      </c>
      <c r="I294">
        <f t="shared" si="58"/>
        <v>0.60000000000000142</v>
      </c>
      <c r="J294">
        <f t="shared" si="59"/>
        <v>17</v>
      </c>
      <c r="K294">
        <f t="shared" si="64"/>
        <v>0.69999999999999929</v>
      </c>
      <c r="L294">
        <f t="shared" si="67"/>
        <v>9.350000000000005</v>
      </c>
      <c r="M294">
        <f t="shared" si="62"/>
        <v>0.98360655737704927</v>
      </c>
      <c r="N294">
        <v>20</v>
      </c>
      <c r="O294">
        <f t="shared" si="65"/>
        <v>5.5</v>
      </c>
      <c r="P294">
        <f t="shared" si="66"/>
        <v>385</v>
      </c>
      <c r="Q294">
        <f t="shared" si="61"/>
        <v>0</v>
      </c>
      <c r="R294">
        <v>0</v>
      </c>
    </row>
    <row r="295" spans="1:18" x14ac:dyDescent="0.3">
      <c r="A295" t="s">
        <v>0</v>
      </c>
      <c r="B295" s="1">
        <v>45093</v>
      </c>
      <c r="C295" t="s">
        <v>7</v>
      </c>
      <c r="D295" t="s">
        <v>14</v>
      </c>
      <c r="E295">
        <v>8</v>
      </c>
      <c r="F295">
        <v>16.3</v>
      </c>
      <c r="G295">
        <v>0</v>
      </c>
      <c r="H295">
        <f t="shared" si="63"/>
        <v>0.69999999999999929</v>
      </c>
      <c r="I295">
        <f t="shared" si="58"/>
        <v>0.69999999999999929</v>
      </c>
      <c r="J295">
        <f t="shared" si="59"/>
        <v>17</v>
      </c>
      <c r="K295">
        <f t="shared" si="64"/>
        <v>0.60000000000000142</v>
      </c>
      <c r="L295">
        <f t="shared" si="67"/>
        <v>9.9500000000000064</v>
      </c>
      <c r="M295">
        <f t="shared" si="62"/>
        <v>0.98360655737704927</v>
      </c>
      <c r="N295">
        <v>21</v>
      </c>
      <c r="O295">
        <f t="shared" si="65"/>
        <v>5.5</v>
      </c>
      <c r="P295">
        <f t="shared" si="66"/>
        <v>385</v>
      </c>
      <c r="Q295">
        <f t="shared" si="61"/>
        <v>0</v>
      </c>
      <c r="R295">
        <v>0</v>
      </c>
    </row>
    <row r="296" spans="1:18" x14ac:dyDescent="0.3">
      <c r="A296" t="s">
        <v>1</v>
      </c>
      <c r="B296" s="1">
        <v>45094</v>
      </c>
      <c r="C296" t="s">
        <v>7</v>
      </c>
      <c r="D296" t="s">
        <v>14</v>
      </c>
      <c r="E296">
        <v>8</v>
      </c>
      <c r="F296">
        <v>16.399999999999999</v>
      </c>
      <c r="G296">
        <v>0</v>
      </c>
      <c r="H296">
        <f t="shared" si="63"/>
        <v>0.60000000000000142</v>
      </c>
      <c r="I296">
        <f t="shared" si="58"/>
        <v>0.60000000000000142</v>
      </c>
      <c r="J296">
        <f t="shared" si="59"/>
        <v>17</v>
      </c>
      <c r="K296">
        <f t="shared" si="64"/>
        <v>0.30000000000000071</v>
      </c>
      <c r="L296">
        <f t="shared" si="67"/>
        <v>10.250000000000007</v>
      </c>
      <c r="M296">
        <f t="shared" si="62"/>
        <v>0.98360655737704927</v>
      </c>
      <c r="N296">
        <v>22</v>
      </c>
      <c r="O296">
        <f t="shared" si="65"/>
        <v>5.5</v>
      </c>
      <c r="P296">
        <f t="shared" si="66"/>
        <v>385</v>
      </c>
      <c r="Q296">
        <f t="shared" si="61"/>
        <v>0</v>
      </c>
      <c r="R296">
        <v>0</v>
      </c>
    </row>
    <row r="297" spans="1:18" x14ac:dyDescent="0.3">
      <c r="A297" t="s">
        <v>2</v>
      </c>
      <c r="B297" s="1">
        <v>45095</v>
      </c>
      <c r="C297" t="s">
        <v>7</v>
      </c>
      <c r="D297" t="s">
        <v>14</v>
      </c>
      <c r="E297">
        <v>8</v>
      </c>
      <c r="F297">
        <v>16.7</v>
      </c>
      <c r="G297">
        <v>0</v>
      </c>
      <c r="H297">
        <f t="shared" si="63"/>
        <v>0.30000000000000071</v>
      </c>
      <c r="I297">
        <f t="shared" si="58"/>
        <v>0.30000000000000071</v>
      </c>
      <c r="J297">
        <f t="shared" si="59"/>
        <v>17</v>
      </c>
      <c r="K297">
        <f t="shared" si="64"/>
        <v>0.69999999999999929</v>
      </c>
      <c r="L297">
        <f t="shared" si="67"/>
        <v>10.950000000000006</v>
      </c>
      <c r="M297">
        <f t="shared" si="62"/>
        <v>0.98360655737704927</v>
      </c>
      <c r="N297">
        <v>23</v>
      </c>
      <c r="O297">
        <f t="shared" si="65"/>
        <v>5.5</v>
      </c>
      <c r="P297">
        <f t="shared" si="66"/>
        <v>385</v>
      </c>
      <c r="Q297">
        <f t="shared" si="61"/>
        <v>0</v>
      </c>
      <c r="R297">
        <v>0</v>
      </c>
    </row>
    <row r="298" spans="1:18" x14ac:dyDescent="0.3">
      <c r="A298" t="s">
        <v>3</v>
      </c>
      <c r="B298" s="1">
        <v>45096</v>
      </c>
      <c r="C298" t="s">
        <v>7</v>
      </c>
      <c r="D298" t="s">
        <v>14</v>
      </c>
      <c r="E298">
        <v>8</v>
      </c>
      <c r="F298">
        <v>16.3</v>
      </c>
      <c r="G298">
        <v>0.5</v>
      </c>
      <c r="H298">
        <f t="shared" si="63"/>
        <v>0.19999999999999929</v>
      </c>
      <c r="I298">
        <f t="shared" si="58"/>
        <v>0.69999999999999929</v>
      </c>
      <c r="J298">
        <f t="shared" si="59"/>
        <v>17</v>
      </c>
      <c r="K298">
        <f>J298-F299</f>
        <v>0.5</v>
      </c>
      <c r="L298">
        <f t="shared" si="67"/>
        <v>11.450000000000006</v>
      </c>
      <c r="M298">
        <f t="shared" si="62"/>
        <v>0.98360655737704927</v>
      </c>
      <c r="N298">
        <v>24</v>
      </c>
      <c r="O298">
        <f t="shared" si="65"/>
        <v>6</v>
      </c>
      <c r="P298">
        <f t="shared" si="66"/>
        <v>420</v>
      </c>
      <c r="Q298">
        <f t="shared" si="61"/>
        <v>0</v>
      </c>
      <c r="R298">
        <v>0</v>
      </c>
    </row>
    <row r="299" spans="1:18" x14ac:dyDescent="0.3">
      <c r="A299" t="s">
        <v>4</v>
      </c>
      <c r="B299" s="1">
        <v>45097</v>
      </c>
      <c r="C299" t="s">
        <v>7</v>
      </c>
      <c r="D299" t="s">
        <v>14</v>
      </c>
      <c r="E299">
        <v>8</v>
      </c>
      <c r="F299">
        <v>16.5</v>
      </c>
      <c r="G299">
        <v>0</v>
      </c>
      <c r="H299">
        <f t="shared" si="63"/>
        <v>0.5</v>
      </c>
      <c r="I299">
        <f t="shared" si="58"/>
        <v>0.5</v>
      </c>
      <c r="J299">
        <f t="shared" si="59"/>
        <v>17</v>
      </c>
      <c r="K299">
        <f t="shared" si="64"/>
        <v>0.60000000000000142</v>
      </c>
      <c r="L299">
        <f t="shared" si="67"/>
        <v>12.050000000000008</v>
      </c>
      <c r="M299">
        <f t="shared" si="62"/>
        <v>0.98360655737704927</v>
      </c>
      <c r="N299">
        <v>25</v>
      </c>
      <c r="O299">
        <f t="shared" si="65"/>
        <v>6</v>
      </c>
      <c r="P299">
        <f t="shared" si="66"/>
        <v>420</v>
      </c>
      <c r="Q299">
        <f t="shared" si="61"/>
        <v>0</v>
      </c>
      <c r="R299">
        <v>0</v>
      </c>
    </row>
    <row r="300" spans="1:18" x14ac:dyDescent="0.3">
      <c r="A300" t="s">
        <v>5</v>
      </c>
      <c r="B300" s="1">
        <v>45098</v>
      </c>
      <c r="C300" t="s">
        <v>7</v>
      </c>
      <c r="D300" t="s">
        <v>14</v>
      </c>
      <c r="E300">
        <v>8</v>
      </c>
      <c r="F300">
        <v>16.399999999999999</v>
      </c>
      <c r="G300">
        <v>0</v>
      </c>
      <c r="H300">
        <f t="shared" si="63"/>
        <v>0.60000000000000142</v>
      </c>
      <c r="I300">
        <f t="shared" si="58"/>
        <v>0.60000000000000142</v>
      </c>
      <c r="J300">
        <f t="shared" si="59"/>
        <v>17</v>
      </c>
      <c r="K300">
        <f t="shared" si="64"/>
        <v>0.5</v>
      </c>
      <c r="L300">
        <f t="shared" si="67"/>
        <v>12.550000000000008</v>
      </c>
      <c r="M300">
        <f t="shared" si="62"/>
        <v>0.98360655737704927</v>
      </c>
      <c r="N300">
        <v>26</v>
      </c>
      <c r="O300">
        <f t="shared" si="65"/>
        <v>6</v>
      </c>
      <c r="P300">
        <f t="shared" si="66"/>
        <v>420</v>
      </c>
      <c r="Q300">
        <f t="shared" si="61"/>
        <v>0</v>
      </c>
      <c r="R300">
        <v>0</v>
      </c>
    </row>
    <row r="301" spans="1:18" x14ac:dyDescent="0.3">
      <c r="A301" t="s">
        <v>6</v>
      </c>
      <c r="B301" s="1">
        <v>45099</v>
      </c>
      <c r="C301" t="s">
        <v>7</v>
      </c>
      <c r="D301" t="s">
        <v>14</v>
      </c>
      <c r="E301">
        <v>8</v>
      </c>
      <c r="F301">
        <v>16.5</v>
      </c>
      <c r="G301">
        <v>0.5</v>
      </c>
      <c r="H301">
        <f t="shared" si="63"/>
        <v>0</v>
      </c>
      <c r="I301">
        <f t="shared" si="58"/>
        <v>0.5</v>
      </c>
      <c r="J301">
        <f t="shared" si="59"/>
        <v>17</v>
      </c>
      <c r="K301">
        <f t="shared" si="64"/>
        <v>0.60000000000000142</v>
      </c>
      <c r="L301">
        <f t="shared" si="67"/>
        <v>13.150000000000009</v>
      </c>
      <c r="M301">
        <f t="shared" si="62"/>
        <v>0.98360655737704927</v>
      </c>
      <c r="N301">
        <v>27</v>
      </c>
      <c r="O301">
        <f t="shared" si="65"/>
        <v>6.5</v>
      </c>
      <c r="P301">
        <f t="shared" si="66"/>
        <v>455</v>
      </c>
      <c r="Q301">
        <f t="shared" si="61"/>
        <v>0</v>
      </c>
      <c r="R301">
        <v>0</v>
      </c>
    </row>
    <row r="302" spans="1:18" x14ac:dyDescent="0.3">
      <c r="A302" t="s">
        <v>0</v>
      </c>
      <c r="B302" s="1">
        <v>45100</v>
      </c>
      <c r="C302" t="s">
        <v>7</v>
      </c>
      <c r="D302" t="s">
        <v>14</v>
      </c>
      <c r="E302">
        <v>8</v>
      </c>
      <c r="F302">
        <v>16.399999999999999</v>
      </c>
      <c r="G302">
        <v>0</v>
      </c>
      <c r="H302">
        <f t="shared" si="63"/>
        <v>0.60000000000000142</v>
      </c>
      <c r="I302">
        <f t="shared" si="58"/>
        <v>0.60000000000000142</v>
      </c>
      <c r="J302">
        <f t="shared" si="59"/>
        <v>17</v>
      </c>
      <c r="K302">
        <f t="shared" si="64"/>
        <v>0.39999999999999858</v>
      </c>
      <c r="L302">
        <f t="shared" si="67"/>
        <v>13.550000000000008</v>
      </c>
      <c r="M302">
        <f t="shared" si="62"/>
        <v>0.98360655737704927</v>
      </c>
      <c r="N302">
        <v>28</v>
      </c>
      <c r="O302">
        <f t="shared" si="65"/>
        <v>6.5</v>
      </c>
      <c r="P302">
        <f t="shared" si="66"/>
        <v>455</v>
      </c>
      <c r="Q302">
        <f t="shared" si="61"/>
        <v>0</v>
      </c>
      <c r="R302">
        <v>0</v>
      </c>
    </row>
    <row r="303" spans="1:18" x14ac:dyDescent="0.3">
      <c r="A303" t="s">
        <v>1</v>
      </c>
      <c r="B303" s="1">
        <v>45101</v>
      </c>
      <c r="C303" t="s">
        <v>7</v>
      </c>
      <c r="D303" t="s">
        <v>14</v>
      </c>
      <c r="E303">
        <v>8</v>
      </c>
      <c r="F303">
        <v>16.600000000000001</v>
      </c>
      <c r="G303">
        <v>0</v>
      </c>
      <c r="H303">
        <f t="shared" si="63"/>
        <v>0.39999999999999858</v>
      </c>
      <c r="I303">
        <f t="shared" si="58"/>
        <v>0.39999999999999858</v>
      </c>
      <c r="J303">
        <f t="shared" si="59"/>
        <v>17</v>
      </c>
      <c r="K303">
        <f t="shared" si="64"/>
        <v>0.60000000000000142</v>
      </c>
      <c r="L303">
        <f t="shared" si="67"/>
        <v>14.150000000000009</v>
      </c>
      <c r="M303">
        <f t="shared" si="62"/>
        <v>0.98360655737704927</v>
      </c>
      <c r="N303">
        <v>29</v>
      </c>
      <c r="O303">
        <f t="shared" si="65"/>
        <v>6.5</v>
      </c>
      <c r="P303">
        <f t="shared" si="66"/>
        <v>455</v>
      </c>
      <c r="Q303">
        <f t="shared" si="61"/>
        <v>0</v>
      </c>
      <c r="R303">
        <v>0</v>
      </c>
    </row>
    <row r="304" spans="1:18" x14ac:dyDescent="0.3">
      <c r="A304" t="s">
        <v>2</v>
      </c>
      <c r="B304" s="1">
        <v>45102</v>
      </c>
      <c r="C304" t="s">
        <v>7</v>
      </c>
      <c r="D304" t="s">
        <v>14</v>
      </c>
      <c r="E304">
        <v>8</v>
      </c>
      <c r="F304">
        <v>16.399999999999999</v>
      </c>
      <c r="G304">
        <v>0</v>
      </c>
      <c r="H304">
        <f t="shared" si="63"/>
        <v>0.60000000000000142</v>
      </c>
      <c r="I304">
        <f t="shared" si="58"/>
        <v>0.60000000000000142</v>
      </c>
      <c r="J304">
        <f t="shared" si="59"/>
        <v>17</v>
      </c>
      <c r="K304">
        <f t="shared" si="64"/>
        <v>0.60000000000000142</v>
      </c>
      <c r="L304">
        <f t="shared" si="67"/>
        <v>14.750000000000011</v>
      </c>
      <c r="M304">
        <f t="shared" si="62"/>
        <v>0.98360655737704927</v>
      </c>
      <c r="N304">
        <v>30</v>
      </c>
      <c r="O304">
        <f t="shared" si="65"/>
        <v>6.5</v>
      </c>
      <c r="P304">
        <f t="shared" si="66"/>
        <v>455</v>
      </c>
      <c r="Q304">
        <f t="shared" si="61"/>
        <v>0</v>
      </c>
      <c r="R304">
        <v>0</v>
      </c>
    </row>
    <row r="305" spans="1:18" x14ac:dyDescent="0.3">
      <c r="A305" t="s">
        <v>3</v>
      </c>
      <c r="B305" s="1">
        <v>45103</v>
      </c>
      <c r="C305" t="s">
        <v>7</v>
      </c>
      <c r="D305" t="s">
        <v>14</v>
      </c>
      <c r="E305">
        <v>8</v>
      </c>
      <c r="F305">
        <v>16.399999999999999</v>
      </c>
      <c r="G305">
        <v>0.5</v>
      </c>
      <c r="H305">
        <f t="shared" si="63"/>
        <v>0.10000000000000142</v>
      </c>
      <c r="I305">
        <f t="shared" si="58"/>
        <v>0.60000000000000142</v>
      </c>
      <c r="J305">
        <f t="shared" si="59"/>
        <v>17</v>
      </c>
      <c r="K305">
        <f t="shared" si="64"/>
        <v>0.39999999999999858</v>
      </c>
      <c r="L305">
        <f t="shared" si="67"/>
        <v>15.150000000000009</v>
      </c>
      <c r="M305">
        <f t="shared" si="62"/>
        <v>0.98360655737704927</v>
      </c>
      <c r="N305">
        <v>31</v>
      </c>
      <c r="O305">
        <f t="shared" si="65"/>
        <v>7</v>
      </c>
      <c r="P305">
        <f t="shared" si="66"/>
        <v>490</v>
      </c>
      <c r="Q305">
        <f t="shared" si="61"/>
        <v>0</v>
      </c>
      <c r="R305">
        <v>0</v>
      </c>
    </row>
    <row r="306" spans="1:18" x14ac:dyDescent="0.3">
      <c r="A306" t="s">
        <v>4</v>
      </c>
      <c r="B306" s="1">
        <v>45104</v>
      </c>
      <c r="C306" t="s">
        <v>7</v>
      </c>
      <c r="D306" t="s">
        <v>14</v>
      </c>
      <c r="E306">
        <v>8</v>
      </c>
      <c r="F306">
        <v>16.600000000000001</v>
      </c>
      <c r="G306">
        <v>0</v>
      </c>
      <c r="H306">
        <f t="shared" si="63"/>
        <v>0.39999999999999858</v>
      </c>
      <c r="I306">
        <f t="shared" ref="I306:I312" si="68">H306+G306</f>
        <v>0.39999999999999858</v>
      </c>
      <c r="J306">
        <f t="shared" ref="J306:J312" si="69">I306+F306</f>
        <v>17</v>
      </c>
      <c r="K306">
        <f t="shared" si="64"/>
        <v>0.5</v>
      </c>
      <c r="L306">
        <f t="shared" si="67"/>
        <v>15.650000000000009</v>
      </c>
      <c r="M306">
        <f t="shared" si="62"/>
        <v>0.98360655737704927</v>
      </c>
      <c r="N306">
        <v>32</v>
      </c>
      <c r="O306">
        <f t="shared" si="65"/>
        <v>7</v>
      </c>
      <c r="P306">
        <f t="shared" si="66"/>
        <v>490</v>
      </c>
      <c r="Q306">
        <f t="shared" si="61"/>
        <v>0</v>
      </c>
      <c r="R306">
        <v>0</v>
      </c>
    </row>
    <row r="307" spans="1:18" x14ac:dyDescent="0.3">
      <c r="A307" t="s">
        <v>5</v>
      </c>
      <c r="B307" s="1">
        <v>45105</v>
      </c>
      <c r="C307" t="s">
        <v>7</v>
      </c>
      <c r="D307" t="s">
        <v>14</v>
      </c>
      <c r="E307">
        <v>8</v>
      </c>
      <c r="F307">
        <v>16.5</v>
      </c>
      <c r="G307">
        <v>0</v>
      </c>
      <c r="H307">
        <f t="shared" si="63"/>
        <v>0.5</v>
      </c>
      <c r="I307">
        <f t="shared" si="68"/>
        <v>0.5</v>
      </c>
      <c r="J307">
        <f t="shared" si="69"/>
        <v>17</v>
      </c>
      <c r="K307">
        <f t="shared" si="64"/>
        <v>0.5</v>
      </c>
      <c r="L307">
        <f t="shared" si="67"/>
        <v>16.150000000000009</v>
      </c>
      <c r="M307">
        <f t="shared" si="62"/>
        <v>0.98360655737704927</v>
      </c>
      <c r="N307">
        <v>33</v>
      </c>
      <c r="O307">
        <f t="shared" si="65"/>
        <v>7</v>
      </c>
      <c r="P307">
        <f t="shared" si="66"/>
        <v>490</v>
      </c>
      <c r="Q307">
        <f t="shared" si="61"/>
        <v>0</v>
      </c>
      <c r="R307">
        <v>0</v>
      </c>
    </row>
    <row r="308" spans="1:18" x14ac:dyDescent="0.3">
      <c r="A308" t="s">
        <v>6</v>
      </c>
      <c r="B308" s="1">
        <v>45106</v>
      </c>
      <c r="C308" t="s">
        <v>7</v>
      </c>
      <c r="D308" t="s">
        <v>14</v>
      </c>
      <c r="E308">
        <v>8</v>
      </c>
      <c r="F308">
        <v>16.5</v>
      </c>
      <c r="G308">
        <v>0.5</v>
      </c>
      <c r="H308">
        <f t="shared" si="63"/>
        <v>0</v>
      </c>
      <c r="I308">
        <f t="shared" si="68"/>
        <v>0.5</v>
      </c>
      <c r="J308">
        <f t="shared" si="69"/>
        <v>17</v>
      </c>
      <c r="K308">
        <f t="shared" si="64"/>
        <v>0.5</v>
      </c>
      <c r="L308">
        <f t="shared" si="67"/>
        <v>16.650000000000009</v>
      </c>
      <c r="M308">
        <f t="shared" si="62"/>
        <v>0.98360655737704927</v>
      </c>
      <c r="N308">
        <v>34</v>
      </c>
      <c r="O308">
        <f t="shared" si="65"/>
        <v>7.5</v>
      </c>
      <c r="P308">
        <f t="shared" si="66"/>
        <v>525</v>
      </c>
      <c r="Q308">
        <f t="shared" si="61"/>
        <v>0</v>
      </c>
      <c r="R308">
        <v>0</v>
      </c>
    </row>
    <row r="309" spans="1:18" x14ac:dyDescent="0.3">
      <c r="A309" t="s">
        <v>0</v>
      </c>
      <c r="B309" s="1">
        <v>45107</v>
      </c>
      <c r="C309" t="s">
        <v>7</v>
      </c>
      <c r="D309" t="s">
        <v>14</v>
      </c>
      <c r="E309">
        <v>8</v>
      </c>
      <c r="F309">
        <v>16.5</v>
      </c>
      <c r="G309">
        <v>0</v>
      </c>
      <c r="H309">
        <f t="shared" si="63"/>
        <v>0.5</v>
      </c>
      <c r="I309">
        <f t="shared" si="68"/>
        <v>0.5</v>
      </c>
      <c r="J309">
        <f t="shared" si="69"/>
        <v>17</v>
      </c>
      <c r="K309">
        <f t="shared" si="64"/>
        <v>0.19999999999999929</v>
      </c>
      <c r="L309">
        <f t="shared" si="67"/>
        <v>16.850000000000009</v>
      </c>
      <c r="M309">
        <f t="shared" si="62"/>
        <v>0.98360655737704927</v>
      </c>
      <c r="N309">
        <v>35</v>
      </c>
      <c r="O309">
        <f t="shared" si="65"/>
        <v>7.5</v>
      </c>
      <c r="P309">
        <f t="shared" si="66"/>
        <v>525</v>
      </c>
      <c r="Q309">
        <f t="shared" si="61"/>
        <v>0</v>
      </c>
      <c r="R309">
        <v>0</v>
      </c>
    </row>
    <row r="310" spans="1:18" x14ac:dyDescent="0.3">
      <c r="A310" t="s">
        <v>1</v>
      </c>
      <c r="B310" s="1">
        <v>45108</v>
      </c>
      <c r="C310" t="s">
        <v>7</v>
      </c>
      <c r="D310" t="s">
        <v>14</v>
      </c>
      <c r="E310">
        <v>8</v>
      </c>
      <c r="F310">
        <v>16.8</v>
      </c>
      <c r="G310">
        <v>0</v>
      </c>
      <c r="H310">
        <f t="shared" si="63"/>
        <v>0.19999999999999929</v>
      </c>
      <c r="I310">
        <f t="shared" si="68"/>
        <v>0.19999999999999929</v>
      </c>
      <c r="J310">
        <f t="shared" si="69"/>
        <v>17</v>
      </c>
      <c r="K310">
        <f t="shared" si="64"/>
        <v>0.30000000000000071</v>
      </c>
      <c r="L310">
        <f t="shared" si="67"/>
        <v>17.150000000000009</v>
      </c>
      <c r="M310">
        <f t="shared" si="62"/>
        <v>0.98360655737704927</v>
      </c>
      <c r="N310">
        <v>36</v>
      </c>
      <c r="O310">
        <f t="shared" si="65"/>
        <v>7.5</v>
      </c>
      <c r="P310">
        <f t="shared" si="66"/>
        <v>525</v>
      </c>
      <c r="Q310">
        <f t="shared" si="61"/>
        <v>0</v>
      </c>
      <c r="R310">
        <v>0</v>
      </c>
    </row>
    <row r="311" spans="1:18" x14ac:dyDescent="0.3">
      <c r="A311" t="s">
        <v>2</v>
      </c>
      <c r="B311" s="1">
        <v>45109</v>
      </c>
      <c r="C311" t="s">
        <v>7</v>
      </c>
      <c r="D311" t="s">
        <v>14</v>
      </c>
      <c r="E311">
        <v>8</v>
      </c>
      <c r="F311">
        <v>16.7</v>
      </c>
      <c r="G311">
        <v>0</v>
      </c>
      <c r="H311">
        <f t="shared" si="63"/>
        <v>0.30000000000000071</v>
      </c>
      <c r="I311">
        <f t="shared" si="68"/>
        <v>0.30000000000000071</v>
      </c>
      <c r="J311">
        <f t="shared" si="69"/>
        <v>17</v>
      </c>
      <c r="K311">
        <f t="shared" si="64"/>
        <v>0.60000000000000142</v>
      </c>
      <c r="L311">
        <f t="shared" si="67"/>
        <v>17.750000000000011</v>
      </c>
      <c r="M311">
        <f t="shared" si="62"/>
        <v>0.98360655737704927</v>
      </c>
      <c r="N311">
        <v>37</v>
      </c>
      <c r="O311">
        <f t="shared" si="65"/>
        <v>7.5</v>
      </c>
      <c r="P311">
        <f t="shared" si="66"/>
        <v>525</v>
      </c>
      <c r="Q311">
        <f t="shared" si="61"/>
        <v>0</v>
      </c>
      <c r="R311">
        <v>0</v>
      </c>
    </row>
    <row r="312" spans="1:18" x14ac:dyDescent="0.3">
      <c r="A312" t="s">
        <v>3</v>
      </c>
      <c r="B312" s="1">
        <v>45110</v>
      </c>
      <c r="C312" t="s">
        <v>7</v>
      </c>
      <c r="D312" t="s">
        <v>14</v>
      </c>
      <c r="E312">
        <v>8</v>
      </c>
      <c r="F312">
        <v>16.399999999999999</v>
      </c>
      <c r="G312">
        <v>0</v>
      </c>
      <c r="H312">
        <f t="shared" si="63"/>
        <v>0.60000000000000142</v>
      </c>
      <c r="I312">
        <f t="shared" si="68"/>
        <v>0.60000000000000142</v>
      </c>
      <c r="J312">
        <f t="shared" si="69"/>
        <v>17</v>
      </c>
      <c r="K312">
        <f t="shared" si="64"/>
        <v>0.5</v>
      </c>
      <c r="L312">
        <f t="shared" si="67"/>
        <v>18.250000000000011</v>
      </c>
      <c r="M312">
        <f t="shared" si="62"/>
        <v>0.98360655737704927</v>
      </c>
      <c r="N312">
        <v>38</v>
      </c>
      <c r="O312">
        <f t="shared" si="65"/>
        <v>7.5</v>
      </c>
      <c r="P312">
        <f t="shared" si="66"/>
        <v>525</v>
      </c>
    </row>
    <row r="313" spans="1:18" x14ac:dyDescent="0.3">
      <c r="A313" t="s">
        <v>4</v>
      </c>
      <c r="B313" s="1">
        <v>45111</v>
      </c>
      <c r="C313" t="s">
        <v>7</v>
      </c>
      <c r="D313" t="s">
        <v>14</v>
      </c>
      <c r="E313">
        <v>8</v>
      </c>
      <c r="F313">
        <v>16.5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C11D-2FE4-43EC-9FF1-7327D41F64C3}">
  <dimension ref="A1:R322"/>
  <sheetViews>
    <sheetView topLeftCell="A312" workbookViewId="0">
      <selection activeCell="A2" sqref="A2:XFD322"/>
    </sheetView>
  </sheetViews>
  <sheetFormatPr defaultRowHeight="14.4" x14ac:dyDescent="0.3"/>
  <cols>
    <col min="1" max="1" width="10.44140625" bestFit="1" customWidth="1"/>
    <col min="2" max="2" width="8.33203125" bestFit="1" customWidth="1"/>
    <col min="3" max="3" width="5" bestFit="1" customWidth="1"/>
    <col min="4" max="4" width="10.5546875" bestFit="1" customWidth="1"/>
    <col min="5" max="5" width="7.5546875" bestFit="1" customWidth="1"/>
    <col min="6" max="6" width="5.44140625" bestFit="1" customWidth="1"/>
    <col min="7" max="7" width="8.5546875" bestFit="1" customWidth="1"/>
    <col min="8" max="8" width="6.88671875" bestFit="1" customWidth="1"/>
    <col min="9" max="9" width="5" bestFit="1" customWidth="1"/>
    <col min="10" max="10" width="6" bestFit="1" customWidth="1"/>
    <col min="11" max="11" width="18.33203125" bestFit="1" customWidth="1"/>
    <col min="12" max="12" width="19.44140625" bestFit="1" customWidth="1"/>
    <col min="13" max="13" width="12" bestFit="1" customWidth="1"/>
    <col min="14" max="14" width="4.5546875" bestFit="1" customWidth="1"/>
    <col min="15" max="15" width="14.44140625" bestFit="1" customWidth="1"/>
    <col min="16" max="16" width="16" bestFit="1" customWidth="1"/>
    <col min="17" max="18" width="12.6640625" bestFit="1" customWidth="1"/>
  </cols>
  <sheetData>
    <row r="1" spans="1:18" s="4" customFormat="1" x14ac:dyDescent="0.3">
      <c r="A1" s="4" t="s">
        <v>12</v>
      </c>
      <c r="B1" s="4" t="s">
        <v>9</v>
      </c>
      <c r="C1" s="4" t="s">
        <v>13</v>
      </c>
      <c r="D1" s="4" t="s">
        <v>17</v>
      </c>
      <c r="E1" s="4" t="s">
        <v>18</v>
      </c>
      <c r="F1" t="s">
        <v>81</v>
      </c>
      <c r="G1" s="5" t="s">
        <v>84</v>
      </c>
      <c r="H1" t="s">
        <v>83</v>
      </c>
      <c r="I1" t="s">
        <v>85</v>
      </c>
      <c r="J1" s="4" t="s">
        <v>19</v>
      </c>
      <c r="K1" s="4" t="s">
        <v>20</v>
      </c>
      <c r="L1" s="4" t="s">
        <v>21</v>
      </c>
      <c r="M1" s="4" t="s">
        <v>35</v>
      </c>
      <c r="N1" s="4" t="s">
        <v>15</v>
      </c>
      <c r="O1" s="4" t="s">
        <v>23</v>
      </c>
      <c r="P1" s="4" t="s">
        <v>16</v>
      </c>
      <c r="Q1" s="4" t="s">
        <v>75</v>
      </c>
      <c r="R1" s="4" t="s">
        <v>76</v>
      </c>
    </row>
    <row r="2" spans="1:18" x14ac:dyDescent="0.3">
      <c r="A2" t="s">
        <v>1</v>
      </c>
      <c r="B2" s="1">
        <v>45073</v>
      </c>
      <c r="C2" t="s">
        <v>7</v>
      </c>
      <c r="D2" t="s">
        <v>11</v>
      </c>
      <c r="E2">
        <v>1</v>
      </c>
      <c r="F2">
        <v>17</v>
      </c>
      <c r="G2">
        <v>0</v>
      </c>
      <c r="H2">
        <v>0</v>
      </c>
      <c r="I2">
        <f>H2+G2</f>
        <v>0</v>
      </c>
      <c r="J2">
        <f>I2+F2</f>
        <v>17</v>
      </c>
      <c r="K2">
        <f>J2-F3</f>
        <v>0.60000000000000142</v>
      </c>
      <c r="M2">
        <f>(J2-11)/6.1</f>
        <v>0.98360655737704927</v>
      </c>
      <c r="N2">
        <v>1</v>
      </c>
      <c r="O2">
        <v>2.5</v>
      </c>
      <c r="P2">
        <f>O2*70</f>
        <v>175</v>
      </c>
    </row>
    <row r="3" spans="1:18" x14ac:dyDescent="0.3">
      <c r="A3" t="s">
        <v>2</v>
      </c>
      <c r="B3" s="1">
        <v>45074</v>
      </c>
      <c r="C3" t="s">
        <v>7</v>
      </c>
      <c r="D3" t="s">
        <v>11</v>
      </c>
      <c r="E3">
        <v>1</v>
      </c>
      <c r="F3">
        <v>16.399999999999999</v>
      </c>
      <c r="G3">
        <v>0</v>
      </c>
      <c r="H3">
        <v>0</v>
      </c>
      <c r="I3">
        <f t="shared" ref="I3:I8" si="0">H3+G3</f>
        <v>0</v>
      </c>
      <c r="J3">
        <f t="shared" ref="J3:J22" si="1">I3+F3</f>
        <v>16.399999999999999</v>
      </c>
      <c r="K3">
        <f t="shared" ref="K3:K39" si="2">J3-F4</f>
        <v>0.29999999999999716</v>
      </c>
      <c r="L3">
        <f>K2+K3</f>
        <v>0.89999999999999858</v>
      </c>
      <c r="M3">
        <f t="shared" ref="M3:M66" si="3">(J3-11)/6.1</f>
        <v>0.88524590163934413</v>
      </c>
      <c r="N3">
        <v>2</v>
      </c>
      <c r="O3">
        <f t="shared" ref="O3:O39" si="4">O2+G3</f>
        <v>2.5</v>
      </c>
      <c r="P3">
        <f t="shared" ref="P3:P39" si="5">O3*70</f>
        <v>175</v>
      </c>
      <c r="Q3">
        <f t="shared" ref="Q3:Q39" si="6">0.98-M3</f>
        <v>9.4754098360655847E-2</v>
      </c>
      <c r="R3">
        <f>Q2+Q3</f>
        <v>9.4754098360655847E-2</v>
      </c>
    </row>
    <row r="4" spans="1:18" x14ac:dyDescent="0.3">
      <c r="A4" t="s">
        <v>3</v>
      </c>
      <c r="B4" s="1">
        <v>45075</v>
      </c>
      <c r="C4" t="s">
        <v>7</v>
      </c>
      <c r="D4" t="s">
        <v>11</v>
      </c>
      <c r="E4">
        <v>1</v>
      </c>
      <c r="F4">
        <v>16.100000000000001</v>
      </c>
      <c r="G4">
        <v>0.25</v>
      </c>
      <c r="H4">
        <v>0</v>
      </c>
      <c r="I4">
        <f t="shared" si="0"/>
        <v>0.25</v>
      </c>
      <c r="J4">
        <f t="shared" si="1"/>
        <v>16.350000000000001</v>
      </c>
      <c r="K4">
        <f t="shared" si="2"/>
        <v>0.45000000000000107</v>
      </c>
      <c r="L4">
        <f>L3+K4</f>
        <v>1.3499999999999996</v>
      </c>
      <c r="M4">
        <f t="shared" si="3"/>
        <v>0.87704918032786916</v>
      </c>
      <c r="N4">
        <v>3</v>
      </c>
      <c r="O4">
        <f t="shared" si="4"/>
        <v>2.75</v>
      </c>
      <c r="P4">
        <f t="shared" si="5"/>
        <v>192.5</v>
      </c>
      <c r="Q4">
        <f t="shared" si="6"/>
        <v>0.10295081967213082</v>
      </c>
      <c r="R4">
        <f>R3+Q4</f>
        <v>0.19770491803278667</v>
      </c>
    </row>
    <row r="5" spans="1:18" x14ac:dyDescent="0.3">
      <c r="A5" t="s">
        <v>4</v>
      </c>
      <c r="B5" s="1">
        <v>45076</v>
      </c>
      <c r="C5" t="s">
        <v>7</v>
      </c>
      <c r="D5" t="s">
        <v>11</v>
      </c>
      <c r="E5">
        <v>1</v>
      </c>
      <c r="F5">
        <v>15.9</v>
      </c>
      <c r="G5">
        <v>0.25</v>
      </c>
      <c r="H5">
        <v>0</v>
      </c>
      <c r="I5">
        <f t="shared" si="0"/>
        <v>0.25</v>
      </c>
      <c r="J5">
        <f t="shared" si="1"/>
        <v>16.149999999999999</v>
      </c>
      <c r="K5">
        <f t="shared" si="2"/>
        <v>0.74999999999999822</v>
      </c>
      <c r="L5">
        <f t="shared" ref="L5:L39" si="7">L4+K5</f>
        <v>2.0999999999999979</v>
      </c>
      <c r="M5">
        <f t="shared" si="3"/>
        <v>0.84426229508196704</v>
      </c>
      <c r="N5">
        <v>4</v>
      </c>
      <c r="O5">
        <f t="shared" si="4"/>
        <v>3</v>
      </c>
      <c r="P5">
        <f t="shared" si="5"/>
        <v>210</v>
      </c>
      <c r="Q5">
        <f t="shared" si="6"/>
        <v>0.13573770491803294</v>
      </c>
      <c r="R5">
        <f t="shared" ref="R5:R28" si="8">R4+Q5</f>
        <v>0.33344262295081961</v>
      </c>
    </row>
    <row r="6" spans="1:18" x14ac:dyDescent="0.3">
      <c r="A6" t="s">
        <v>5</v>
      </c>
      <c r="B6" s="1">
        <v>45077</v>
      </c>
      <c r="C6" t="s">
        <v>7</v>
      </c>
      <c r="D6" t="s">
        <v>11</v>
      </c>
      <c r="E6">
        <v>1</v>
      </c>
      <c r="F6">
        <v>15.4</v>
      </c>
      <c r="G6">
        <v>0</v>
      </c>
      <c r="H6">
        <v>0</v>
      </c>
      <c r="I6">
        <f t="shared" si="0"/>
        <v>0</v>
      </c>
      <c r="J6">
        <f t="shared" si="1"/>
        <v>15.4</v>
      </c>
      <c r="K6">
        <f t="shared" si="2"/>
        <v>0.5</v>
      </c>
      <c r="L6">
        <f t="shared" si="7"/>
        <v>2.5999999999999979</v>
      </c>
      <c r="M6">
        <f t="shared" si="3"/>
        <v>0.7213114754098362</v>
      </c>
      <c r="N6">
        <v>5</v>
      </c>
      <c r="O6">
        <f t="shared" si="4"/>
        <v>3</v>
      </c>
      <c r="P6">
        <f t="shared" si="5"/>
        <v>210</v>
      </c>
      <c r="Q6">
        <f t="shared" si="6"/>
        <v>0.25868852459016378</v>
      </c>
      <c r="R6">
        <f t="shared" si="8"/>
        <v>0.59213114754098339</v>
      </c>
    </row>
    <row r="7" spans="1:18" x14ac:dyDescent="0.3">
      <c r="A7" t="s">
        <v>6</v>
      </c>
      <c r="B7" s="1">
        <v>45078</v>
      </c>
      <c r="C7" t="s">
        <v>7</v>
      </c>
      <c r="D7" t="s">
        <v>11</v>
      </c>
      <c r="E7">
        <v>1</v>
      </c>
      <c r="F7">
        <v>14.9</v>
      </c>
      <c r="G7">
        <v>0.25</v>
      </c>
      <c r="H7">
        <v>0</v>
      </c>
      <c r="I7">
        <f t="shared" si="0"/>
        <v>0.25</v>
      </c>
      <c r="J7">
        <f t="shared" si="1"/>
        <v>15.15</v>
      </c>
      <c r="K7">
        <f t="shared" si="2"/>
        <v>0.25</v>
      </c>
      <c r="L7">
        <f t="shared" si="7"/>
        <v>2.8499999999999979</v>
      </c>
      <c r="M7">
        <f t="shared" si="3"/>
        <v>0.68032786885245911</v>
      </c>
      <c r="N7">
        <v>6</v>
      </c>
      <c r="O7">
        <f t="shared" si="4"/>
        <v>3.25</v>
      </c>
      <c r="P7">
        <f t="shared" si="5"/>
        <v>227.5</v>
      </c>
      <c r="Q7">
        <f t="shared" si="6"/>
        <v>0.29967213114754088</v>
      </c>
      <c r="R7">
        <f t="shared" si="8"/>
        <v>0.89180327868852427</v>
      </c>
    </row>
    <row r="8" spans="1:18" x14ac:dyDescent="0.3">
      <c r="A8" t="s">
        <v>0</v>
      </c>
      <c r="B8" s="1">
        <v>45079</v>
      </c>
      <c r="C8" t="s">
        <v>7</v>
      </c>
      <c r="D8" t="s">
        <v>11</v>
      </c>
      <c r="E8">
        <v>1</v>
      </c>
      <c r="F8">
        <v>14.9</v>
      </c>
      <c r="G8">
        <v>0.25</v>
      </c>
      <c r="H8">
        <v>0</v>
      </c>
      <c r="I8">
        <f t="shared" si="0"/>
        <v>0.25</v>
      </c>
      <c r="J8">
        <f t="shared" si="1"/>
        <v>15.15</v>
      </c>
      <c r="K8">
        <f t="shared" si="2"/>
        <v>0.25</v>
      </c>
      <c r="L8">
        <f t="shared" si="7"/>
        <v>3.0999999999999979</v>
      </c>
      <c r="M8">
        <f t="shared" si="3"/>
        <v>0.68032786885245911</v>
      </c>
      <c r="N8">
        <v>7</v>
      </c>
      <c r="O8">
        <f t="shared" si="4"/>
        <v>3.5</v>
      </c>
      <c r="P8">
        <f t="shared" si="5"/>
        <v>245</v>
      </c>
      <c r="Q8">
        <f t="shared" si="6"/>
        <v>0.29967213114754088</v>
      </c>
      <c r="R8">
        <f t="shared" si="8"/>
        <v>1.1914754098360651</v>
      </c>
    </row>
    <row r="9" spans="1:18" x14ac:dyDescent="0.3">
      <c r="A9" t="s">
        <v>1</v>
      </c>
      <c r="B9" s="1">
        <v>45080</v>
      </c>
      <c r="C9" t="s">
        <v>7</v>
      </c>
      <c r="D9" t="s">
        <v>11</v>
      </c>
      <c r="E9">
        <v>1</v>
      </c>
      <c r="F9">
        <v>14.9</v>
      </c>
      <c r="G9">
        <v>0</v>
      </c>
      <c r="H9">
        <v>0</v>
      </c>
      <c r="I9">
        <f t="shared" ref="I9:I15" si="9">H9+G9</f>
        <v>0</v>
      </c>
      <c r="J9">
        <f t="shared" si="1"/>
        <v>14.9</v>
      </c>
      <c r="K9">
        <f t="shared" si="2"/>
        <v>0.5</v>
      </c>
      <c r="L9">
        <f t="shared" si="7"/>
        <v>3.5999999999999979</v>
      </c>
      <c r="M9">
        <f t="shared" si="3"/>
        <v>0.63934426229508201</v>
      </c>
      <c r="N9">
        <v>8</v>
      </c>
      <c r="O9">
        <f t="shared" si="4"/>
        <v>3.5</v>
      </c>
      <c r="P9">
        <f t="shared" si="5"/>
        <v>245</v>
      </c>
      <c r="Q9">
        <f t="shared" si="6"/>
        <v>0.34065573770491797</v>
      </c>
      <c r="R9">
        <f t="shared" si="8"/>
        <v>1.5321311475409831</v>
      </c>
    </row>
    <row r="10" spans="1:18" x14ac:dyDescent="0.3">
      <c r="A10" t="s">
        <v>2</v>
      </c>
      <c r="B10" s="1">
        <v>45081</v>
      </c>
      <c r="C10" t="s">
        <v>7</v>
      </c>
      <c r="D10" t="s">
        <v>11</v>
      </c>
      <c r="E10">
        <v>1</v>
      </c>
      <c r="F10">
        <v>14.4</v>
      </c>
      <c r="G10">
        <v>0</v>
      </c>
      <c r="H10">
        <f t="shared" ref="H10:H15" si="10">14.7-F10-G10</f>
        <v>0.29999999999999893</v>
      </c>
      <c r="I10">
        <f t="shared" si="9"/>
        <v>0.29999999999999893</v>
      </c>
      <c r="J10">
        <f t="shared" si="1"/>
        <v>14.7</v>
      </c>
      <c r="K10">
        <f t="shared" si="2"/>
        <v>0.5</v>
      </c>
      <c r="L10">
        <f t="shared" si="7"/>
        <v>4.0999999999999979</v>
      </c>
      <c r="M10">
        <f t="shared" si="3"/>
        <v>0.60655737704918022</v>
      </c>
      <c r="N10">
        <v>9</v>
      </c>
      <c r="O10">
        <f t="shared" si="4"/>
        <v>3.5</v>
      </c>
      <c r="P10">
        <f t="shared" si="5"/>
        <v>245</v>
      </c>
      <c r="Q10">
        <f t="shared" si="6"/>
        <v>0.37344262295081976</v>
      </c>
      <c r="R10">
        <f t="shared" si="8"/>
        <v>1.9055737704918028</v>
      </c>
    </row>
    <row r="11" spans="1:18" x14ac:dyDescent="0.3">
      <c r="A11" t="s">
        <v>3</v>
      </c>
      <c r="B11" s="1">
        <v>45082</v>
      </c>
      <c r="C11" t="s">
        <v>7</v>
      </c>
      <c r="D11" t="s">
        <v>11</v>
      </c>
      <c r="E11">
        <v>1</v>
      </c>
      <c r="F11">
        <v>14.2</v>
      </c>
      <c r="G11">
        <v>0.25</v>
      </c>
      <c r="H11">
        <f t="shared" si="10"/>
        <v>0.25</v>
      </c>
      <c r="I11">
        <f t="shared" si="9"/>
        <v>0.5</v>
      </c>
      <c r="J11">
        <f t="shared" si="1"/>
        <v>14.7</v>
      </c>
      <c r="K11">
        <f t="shared" si="2"/>
        <v>0.29999999999999893</v>
      </c>
      <c r="L11">
        <f t="shared" si="7"/>
        <v>4.3999999999999968</v>
      </c>
      <c r="M11">
        <f t="shared" si="3"/>
        <v>0.60655737704918022</v>
      </c>
      <c r="N11">
        <v>10</v>
      </c>
      <c r="O11">
        <f t="shared" si="4"/>
        <v>3.75</v>
      </c>
      <c r="P11">
        <f t="shared" si="5"/>
        <v>262.5</v>
      </c>
      <c r="Q11">
        <f t="shared" si="6"/>
        <v>0.37344262295081976</v>
      </c>
      <c r="R11">
        <f t="shared" si="8"/>
        <v>2.2790163934426224</v>
      </c>
    </row>
    <row r="12" spans="1:18" x14ac:dyDescent="0.3">
      <c r="A12" t="s">
        <v>4</v>
      </c>
      <c r="B12" s="1">
        <v>45083</v>
      </c>
      <c r="C12" t="s">
        <v>7</v>
      </c>
      <c r="D12" t="s">
        <v>11</v>
      </c>
      <c r="E12">
        <v>1</v>
      </c>
      <c r="F12">
        <v>14.4</v>
      </c>
      <c r="G12">
        <v>0.25</v>
      </c>
      <c r="H12">
        <f t="shared" si="10"/>
        <v>4.9999999999998934E-2</v>
      </c>
      <c r="I12">
        <f t="shared" si="9"/>
        <v>0.29999999999999893</v>
      </c>
      <c r="J12">
        <f t="shared" si="1"/>
        <v>14.7</v>
      </c>
      <c r="K12">
        <f t="shared" si="2"/>
        <v>0.59999999999999964</v>
      </c>
      <c r="L12">
        <f t="shared" si="7"/>
        <v>4.9999999999999964</v>
      </c>
      <c r="M12">
        <f t="shared" si="3"/>
        <v>0.60655737704918022</v>
      </c>
      <c r="N12">
        <v>11</v>
      </c>
      <c r="O12">
        <f t="shared" si="4"/>
        <v>4</v>
      </c>
      <c r="P12">
        <f t="shared" si="5"/>
        <v>280</v>
      </c>
      <c r="Q12">
        <f t="shared" si="6"/>
        <v>0.37344262295081976</v>
      </c>
      <c r="R12">
        <f t="shared" si="8"/>
        <v>2.6524590163934421</v>
      </c>
    </row>
    <row r="13" spans="1:18" x14ac:dyDescent="0.3">
      <c r="A13" t="s">
        <v>5</v>
      </c>
      <c r="B13" s="1">
        <v>45084</v>
      </c>
      <c r="C13" t="s">
        <v>7</v>
      </c>
      <c r="D13" t="s">
        <v>11</v>
      </c>
      <c r="E13">
        <v>1</v>
      </c>
      <c r="F13">
        <v>14.1</v>
      </c>
      <c r="G13">
        <v>0</v>
      </c>
      <c r="H13">
        <f t="shared" si="10"/>
        <v>0.59999999999999964</v>
      </c>
      <c r="I13">
        <f t="shared" si="9"/>
        <v>0.59999999999999964</v>
      </c>
      <c r="J13">
        <f t="shared" si="1"/>
        <v>14.7</v>
      </c>
      <c r="K13">
        <f t="shared" si="2"/>
        <v>0.59999999999999964</v>
      </c>
      <c r="L13">
        <f t="shared" si="7"/>
        <v>5.5999999999999961</v>
      </c>
      <c r="M13">
        <f t="shared" si="3"/>
        <v>0.60655737704918022</v>
      </c>
      <c r="N13">
        <v>12</v>
      </c>
      <c r="O13">
        <f t="shared" si="4"/>
        <v>4</v>
      </c>
      <c r="P13">
        <f t="shared" si="5"/>
        <v>280</v>
      </c>
      <c r="Q13">
        <f t="shared" si="6"/>
        <v>0.37344262295081976</v>
      </c>
      <c r="R13">
        <f t="shared" si="8"/>
        <v>3.0259016393442617</v>
      </c>
    </row>
    <row r="14" spans="1:18" x14ac:dyDescent="0.3">
      <c r="A14" t="s">
        <v>6</v>
      </c>
      <c r="B14" s="1">
        <v>45085</v>
      </c>
      <c r="C14" t="s">
        <v>7</v>
      </c>
      <c r="D14" t="s">
        <v>11</v>
      </c>
      <c r="E14">
        <v>1</v>
      </c>
      <c r="F14">
        <v>14.1</v>
      </c>
      <c r="G14">
        <v>0.25</v>
      </c>
      <c r="H14">
        <f t="shared" si="10"/>
        <v>0.34999999999999964</v>
      </c>
      <c r="I14">
        <f t="shared" si="9"/>
        <v>0.59999999999999964</v>
      </c>
      <c r="J14">
        <f t="shared" si="1"/>
        <v>14.7</v>
      </c>
      <c r="K14">
        <f t="shared" si="2"/>
        <v>0.29999999999999893</v>
      </c>
      <c r="L14">
        <f t="shared" si="7"/>
        <v>5.899999999999995</v>
      </c>
      <c r="M14">
        <f t="shared" si="3"/>
        <v>0.60655737704918022</v>
      </c>
      <c r="N14">
        <v>13</v>
      </c>
      <c r="O14">
        <f t="shared" si="4"/>
        <v>4.25</v>
      </c>
      <c r="P14">
        <f t="shared" si="5"/>
        <v>297.5</v>
      </c>
      <c r="Q14">
        <f t="shared" si="6"/>
        <v>0.37344262295081976</v>
      </c>
      <c r="R14">
        <f t="shared" si="8"/>
        <v>3.3993442622950814</v>
      </c>
    </row>
    <row r="15" spans="1:18" x14ac:dyDescent="0.3">
      <c r="A15" t="s">
        <v>0</v>
      </c>
      <c r="B15" s="1">
        <v>45086</v>
      </c>
      <c r="C15" t="s">
        <v>7</v>
      </c>
      <c r="D15" t="s">
        <v>11</v>
      </c>
      <c r="E15">
        <v>1</v>
      </c>
      <c r="F15">
        <v>14.4</v>
      </c>
      <c r="G15">
        <v>0.25</v>
      </c>
      <c r="H15">
        <f t="shared" si="10"/>
        <v>4.9999999999998934E-2</v>
      </c>
      <c r="I15">
        <f t="shared" si="9"/>
        <v>0.29999999999999893</v>
      </c>
      <c r="J15">
        <f t="shared" si="1"/>
        <v>14.7</v>
      </c>
      <c r="K15">
        <f t="shared" si="2"/>
        <v>0.79999999999999893</v>
      </c>
      <c r="L15">
        <f t="shared" si="7"/>
        <v>6.699999999999994</v>
      </c>
      <c r="M15">
        <f t="shared" si="3"/>
        <v>0.60655737704918022</v>
      </c>
      <c r="N15">
        <v>14</v>
      </c>
      <c r="O15">
        <f t="shared" si="4"/>
        <v>4.5</v>
      </c>
      <c r="P15">
        <f t="shared" si="5"/>
        <v>315</v>
      </c>
      <c r="Q15">
        <f t="shared" si="6"/>
        <v>0.37344262295081976</v>
      </c>
      <c r="R15">
        <f t="shared" si="8"/>
        <v>3.772786885245901</v>
      </c>
    </row>
    <row r="16" spans="1:18" x14ac:dyDescent="0.3">
      <c r="A16" t="s">
        <v>1</v>
      </c>
      <c r="B16" s="1">
        <v>45087</v>
      </c>
      <c r="C16" t="s">
        <v>7</v>
      </c>
      <c r="D16" t="s">
        <v>11</v>
      </c>
      <c r="E16">
        <v>1</v>
      </c>
      <c r="F16">
        <v>13.9</v>
      </c>
      <c r="G16">
        <v>0</v>
      </c>
      <c r="H16">
        <f t="shared" ref="H16" si="11">14.7-F16-G16</f>
        <v>0.79999999999999893</v>
      </c>
      <c r="I16">
        <f t="shared" ref="I16:I22" si="12">H16+G16</f>
        <v>0.79999999999999893</v>
      </c>
      <c r="J16">
        <f t="shared" si="1"/>
        <v>14.7</v>
      </c>
      <c r="K16">
        <f t="shared" si="2"/>
        <v>1</v>
      </c>
      <c r="L16">
        <f t="shared" si="7"/>
        <v>7.699999999999994</v>
      </c>
      <c r="M16">
        <f t="shared" si="3"/>
        <v>0.60655737704918022</v>
      </c>
      <c r="N16">
        <v>15</v>
      </c>
      <c r="O16">
        <f t="shared" si="4"/>
        <v>4.5</v>
      </c>
      <c r="P16">
        <f t="shared" si="5"/>
        <v>315</v>
      </c>
      <c r="Q16">
        <f t="shared" si="6"/>
        <v>0.37344262295081976</v>
      </c>
      <c r="R16">
        <f t="shared" si="8"/>
        <v>4.1462295081967211</v>
      </c>
    </row>
    <row r="17" spans="1:18" x14ac:dyDescent="0.3">
      <c r="A17" t="s">
        <v>2</v>
      </c>
      <c r="B17" s="1">
        <v>45088</v>
      </c>
      <c r="C17" t="s">
        <v>7</v>
      </c>
      <c r="D17" t="s">
        <v>11</v>
      </c>
      <c r="E17">
        <v>1</v>
      </c>
      <c r="F17">
        <v>13.7</v>
      </c>
      <c r="G17">
        <v>0</v>
      </c>
      <c r="H17">
        <f>14.5-F17-G17</f>
        <v>0.80000000000000071</v>
      </c>
      <c r="I17">
        <f t="shared" si="12"/>
        <v>0.80000000000000071</v>
      </c>
      <c r="J17">
        <f t="shared" si="1"/>
        <v>14.5</v>
      </c>
      <c r="K17">
        <f t="shared" si="2"/>
        <v>0.69999999999999929</v>
      </c>
      <c r="L17">
        <f t="shared" si="7"/>
        <v>8.3999999999999932</v>
      </c>
      <c r="M17">
        <f t="shared" si="3"/>
        <v>0.57377049180327877</v>
      </c>
      <c r="N17">
        <v>16</v>
      </c>
      <c r="O17">
        <f t="shared" si="4"/>
        <v>4.5</v>
      </c>
      <c r="P17">
        <f t="shared" si="5"/>
        <v>315</v>
      </c>
      <c r="Q17">
        <f t="shared" si="6"/>
        <v>0.40622950819672121</v>
      </c>
      <c r="R17">
        <f t="shared" si="8"/>
        <v>4.552459016393442</v>
      </c>
    </row>
    <row r="18" spans="1:18" x14ac:dyDescent="0.3">
      <c r="A18" t="s">
        <v>3</v>
      </c>
      <c r="B18" s="1">
        <v>45089</v>
      </c>
      <c r="C18" t="s">
        <v>7</v>
      </c>
      <c r="D18" t="s">
        <v>11</v>
      </c>
      <c r="E18">
        <v>1</v>
      </c>
      <c r="F18">
        <v>13.8</v>
      </c>
      <c r="G18">
        <v>0.5</v>
      </c>
      <c r="H18">
        <f t="shared" ref="H18" si="13">14.5-F18-G18</f>
        <v>0.19999999999999929</v>
      </c>
      <c r="I18">
        <f t="shared" si="12"/>
        <v>0.69999999999999929</v>
      </c>
      <c r="J18">
        <f t="shared" si="1"/>
        <v>14.5</v>
      </c>
      <c r="K18">
        <f t="shared" si="2"/>
        <v>0.30000000000000071</v>
      </c>
      <c r="L18">
        <f t="shared" si="7"/>
        <v>8.699999999999994</v>
      </c>
      <c r="M18">
        <f t="shared" si="3"/>
        <v>0.57377049180327877</v>
      </c>
      <c r="N18">
        <v>17</v>
      </c>
      <c r="O18">
        <f t="shared" si="4"/>
        <v>5</v>
      </c>
      <c r="P18">
        <f t="shared" si="5"/>
        <v>350</v>
      </c>
      <c r="Q18">
        <f t="shared" si="6"/>
        <v>0.40622950819672121</v>
      </c>
      <c r="R18">
        <f t="shared" si="8"/>
        <v>4.9586885245901628</v>
      </c>
    </row>
    <row r="19" spans="1:18" x14ac:dyDescent="0.3">
      <c r="A19" t="s">
        <v>4</v>
      </c>
      <c r="B19" s="1">
        <v>45090</v>
      </c>
      <c r="C19" t="s">
        <v>7</v>
      </c>
      <c r="D19" t="s">
        <v>11</v>
      </c>
      <c r="E19">
        <v>1</v>
      </c>
      <c r="F19">
        <v>14.2</v>
      </c>
      <c r="G19">
        <v>0</v>
      </c>
      <c r="H19">
        <f>14.4-F19-G19</f>
        <v>0.20000000000000107</v>
      </c>
      <c r="I19">
        <f t="shared" si="12"/>
        <v>0.20000000000000107</v>
      </c>
      <c r="J19">
        <f t="shared" si="1"/>
        <v>14.4</v>
      </c>
      <c r="K19">
        <f t="shared" si="2"/>
        <v>0.59999999999999964</v>
      </c>
      <c r="L19">
        <f t="shared" si="7"/>
        <v>9.2999999999999936</v>
      </c>
      <c r="M19">
        <f t="shared" si="3"/>
        <v>0.55737704918032793</v>
      </c>
      <c r="N19">
        <v>18</v>
      </c>
      <c r="O19">
        <f t="shared" si="4"/>
        <v>5</v>
      </c>
      <c r="P19">
        <f t="shared" si="5"/>
        <v>350</v>
      </c>
      <c r="Q19">
        <f t="shared" si="6"/>
        <v>0.42262295081967205</v>
      </c>
      <c r="R19">
        <f t="shared" si="8"/>
        <v>5.3813114754098352</v>
      </c>
    </row>
    <row r="20" spans="1:18" x14ac:dyDescent="0.3">
      <c r="A20" t="s">
        <v>5</v>
      </c>
      <c r="B20" s="1">
        <v>45091</v>
      </c>
      <c r="C20" t="s">
        <v>7</v>
      </c>
      <c r="D20" t="s">
        <v>11</v>
      </c>
      <c r="E20">
        <v>1</v>
      </c>
      <c r="F20">
        <v>13.8</v>
      </c>
      <c r="G20">
        <v>0</v>
      </c>
      <c r="H20">
        <f>14.4-F20-G20</f>
        <v>0.59999999999999964</v>
      </c>
      <c r="I20">
        <f t="shared" si="12"/>
        <v>0.59999999999999964</v>
      </c>
      <c r="J20">
        <f t="shared" si="1"/>
        <v>14.4</v>
      </c>
      <c r="K20">
        <f t="shared" si="2"/>
        <v>0.80000000000000071</v>
      </c>
      <c r="L20">
        <f t="shared" si="7"/>
        <v>10.099999999999994</v>
      </c>
      <c r="M20">
        <f t="shared" si="3"/>
        <v>0.55737704918032793</v>
      </c>
      <c r="N20">
        <v>19</v>
      </c>
      <c r="O20">
        <f t="shared" si="4"/>
        <v>5</v>
      </c>
      <c r="P20">
        <f t="shared" si="5"/>
        <v>350</v>
      </c>
      <c r="Q20">
        <f t="shared" si="6"/>
        <v>0.42262295081967205</v>
      </c>
      <c r="R20">
        <f t="shared" si="8"/>
        <v>5.8039344262295076</v>
      </c>
    </row>
    <row r="21" spans="1:18" x14ac:dyDescent="0.3">
      <c r="A21" t="s">
        <v>6</v>
      </c>
      <c r="B21" s="1">
        <v>45092</v>
      </c>
      <c r="C21" t="s">
        <v>7</v>
      </c>
      <c r="D21" t="s">
        <v>11</v>
      </c>
      <c r="E21">
        <v>1</v>
      </c>
      <c r="F21">
        <v>13.6</v>
      </c>
      <c r="G21">
        <v>0.5</v>
      </c>
      <c r="H21">
        <v>0</v>
      </c>
      <c r="I21">
        <f t="shared" si="12"/>
        <v>0.5</v>
      </c>
      <c r="J21">
        <f t="shared" si="1"/>
        <v>14.1</v>
      </c>
      <c r="K21">
        <f t="shared" si="2"/>
        <v>0.69999999999999929</v>
      </c>
      <c r="L21">
        <f t="shared" si="7"/>
        <v>10.799999999999994</v>
      </c>
      <c r="M21">
        <f t="shared" si="3"/>
        <v>0.50819672131147542</v>
      </c>
      <c r="N21">
        <v>20</v>
      </c>
      <c r="O21">
        <f t="shared" si="4"/>
        <v>5.5</v>
      </c>
      <c r="P21">
        <f t="shared" si="5"/>
        <v>385</v>
      </c>
      <c r="Q21">
        <f t="shared" si="6"/>
        <v>0.47180327868852456</v>
      </c>
      <c r="R21">
        <f t="shared" si="8"/>
        <v>6.2757377049180318</v>
      </c>
    </row>
    <row r="22" spans="1:18" x14ac:dyDescent="0.3">
      <c r="A22" t="s">
        <v>0</v>
      </c>
      <c r="B22" s="1">
        <v>45093</v>
      </c>
      <c r="C22" t="s">
        <v>7</v>
      </c>
      <c r="D22" t="s">
        <v>11</v>
      </c>
      <c r="E22">
        <v>1</v>
      </c>
      <c r="F22">
        <v>13.4</v>
      </c>
      <c r="G22">
        <v>0</v>
      </c>
      <c r="H22">
        <f>14-F22-G22</f>
        <v>0.59999999999999964</v>
      </c>
      <c r="I22">
        <f t="shared" si="12"/>
        <v>0.59999999999999964</v>
      </c>
      <c r="J22">
        <f t="shared" si="1"/>
        <v>14</v>
      </c>
      <c r="K22">
        <f t="shared" si="2"/>
        <v>0.69999999999999929</v>
      </c>
      <c r="L22">
        <f t="shared" si="7"/>
        <v>11.499999999999993</v>
      </c>
      <c r="M22">
        <f t="shared" si="3"/>
        <v>0.49180327868852464</v>
      </c>
      <c r="N22">
        <v>21</v>
      </c>
      <c r="O22">
        <f t="shared" si="4"/>
        <v>5.5</v>
      </c>
      <c r="P22">
        <f t="shared" si="5"/>
        <v>385</v>
      </c>
      <c r="Q22">
        <f t="shared" si="6"/>
        <v>0.48819672131147535</v>
      </c>
      <c r="R22">
        <f t="shared" si="8"/>
        <v>6.7639344262295076</v>
      </c>
    </row>
    <row r="23" spans="1:18" x14ac:dyDescent="0.3">
      <c r="A23" t="s">
        <v>1</v>
      </c>
      <c r="B23" s="1">
        <v>45094</v>
      </c>
      <c r="C23" t="s">
        <v>7</v>
      </c>
      <c r="D23" t="s">
        <v>11</v>
      </c>
      <c r="E23">
        <v>1</v>
      </c>
      <c r="F23">
        <v>13.3</v>
      </c>
      <c r="G23">
        <v>0</v>
      </c>
      <c r="H23">
        <f>14-F23-G23</f>
        <v>0.69999999999999929</v>
      </c>
      <c r="I23">
        <f t="shared" ref="I23" si="14">H23+G23</f>
        <v>0.69999999999999929</v>
      </c>
      <c r="J23">
        <f t="shared" ref="J23" si="15">I23+F23</f>
        <v>14</v>
      </c>
      <c r="K23">
        <f t="shared" si="2"/>
        <v>0.59999999999999964</v>
      </c>
      <c r="L23">
        <f t="shared" si="7"/>
        <v>12.099999999999993</v>
      </c>
      <c r="M23">
        <f t="shared" si="3"/>
        <v>0.49180327868852464</v>
      </c>
      <c r="N23">
        <v>22</v>
      </c>
      <c r="O23">
        <f t="shared" si="4"/>
        <v>5.5</v>
      </c>
      <c r="P23">
        <f t="shared" si="5"/>
        <v>385</v>
      </c>
      <c r="Q23">
        <f t="shared" si="6"/>
        <v>0.48819672131147535</v>
      </c>
      <c r="R23">
        <f t="shared" si="8"/>
        <v>7.2521311475409833</v>
      </c>
    </row>
    <row r="24" spans="1:18" x14ac:dyDescent="0.3">
      <c r="A24" t="s">
        <v>2</v>
      </c>
      <c r="B24" s="1">
        <v>45095</v>
      </c>
      <c r="C24" t="s">
        <v>7</v>
      </c>
      <c r="D24" t="s">
        <v>11</v>
      </c>
      <c r="E24">
        <v>1</v>
      </c>
      <c r="F24">
        <v>13.4</v>
      </c>
      <c r="G24">
        <v>0</v>
      </c>
      <c r="H24">
        <f>14-F24-G24</f>
        <v>0.59999999999999964</v>
      </c>
      <c r="I24">
        <f t="shared" ref="I24:I28" si="16">H24+G24</f>
        <v>0.59999999999999964</v>
      </c>
      <c r="J24">
        <f t="shared" ref="J24:J28" si="17">I24+F24</f>
        <v>14</v>
      </c>
      <c r="K24">
        <f t="shared" si="2"/>
        <v>0.69999999999999929</v>
      </c>
      <c r="L24">
        <f t="shared" si="7"/>
        <v>12.799999999999992</v>
      </c>
      <c r="M24">
        <f t="shared" si="3"/>
        <v>0.49180327868852464</v>
      </c>
      <c r="N24">
        <v>23</v>
      </c>
      <c r="O24">
        <f t="shared" si="4"/>
        <v>5.5</v>
      </c>
      <c r="P24">
        <f t="shared" si="5"/>
        <v>385</v>
      </c>
      <c r="Q24">
        <f t="shared" si="6"/>
        <v>0.48819672131147535</v>
      </c>
      <c r="R24">
        <f t="shared" si="8"/>
        <v>7.740327868852459</v>
      </c>
    </row>
    <row r="25" spans="1:18" x14ac:dyDescent="0.3">
      <c r="A25" t="s">
        <v>3</v>
      </c>
      <c r="B25" s="1">
        <v>45096</v>
      </c>
      <c r="C25" t="s">
        <v>7</v>
      </c>
      <c r="D25" t="s">
        <v>11</v>
      </c>
      <c r="E25">
        <v>1</v>
      </c>
      <c r="F25">
        <v>13.3</v>
      </c>
      <c r="G25">
        <v>0.5</v>
      </c>
      <c r="H25">
        <f t="shared" ref="H25" si="18">14-F25-G25</f>
        <v>0.19999999999999929</v>
      </c>
      <c r="I25">
        <f t="shared" si="16"/>
        <v>0.69999999999999929</v>
      </c>
      <c r="J25">
        <f t="shared" si="17"/>
        <v>14</v>
      </c>
      <c r="K25">
        <f t="shared" si="2"/>
        <v>0.90000000000000036</v>
      </c>
      <c r="L25">
        <f t="shared" si="7"/>
        <v>13.699999999999992</v>
      </c>
      <c r="M25">
        <f t="shared" si="3"/>
        <v>0.49180327868852464</v>
      </c>
      <c r="N25">
        <v>24</v>
      </c>
      <c r="O25">
        <f t="shared" si="4"/>
        <v>6</v>
      </c>
      <c r="P25">
        <f t="shared" si="5"/>
        <v>420</v>
      </c>
      <c r="Q25">
        <f t="shared" si="6"/>
        <v>0.48819672131147535</v>
      </c>
      <c r="R25">
        <f t="shared" si="8"/>
        <v>8.2285245901639339</v>
      </c>
    </row>
    <row r="26" spans="1:18" x14ac:dyDescent="0.3">
      <c r="A26" t="s">
        <v>4</v>
      </c>
      <c r="B26" s="1">
        <v>45097</v>
      </c>
      <c r="C26" t="s">
        <v>7</v>
      </c>
      <c r="D26" t="s">
        <v>11</v>
      </c>
      <c r="E26">
        <v>1</v>
      </c>
      <c r="F26">
        <v>13.1</v>
      </c>
      <c r="G26">
        <v>0</v>
      </c>
      <c r="H26">
        <f>13.8-F26-G26</f>
        <v>0.70000000000000107</v>
      </c>
      <c r="I26">
        <f t="shared" si="16"/>
        <v>0.70000000000000107</v>
      </c>
      <c r="J26">
        <f t="shared" si="17"/>
        <v>13.8</v>
      </c>
      <c r="K26">
        <f t="shared" si="2"/>
        <v>0.80000000000000071</v>
      </c>
      <c r="L26">
        <f>L25+K26</f>
        <v>14.499999999999993</v>
      </c>
      <c r="M26">
        <f t="shared" si="3"/>
        <v>0.45901639344262307</v>
      </c>
      <c r="N26">
        <v>25</v>
      </c>
      <c r="O26">
        <f t="shared" si="4"/>
        <v>6</v>
      </c>
      <c r="P26">
        <f t="shared" si="5"/>
        <v>420</v>
      </c>
      <c r="Q26">
        <f t="shared" si="6"/>
        <v>0.52098360655737697</v>
      </c>
      <c r="R26">
        <f t="shared" si="8"/>
        <v>8.7495081967213117</v>
      </c>
    </row>
    <row r="27" spans="1:18" x14ac:dyDescent="0.3">
      <c r="A27" t="s">
        <v>5</v>
      </c>
      <c r="B27" s="1">
        <v>45098</v>
      </c>
      <c r="C27" t="s">
        <v>7</v>
      </c>
      <c r="D27" t="s">
        <v>11</v>
      </c>
      <c r="E27">
        <v>1</v>
      </c>
      <c r="F27">
        <v>13</v>
      </c>
      <c r="G27">
        <v>0</v>
      </c>
      <c r="H27">
        <f>13.8-F27-G27</f>
        <v>0.80000000000000071</v>
      </c>
      <c r="I27">
        <f t="shared" si="16"/>
        <v>0.80000000000000071</v>
      </c>
      <c r="J27">
        <f t="shared" si="17"/>
        <v>13.8</v>
      </c>
      <c r="K27">
        <f t="shared" si="2"/>
        <v>0.90000000000000036</v>
      </c>
      <c r="L27">
        <f t="shared" si="7"/>
        <v>15.399999999999993</v>
      </c>
      <c r="M27">
        <f t="shared" si="3"/>
        <v>0.45901639344262307</v>
      </c>
      <c r="N27">
        <v>26</v>
      </c>
      <c r="O27">
        <f t="shared" si="4"/>
        <v>6</v>
      </c>
      <c r="P27">
        <f t="shared" si="5"/>
        <v>420</v>
      </c>
      <c r="Q27">
        <f t="shared" si="6"/>
        <v>0.52098360655737697</v>
      </c>
      <c r="R27">
        <f t="shared" si="8"/>
        <v>9.2704918032786878</v>
      </c>
    </row>
    <row r="28" spans="1:18" x14ac:dyDescent="0.3">
      <c r="A28" t="s">
        <v>6</v>
      </c>
      <c r="B28" s="1">
        <v>45099</v>
      </c>
      <c r="C28" t="s">
        <v>7</v>
      </c>
      <c r="D28" t="s">
        <v>11</v>
      </c>
      <c r="E28">
        <v>1</v>
      </c>
      <c r="F28">
        <v>12.9</v>
      </c>
      <c r="G28">
        <v>0.5</v>
      </c>
      <c r="H28">
        <f>13.8-F28-G28</f>
        <v>0.40000000000000036</v>
      </c>
      <c r="I28">
        <f t="shared" si="16"/>
        <v>0.90000000000000036</v>
      </c>
      <c r="J28">
        <f t="shared" si="17"/>
        <v>13.8</v>
      </c>
      <c r="K28">
        <f t="shared" si="2"/>
        <v>0.80000000000000071</v>
      </c>
      <c r="L28">
        <f t="shared" si="7"/>
        <v>16.199999999999996</v>
      </c>
      <c r="M28">
        <f t="shared" si="3"/>
        <v>0.45901639344262307</v>
      </c>
      <c r="N28">
        <v>27</v>
      </c>
      <c r="O28">
        <f t="shared" si="4"/>
        <v>6.5</v>
      </c>
      <c r="P28">
        <f t="shared" si="5"/>
        <v>455</v>
      </c>
      <c r="Q28">
        <f t="shared" si="6"/>
        <v>0.52098360655737697</v>
      </c>
      <c r="R28">
        <f t="shared" si="8"/>
        <v>9.7914754098360639</v>
      </c>
    </row>
    <row r="29" spans="1:18" x14ac:dyDescent="0.3">
      <c r="A29" t="s">
        <v>0</v>
      </c>
      <c r="B29" s="1">
        <v>45100</v>
      </c>
      <c r="C29" t="s">
        <v>7</v>
      </c>
      <c r="D29" t="s">
        <v>11</v>
      </c>
      <c r="E29">
        <v>1</v>
      </c>
      <c r="F29">
        <v>13</v>
      </c>
      <c r="G29">
        <v>0</v>
      </c>
      <c r="H29">
        <f>13.8-F29-G29</f>
        <v>0.80000000000000071</v>
      </c>
      <c r="I29">
        <f t="shared" ref="I29:I33" si="19">H29+G29</f>
        <v>0.80000000000000071</v>
      </c>
      <c r="J29">
        <f t="shared" ref="J29:J33" si="20">I29+F29</f>
        <v>13.8</v>
      </c>
      <c r="K29">
        <f t="shared" si="2"/>
        <v>0.60000000000000142</v>
      </c>
      <c r="L29">
        <f t="shared" si="7"/>
        <v>16.799999999999997</v>
      </c>
      <c r="M29">
        <f t="shared" si="3"/>
        <v>0.45901639344262307</v>
      </c>
      <c r="N29">
        <v>28</v>
      </c>
      <c r="O29">
        <f t="shared" si="4"/>
        <v>6.5</v>
      </c>
      <c r="P29">
        <f t="shared" si="5"/>
        <v>455</v>
      </c>
      <c r="Q29">
        <f t="shared" si="6"/>
        <v>0.52098360655737697</v>
      </c>
      <c r="R29">
        <f>R28+Q29</f>
        <v>10.31245901639344</v>
      </c>
    </row>
    <row r="30" spans="1:18" x14ac:dyDescent="0.3">
      <c r="A30" t="s">
        <v>1</v>
      </c>
      <c r="B30" s="1">
        <v>45101</v>
      </c>
      <c r="C30" t="s">
        <v>7</v>
      </c>
      <c r="D30" t="s">
        <v>11</v>
      </c>
      <c r="E30">
        <v>1</v>
      </c>
      <c r="F30">
        <v>13.2</v>
      </c>
      <c r="G30">
        <v>0</v>
      </c>
      <c r="H30">
        <f>13.5-F30-G30</f>
        <v>0.30000000000000071</v>
      </c>
      <c r="I30">
        <f t="shared" si="19"/>
        <v>0.30000000000000071</v>
      </c>
      <c r="J30">
        <f t="shared" si="20"/>
        <v>13.5</v>
      </c>
      <c r="K30">
        <f t="shared" si="2"/>
        <v>0.5</v>
      </c>
      <c r="L30">
        <f t="shared" si="7"/>
        <v>17.299999999999997</v>
      </c>
      <c r="M30">
        <f t="shared" si="3"/>
        <v>0.4098360655737705</v>
      </c>
      <c r="N30">
        <v>29</v>
      </c>
      <c r="O30">
        <f t="shared" si="4"/>
        <v>6.5</v>
      </c>
      <c r="P30">
        <f t="shared" si="5"/>
        <v>455</v>
      </c>
      <c r="Q30">
        <f t="shared" si="6"/>
        <v>0.57016393442622948</v>
      </c>
      <c r="R30">
        <f t="shared" ref="R30:R39" si="21">R29+Q30</f>
        <v>10.88262295081967</v>
      </c>
    </row>
    <row r="31" spans="1:18" x14ac:dyDescent="0.3">
      <c r="A31" t="s">
        <v>2</v>
      </c>
      <c r="B31" s="1">
        <v>45102</v>
      </c>
      <c r="C31" t="s">
        <v>7</v>
      </c>
      <c r="D31" t="s">
        <v>11</v>
      </c>
      <c r="E31">
        <v>1</v>
      </c>
      <c r="F31">
        <v>13</v>
      </c>
      <c r="G31">
        <v>0</v>
      </c>
      <c r="H31">
        <f>13.5-F31-G31</f>
        <v>0.5</v>
      </c>
      <c r="I31">
        <f t="shared" si="19"/>
        <v>0.5</v>
      </c>
      <c r="J31">
        <f t="shared" si="20"/>
        <v>13.5</v>
      </c>
      <c r="K31">
        <f t="shared" si="2"/>
        <v>0.59999999999999964</v>
      </c>
      <c r="L31">
        <f t="shared" si="7"/>
        <v>17.899999999999999</v>
      </c>
      <c r="M31">
        <f t="shared" si="3"/>
        <v>0.4098360655737705</v>
      </c>
      <c r="N31">
        <v>30</v>
      </c>
      <c r="O31">
        <f t="shared" si="4"/>
        <v>6.5</v>
      </c>
      <c r="P31">
        <f t="shared" si="5"/>
        <v>455</v>
      </c>
      <c r="Q31">
        <f t="shared" si="6"/>
        <v>0.57016393442622948</v>
      </c>
      <c r="R31">
        <f t="shared" si="21"/>
        <v>11.452786885245899</v>
      </c>
    </row>
    <row r="32" spans="1:18" x14ac:dyDescent="0.3">
      <c r="A32" t="s">
        <v>3</v>
      </c>
      <c r="B32" s="1">
        <v>45103</v>
      </c>
      <c r="C32" t="s">
        <v>7</v>
      </c>
      <c r="D32" t="s">
        <v>11</v>
      </c>
      <c r="E32">
        <v>1</v>
      </c>
      <c r="F32">
        <v>12.9</v>
      </c>
      <c r="G32">
        <v>0.5</v>
      </c>
      <c r="H32">
        <f>13.5-F32-G32</f>
        <v>9.9999999999999645E-2</v>
      </c>
      <c r="I32">
        <f t="shared" si="19"/>
        <v>0.59999999999999964</v>
      </c>
      <c r="J32">
        <f t="shared" si="20"/>
        <v>13.5</v>
      </c>
      <c r="K32">
        <f t="shared" si="2"/>
        <v>0.5</v>
      </c>
      <c r="L32">
        <f t="shared" si="7"/>
        <v>18.399999999999999</v>
      </c>
      <c r="M32">
        <f t="shared" si="3"/>
        <v>0.4098360655737705</v>
      </c>
      <c r="N32">
        <v>31</v>
      </c>
      <c r="O32">
        <f t="shared" si="4"/>
        <v>7</v>
      </c>
      <c r="P32">
        <f t="shared" si="5"/>
        <v>490</v>
      </c>
      <c r="Q32">
        <f t="shared" si="6"/>
        <v>0.57016393442622948</v>
      </c>
      <c r="R32">
        <f t="shared" si="21"/>
        <v>12.022950819672129</v>
      </c>
    </row>
    <row r="33" spans="1:18" x14ac:dyDescent="0.3">
      <c r="A33" t="s">
        <v>4</v>
      </c>
      <c r="B33" s="1">
        <v>45104</v>
      </c>
      <c r="C33" t="s">
        <v>7</v>
      </c>
      <c r="D33" t="s">
        <v>11</v>
      </c>
      <c r="E33">
        <v>1</v>
      </c>
      <c r="F33">
        <v>13</v>
      </c>
      <c r="G33">
        <v>0</v>
      </c>
      <c r="H33">
        <f>13.5-F33-G33</f>
        <v>0.5</v>
      </c>
      <c r="I33">
        <f t="shared" si="19"/>
        <v>0.5</v>
      </c>
      <c r="J33">
        <f t="shared" si="20"/>
        <v>13.5</v>
      </c>
      <c r="K33">
        <f t="shared" si="2"/>
        <v>0.69999999999999929</v>
      </c>
      <c r="L33">
        <f t="shared" si="7"/>
        <v>19.099999999999998</v>
      </c>
      <c r="M33">
        <f t="shared" si="3"/>
        <v>0.4098360655737705</v>
      </c>
      <c r="N33">
        <v>32</v>
      </c>
      <c r="O33">
        <f t="shared" si="4"/>
        <v>7</v>
      </c>
      <c r="P33">
        <f t="shared" si="5"/>
        <v>490</v>
      </c>
      <c r="Q33">
        <f t="shared" si="6"/>
        <v>0.57016393442622948</v>
      </c>
      <c r="R33">
        <f t="shared" si="21"/>
        <v>12.593114754098359</v>
      </c>
    </row>
    <row r="34" spans="1:18" x14ac:dyDescent="0.3">
      <c r="A34" t="s">
        <v>5</v>
      </c>
      <c r="B34" s="1">
        <v>45105</v>
      </c>
      <c r="C34" t="s">
        <v>7</v>
      </c>
      <c r="D34" t="s">
        <v>11</v>
      </c>
      <c r="E34">
        <v>1</v>
      </c>
      <c r="F34">
        <v>12.8</v>
      </c>
      <c r="G34">
        <v>0</v>
      </c>
      <c r="H34">
        <f>13.5-F34-G34</f>
        <v>0.69999999999999929</v>
      </c>
      <c r="I34">
        <f t="shared" ref="I34:I39" si="22">H34+G34</f>
        <v>0.69999999999999929</v>
      </c>
      <c r="J34">
        <f t="shared" ref="J34:J40" si="23">I34+F34</f>
        <v>13.5</v>
      </c>
      <c r="K34">
        <f t="shared" si="2"/>
        <v>0.69999999999999929</v>
      </c>
      <c r="L34">
        <f t="shared" si="7"/>
        <v>19.799999999999997</v>
      </c>
      <c r="M34">
        <f t="shared" si="3"/>
        <v>0.4098360655737705</v>
      </c>
      <c r="N34">
        <v>33</v>
      </c>
      <c r="O34">
        <f t="shared" si="4"/>
        <v>7</v>
      </c>
      <c r="P34">
        <f t="shared" si="5"/>
        <v>490</v>
      </c>
      <c r="Q34">
        <f t="shared" si="6"/>
        <v>0.57016393442622948</v>
      </c>
      <c r="R34">
        <f t="shared" si="21"/>
        <v>13.163278688524588</v>
      </c>
    </row>
    <row r="35" spans="1:18" x14ac:dyDescent="0.3">
      <c r="A35" t="s">
        <v>6</v>
      </c>
      <c r="B35" s="1">
        <v>45106</v>
      </c>
      <c r="C35" t="s">
        <v>7</v>
      </c>
      <c r="D35" t="s">
        <v>11</v>
      </c>
      <c r="E35">
        <v>1</v>
      </c>
      <c r="F35">
        <v>12.8</v>
      </c>
      <c r="G35">
        <v>0.5</v>
      </c>
      <c r="H35">
        <f t="shared" ref="H35:H38" si="24">13.5-F35-G35</f>
        <v>0.19999999999999929</v>
      </c>
      <c r="I35">
        <f t="shared" si="22"/>
        <v>0.69999999999999929</v>
      </c>
      <c r="J35">
        <f t="shared" si="23"/>
        <v>13.5</v>
      </c>
      <c r="K35">
        <f t="shared" si="2"/>
        <v>0.69999999999999929</v>
      </c>
      <c r="L35">
        <f t="shared" si="7"/>
        <v>20.499999999999996</v>
      </c>
      <c r="M35">
        <f t="shared" si="3"/>
        <v>0.4098360655737705</v>
      </c>
      <c r="N35">
        <v>34</v>
      </c>
      <c r="O35">
        <f t="shared" si="4"/>
        <v>7.5</v>
      </c>
      <c r="P35">
        <f t="shared" si="5"/>
        <v>525</v>
      </c>
      <c r="Q35">
        <f t="shared" si="6"/>
        <v>0.57016393442622948</v>
      </c>
      <c r="R35">
        <f t="shared" si="21"/>
        <v>13.733442622950818</v>
      </c>
    </row>
    <row r="36" spans="1:18" x14ac:dyDescent="0.3">
      <c r="A36" t="s">
        <v>0</v>
      </c>
      <c r="B36" s="1">
        <v>45107</v>
      </c>
      <c r="C36" t="s">
        <v>7</v>
      </c>
      <c r="D36" t="s">
        <v>11</v>
      </c>
      <c r="E36">
        <v>1</v>
      </c>
      <c r="F36">
        <v>12.8</v>
      </c>
      <c r="G36">
        <v>0</v>
      </c>
      <c r="H36">
        <f t="shared" si="24"/>
        <v>0.69999999999999929</v>
      </c>
      <c r="I36">
        <f t="shared" si="22"/>
        <v>0.69999999999999929</v>
      </c>
      <c r="J36">
        <f t="shared" si="23"/>
        <v>13.5</v>
      </c>
      <c r="K36">
        <f t="shared" si="2"/>
        <v>0.40000000000000036</v>
      </c>
      <c r="L36">
        <f t="shared" si="7"/>
        <v>20.9</v>
      </c>
      <c r="M36">
        <f t="shared" si="3"/>
        <v>0.4098360655737705</v>
      </c>
      <c r="N36">
        <v>35</v>
      </c>
      <c r="O36">
        <f t="shared" si="4"/>
        <v>7.5</v>
      </c>
      <c r="P36">
        <f t="shared" si="5"/>
        <v>525</v>
      </c>
      <c r="Q36">
        <f t="shared" si="6"/>
        <v>0.57016393442622948</v>
      </c>
      <c r="R36">
        <f t="shared" si="21"/>
        <v>14.303606557377048</v>
      </c>
    </row>
    <row r="37" spans="1:18" x14ac:dyDescent="0.3">
      <c r="A37" t="s">
        <v>1</v>
      </c>
      <c r="B37" s="1">
        <v>45108</v>
      </c>
      <c r="C37" t="s">
        <v>7</v>
      </c>
      <c r="D37" t="s">
        <v>11</v>
      </c>
      <c r="E37">
        <v>1</v>
      </c>
      <c r="F37">
        <v>13.1</v>
      </c>
      <c r="G37">
        <v>0</v>
      </c>
      <c r="H37">
        <f t="shared" si="24"/>
        <v>0.40000000000000036</v>
      </c>
      <c r="I37">
        <f t="shared" si="22"/>
        <v>0.40000000000000036</v>
      </c>
      <c r="J37">
        <f t="shared" si="23"/>
        <v>13.5</v>
      </c>
      <c r="K37">
        <f t="shared" si="2"/>
        <v>0.59999999999999964</v>
      </c>
      <c r="L37">
        <f t="shared" si="7"/>
        <v>21.5</v>
      </c>
      <c r="M37">
        <f t="shared" si="3"/>
        <v>0.4098360655737705</v>
      </c>
      <c r="N37">
        <v>36</v>
      </c>
      <c r="O37">
        <f t="shared" si="4"/>
        <v>7.5</v>
      </c>
      <c r="P37">
        <f t="shared" si="5"/>
        <v>525</v>
      </c>
      <c r="Q37">
        <f t="shared" si="6"/>
        <v>0.57016393442622948</v>
      </c>
      <c r="R37">
        <f t="shared" si="21"/>
        <v>14.873770491803278</v>
      </c>
    </row>
    <row r="38" spans="1:18" x14ac:dyDescent="0.3">
      <c r="A38" t="s">
        <v>2</v>
      </c>
      <c r="B38" s="1">
        <v>45109</v>
      </c>
      <c r="C38" t="s">
        <v>7</v>
      </c>
      <c r="D38" t="s">
        <v>11</v>
      </c>
      <c r="E38">
        <v>1</v>
      </c>
      <c r="F38">
        <v>12.9</v>
      </c>
      <c r="G38">
        <v>0</v>
      </c>
      <c r="H38">
        <f t="shared" si="24"/>
        <v>0.59999999999999964</v>
      </c>
      <c r="I38">
        <f t="shared" si="22"/>
        <v>0.59999999999999964</v>
      </c>
      <c r="J38">
        <f t="shared" si="23"/>
        <v>13.5</v>
      </c>
      <c r="K38">
        <f t="shared" si="2"/>
        <v>1</v>
      </c>
      <c r="L38">
        <f t="shared" si="7"/>
        <v>22.5</v>
      </c>
      <c r="M38">
        <f t="shared" si="3"/>
        <v>0.4098360655737705</v>
      </c>
      <c r="N38">
        <v>37</v>
      </c>
      <c r="O38">
        <f t="shared" si="4"/>
        <v>7.5</v>
      </c>
      <c r="P38">
        <f t="shared" si="5"/>
        <v>525</v>
      </c>
      <c r="Q38">
        <f t="shared" si="6"/>
        <v>0.57016393442622948</v>
      </c>
      <c r="R38">
        <f t="shared" si="21"/>
        <v>15.443934426229507</v>
      </c>
    </row>
    <row r="39" spans="1:18" x14ac:dyDescent="0.3">
      <c r="A39" t="s">
        <v>3</v>
      </c>
      <c r="B39" s="1">
        <v>45110</v>
      </c>
      <c r="C39" t="s">
        <v>7</v>
      </c>
      <c r="D39" t="s">
        <v>11</v>
      </c>
      <c r="E39">
        <v>1</v>
      </c>
      <c r="F39">
        <v>12.5</v>
      </c>
      <c r="G39">
        <v>0</v>
      </c>
      <c r="H39">
        <f>13.1-F39-G39</f>
        <v>0.59999999999999964</v>
      </c>
      <c r="I39">
        <f t="shared" si="22"/>
        <v>0.59999999999999964</v>
      </c>
      <c r="J39">
        <f t="shared" si="23"/>
        <v>13.1</v>
      </c>
      <c r="K39">
        <f t="shared" si="2"/>
        <v>0.59999999999999964</v>
      </c>
      <c r="L39">
        <f t="shared" si="7"/>
        <v>23.1</v>
      </c>
      <c r="M39">
        <f t="shared" si="3"/>
        <v>0.34426229508196715</v>
      </c>
      <c r="N39">
        <v>38</v>
      </c>
      <c r="O39">
        <f t="shared" si="4"/>
        <v>7.5</v>
      </c>
      <c r="P39">
        <f t="shared" si="5"/>
        <v>525</v>
      </c>
      <c r="Q39">
        <f t="shared" si="6"/>
        <v>0.63573770491803283</v>
      </c>
      <c r="R39">
        <f t="shared" si="21"/>
        <v>16.079672131147539</v>
      </c>
    </row>
    <row r="40" spans="1:18" x14ac:dyDescent="0.3">
      <c r="A40" t="s">
        <v>4</v>
      </c>
      <c r="B40" s="1">
        <v>45111</v>
      </c>
      <c r="C40" t="s">
        <v>7</v>
      </c>
      <c r="D40" t="s">
        <v>11</v>
      </c>
      <c r="E40">
        <v>1</v>
      </c>
      <c r="F40">
        <v>12.5</v>
      </c>
      <c r="G40">
        <v>0</v>
      </c>
      <c r="H40">
        <f>13.1-F40-G40</f>
        <v>0.59999999999999964</v>
      </c>
      <c r="I40">
        <f t="shared" ref="I40" si="25">H40+G40</f>
        <v>0.59999999999999964</v>
      </c>
      <c r="J40">
        <f t="shared" si="23"/>
        <v>13.1</v>
      </c>
    </row>
    <row r="41" spans="1:18" x14ac:dyDescent="0.3">
      <c r="A41" t="s">
        <v>1</v>
      </c>
      <c r="B41" s="1">
        <v>45073</v>
      </c>
      <c r="C41" t="s">
        <v>7</v>
      </c>
      <c r="D41" t="s">
        <v>11</v>
      </c>
      <c r="E41">
        <v>2</v>
      </c>
      <c r="F41">
        <v>17.100000000000001</v>
      </c>
      <c r="G41">
        <v>0</v>
      </c>
      <c r="H41">
        <v>0</v>
      </c>
      <c r="I41">
        <f>H41+G41</f>
        <v>0</v>
      </c>
      <c r="J41">
        <f>I41+F41</f>
        <v>17.100000000000001</v>
      </c>
      <c r="K41">
        <f>J41-F42</f>
        <v>0.10000000000000142</v>
      </c>
      <c r="M41">
        <f t="shared" si="3"/>
        <v>1.0000000000000002</v>
      </c>
      <c r="N41">
        <v>1</v>
      </c>
      <c r="O41">
        <v>2.5</v>
      </c>
      <c r="P41">
        <f>O41*70</f>
        <v>175</v>
      </c>
    </row>
    <row r="42" spans="1:18" x14ac:dyDescent="0.3">
      <c r="A42" t="s">
        <v>2</v>
      </c>
      <c r="B42" s="1">
        <v>45074</v>
      </c>
      <c r="C42" t="s">
        <v>7</v>
      </c>
      <c r="D42" t="s">
        <v>11</v>
      </c>
      <c r="E42">
        <v>2</v>
      </c>
      <c r="F42">
        <v>17</v>
      </c>
      <c r="G42">
        <v>0</v>
      </c>
      <c r="H42">
        <v>0</v>
      </c>
      <c r="I42">
        <f t="shared" ref="I42:I79" si="26">H42+G42</f>
        <v>0</v>
      </c>
      <c r="J42">
        <f t="shared" ref="J42:J79" si="27">I42+F42</f>
        <v>17</v>
      </c>
      <c r="K42">
        <f t="shared" ref="K42:K78" si="28">J42-F43</f>
        <v>0.10000000000000142</v>
      </c>
      <c r="L42">
        <f>K41+K42</f>
        <v>0.20000000000000284</v>
      </c>
      <c r="M42">
        <f t="shared" si="3"/>
        <v>0.98360655737704927</v>
      </c>
      <c r="N42">
        <v>2</v>
      </c>
      <c r="O42">
        <f t="shared" ref="O42:O81" si="29">O41+G42</f>
        <v>2.5</v>
      </c>
      <c r="P42">
        <f t="shared" ref="P42:P81" si="30">O42*70</f>
        <v>175</v>
      </c>
      <c r="Q42">
        <f t="shared" ref="Q42:Q81" si="31">0.98-M42</f>
        <v>-3.6065573770492909E-3</v>
      </c>
      <c r="R42">
        <f>Q41+Q42</f>
        <v>-3.6065573770492909E-3</v>
      </c>
    </row>
    <row r="43" spans="1:18" x14ac:dyDescent="0.3">
      <c r="A43" t="s">
        <v>3</v>
      </c>
      <c r="B43" s="1">
        <v>45075</v>
      </c>
      <c r="C43" t="s">
        <v>7</v>
      </c>
      <c r="D43" t="s">
        <v>11</v>
      </c>
      <c r="E43">
        <v>2</v>
      </c>
      <c r="F43">
        <v>16.899999999999999</v>
      </c>
      <c r="G43">
        <v>0.25</v>
      </c>
      <c r="H43">
        <v>0</v>
      </c>
      <c r="I43">
        <f t="shared" si="26"/>
        <v>0.25</v>
      </c>
      <c r="J43">
        <f t="shared" si="27"/>
        <v>17.149999999999999</v>
      </c>
      <c r="K43">
        <f t="shared" si="28"/>
        <v>0.25</v>
      </c>
      <c r="L43">
        <f>L42+K43</f>
        <v>0.45000000000000284</v>
      </c>
      <c r="M43">
        <f t="shared" si="3"/>
        <v>1.0081967213114753</v>
      </c>
      <c r="N43">
        <v>3</v>
      </c>
      <c r="O43">
        <f t="shared" si="29"/>
        <v>2.75</v>
      </c>
      <c r="P43">
        <f t="shared" si="30"/>
        <v>192.5</v>
      </c>
      <c r="Q43">
        <f t="shared" si="31"/>
        <v>-2.8196721311475326E-2</v>
      </c>
      <c r="R43">
        <f>R42+Q43</f>
        <v>-3.1803278688524617E-2</v>
      </c>
    </row>
    <row r="44" spans="1:18" x14ac:dyDescent="0.3">
      <c r="A44" t="s">
        <v>4</v>
      </c>
      <c r="B44" s="1">
        <v>45076</v>
      </c>
      <c r="C44" t="s">
        <v>7</v>
      </c>
      <c r="D44" t="s">
        <v>11</v>
      </c>
      <c r="E44">
        <v>2</v>
      </c>
      <c r="F44">
        <v>16.899999999999999</v>
      </c>
      <c r="G44">
        <v>0.25</v>
      </c>
      <c r="H44">
        <v>0</v>
      </c>
      <c r="I44">
        <f t="shared" si="26"/>
        <v>0.25</v>
      </c>
      <c r="J44">
        <f t="shared" si="27"/>
        <v>17.149999999999999</v>
      </c>
      <c r="K44">
        <f t="shared" si="28"/>
        <v>0.25</v>
      </c>
      <c r="L44">
        <f t="shared" ref="L44:L64" si="32">L43+K44</f>
        <v>0.70000000000000284</v>
      </c>
      <c r="M44">
        <f t="shared" si="3"/>
        <v>1.0081967213114753</v>
      </c>
      <c r="N44">
        <v>4</v>
      </c>
      <c r="O44">
        <f t="shared" si="29"/>
        <v>3</v>
      </c>
      <c r="P44">
        <f t="shared" si="30"/>
        <v>210</v>
      </c>
      <c r="Q44">
        <f t="shared" si="31"/>
        <v>-2.8196721311475326E-2</v>
      </c>
      <c r="R44">
        <f t="shared" ref="R44:R67" si="33">R43+Q44</f>
        <v>-5.9999999999999942E-2</v>
      </c>
    </row>
    <row r="45" spans="1:18" x14ac:dyDescent="0.3">
      <c r="A45" t="s">
        <v>5</v>
      </c>
      <c r="B45" s="1">
        <v>45077</v>
      </c>
      <c r="C45" t="s">
        <v>7</v>
      </c>
      <c r="D45" t="s">
        <v>11</v>
      </c>
      <c r="E45">
        <v>2</v>
      </c>
      <c r="F45">
        <v>16.899999999999999</v>
      </c>
      <c r="G45">
        <v>0</v>
      </c>
      <c r="H45">
        <v>0</v>
      </c>
      <c r="I45">
        <f t="shared" si="26"/>
        <v>0</v>
      </c>
      <c r="J45">
        <f t="shared" si="27"/>
        <v>16.899999999999999</v>
      </c>
      <c r="K45">
        <f t="shared" si="28"/>
        <v>0.29999999999999716</v>
      </c>
      <c r="L45">
        <f t="shared" si="32"/>
        <v>1</v>
      </c>
      <c r="M45">
        <f t="shared" si="3"/>
        <v>0.96721311475409821</v>
      </c>
      <c r="N45">
        <v>5</v>
      </c>
      <c r="O45">
        <f t="shared" si="29"/>
        <v>3</v>
      </c>
      <c r="P45">
        <f t="shared" si="30"/>
        <v>210</v>
      </c>
      <c r="Q45">
        <f t="shared" si="31"/>
        <v>1.2786885245901769E-2</v>
      </c>
      <c r="R45">
        <f t="shared" si="33"/>
        <v>-4.7213114754098173E-2</v>
      </c>
    </row>
    <row r="46" spans="1:18" x14ac:dyDescent="0.3">
      <c r="A46" t="s">
        <v>6</v>
      </c>
      <c r="B46" s="1">
        <v>45078</v>
      </c>
      <c r="C46" t="s">
        <v>7</v>
      </c>
      <c r="D46" t="s">
        <v>11</v>
      </c>
      <c r="E46">
        <v>2</v>
      </c>
      <c r="F46">
        <v>16.600000000000001</v>
      </c>
      <c r="G46">
        <v>0.25</v>
      </c>
      <c r="H46">
        <v>0</v>
      </c>
      <c r="I46">
        <f t="shared" si="26"/>
        <v>0.25</v>
      </c>
      <c r="J46">
        <f t="shared" si="27"/>
        <v>16.850000000000001</v>
      </c>
      <c r="K46">
        <f t="shared" si="28"/>
        <v>0.15000000000000213</v>
      </c>
      <c r="L46">
        <f t="shared" si="32"/>
        <v>1.1500000000000021</v>
      </c>
      <c r="M46">
        <f t="shared" si="3"/>
        <v>0.95901639344262324</v>
      </c>
      <c r="N46">
        <v>6</v>
      </c>
      <c r="O46">
        <f t="shared" si="29"/>
        <v>3.25</v>
      </c>
      <c r="P46">
        <f t="shared" si="30"/>
        <v>227.5</v>
      </c>
      <c r="Q46">
        <f t="shared" si="31"/>
        <v>2.0983606557376744E-2</v>
      </c>
      <c r="R46">
        <f t="shared" si="33"/>
        <v>-2.6229508196721429E-2</v>
      </c>
    </row>
    <row r="47" spans="1:18" x14ac:dyDescent="0.3">
      <c r="A47" t="s">
        <v>0</v>
      </c>
      <c r="B47" s="1">
        <v>45079</v>
      </c>
      <c r="C47" t="s">
        <v>7</v>
      </c>
      <c r="D47" t="s">
        <v>11</v>
      </c>
      <c r="E47">
        <v>2</v>
      </c>
      <c r="F47">
        <v>16.7</v>
      </c>
      <c r="G47">
        <v>0.25</v>
      </c>
      <c r="H47">
        <v>0</v>
      </c>
      <c r="I47">
        <f t="shared" si="26"/>
        <v>0.25</v>
      </c>
      <c r="J47">
        <f t="shared" si="27"/>
        <v>16.95</v>
      </c>
      <c r="K47">
        <f t="shared" si="28"/>
        <v>0.14999999999999858</v>
      </c>
      <c r="L47">
        <f t="shared" si="32"/>
        <v>1.3000000000000007</v>
      </c>
      <c r="M47">
        <f t="shared" si="3"/>
        <v>0.97540983606557374</v>
      </c>
      <c r="N47">
        <v>7</v>
      </c>
      <c r="O47">
        <f t="shared" si="29"/>
        <v>3.5</v>
      </c>
      <c r="P47">
        <f t="shared" si="30"/>
        <v>245</v>
      </c>
      <c r="Q47">
        <f t="shared" si="31"/>
        <v>4.590163934426239E-3</v>
      </c>
      <c r="R47">
        <f t="shared" si="33"/>
        <v>-2.163934426229519E-2</v>
      </c>
    </row>
    <row r="48" spans="1:18" x14ac:dyDescent="0.3">
      <c r="A48" t="s">
        <v>1</v>
      </c>
      <c r="B48" s="1">
        <v>45080</v>
      </c>
      <c r="C48" t="s">
        <v>7</v>
      </c>
      <c r="D48" t="s">
        <v>11</v>
      </c>
      <c r="E48">
        <v>2</v>
      </c>
      <c r="F48">
        <v>16.8</v>
      </c>
      <c r="G48">
        <v>0</v>
      </c>
      <c r="H48">
        <v>0</v>
      </c>
      <c r="I48">
        <f t="shared" si="26"/>
        <v>0</v>
      </c>
      <c r="J48">
        <f t="shared" si="27"/>
        <v>16.8</v>
      </c>
      <c r="K48">
        <f t="shared" si="28"/>
        <v>0.19999999999999929</v>
      </c>
      <c r="L48">
        <f t="shared" si="32"/>
        <v>1.5</v>
      </c>
      <c r="M48">
        <f t="shared" si="3"/>
        <v>0.95081967213114771</v>
      </c>
      <c r="N48">
        <v>8</v>
      </c>
      <c r="O48">
        <f t="shared" si="29"/>
        <v>3.5</v>
      </c>
      <c r="P48">
        <f t="shared" si="30"/>
        <v>245</v>
      </c>
      <c r="Q48">
        <f t="shared" si="31"/>
        <v>2.9180327868852274E-2</v>
      </c>
      <c r="R48">
        <f t="shared" si="33"/>
        <v>7.5409836065570834E-3</v>
      </c>
    </row>
    <row r="49" spans="1:18" x14ac:dyDescent="0.3">
      <c r="A49" t="s">
        <v>2</v>
      </c>
      <c r="B49" s="1">
        <v>45081</v>
      </c>
      <c r="C49" t="s">
        <v>7</v>
      </c>
      <c r="D49" t="s">
        <v>11</v>
      </c>
      <c r="E49">
        <v>2</v>
      </c>
      <c r="F49">
        <v>16.600000000000001</v>
      </c>
      <c r="G49">
        <v>0</v>
      </c>
      <c r="H49">
        <v>0</v>
      </c>
      <c r="I49">
        <f t="shared" si="26"/>
        <v>0</v>
      </c>
      <c r="J49">
        <f t="shared" si="27"/>
        <v>16.600000000000001</v>
      </c>
      <c r="K49">
        <f t="shared" si="28"/>
        <v>0.20000000000000284</v>
      </c>
      <c r="L49">
        <f t="shared" si="32"/>
        <v>1.7000000000000028</v>
      </c>
      <c r="M49">
        <f t="shared" si="3"/>
        <v>0.91803278688524614</v>
      </c>
      <c r="N49">
        <v>9</v>
      </c>
      <c r="O49">
        <f t="shared" si="29"/>
        <v>3.5</v>
      </c>
      <c r="P49">
        <f t="shared" si="30"/>
        <v>245</v>
      </c>
      <c r="Q49">
        <f t="shared" si="31"/>
        <v>6.1967213114753839E-2</v>
      </c>
      <c r="R49">
        <f t="shared" si="33"/>
        <v>6.9508196721310922E-2</v>
      </c>
    </row>
    <row r="50" spans="1:18" x14ac:dyDescent="0.3">
      <c r="A50" t="s">
        <v>3</v>
      </c>
      <c r="B50" s="1">
        <v>45082</v>
      </c>
      <c r="C50" t="s">
        <v>7</v>
      </c>
      <c r="D50" t="s">
        <v>11</v>
      </c>
      <c r="E50">
        <v>2</v>
      </c>
      <c r="F50">
        <v>16.399999999999999</v>
      </c>
      <c r="G50">
        <v>0.25</v>
      </c>
      <c r="H50">
        <v>0</v>
      </c>
      <c r="I50">
        <f t="shared" si="26"/>
        <v>0.25</v>
      </c>
      <c r="J50">
        <f t="shared" si="27"/>
        <v>16.649999999999999</v>
      </c>
      <c r="K50">
        <f t="shared" si="28"/>
        <v>0.25</v>
      </c>
      <c r="L50">
        <f t="shared" si="32"/>
        <v>1.9500000000000028</v>
      </c>
      <c r="M50">
        <f t="shared" si="3"/>
        <v>0.92622950819672112</v>
      </c>
      <c r="N50">
        <v>10</v>
      </c>
      <c r="O50">
        <f t="shared" si="29"/>
        <v>3.75</v>
      </c>
      <c r="P50">
        <f t="shared" si="30"/>
        <v>262.5</v>
      </c>
      <c r="Q50">
        <f t="shared" si="31"/>
        <v>5.3770491803278864E-2</v>
      </c>
      <c r="R50">
        <f t="shared" si="33"/>
        <v>0.12327868852458979</v>
      </c>
    </row>
    <row r="51" spans="1:18" x14ac:dyDescent="0.3">
      <c r="A51" t="s">
        <v>4</v>
      </c>
      <c r="B51" s="1">
        <v>45083</v>
      </c>
      <c r="C51" t="s">
        <v>7</v>
      </c>
      <c r="D51" t="s">
        <v>11</v>
      </c>
      <c r="E51">
        <v>2</v>
      </c>
      <c r="F51">
        <v>16.399999999999999</v>
      </c>
      <c r="G51">
        <v>0.25</v>
      </c>
      <c r="H51">
        <v>0</v>
      </c>
      <c r="I51">
        <f t="shared" si="26"/>
        <v>0.25</v>
      </c>
      <c r="J51">
        <f t="shared" si="27"/>
        <v>16.649999999999999</v>
      </c>
      <c r="K51">
        <f t="shared" si="28"/>
        <v>0.14999999999999858</v>
      </c>
      <c r="L51">
        <f t="shared" si="32"/>
        <v>2.1000000000000014</v>
      </c>
      <c r="M51">
        <f t="shared" si="3"/>
        <v>0.92622950819672112</v>
      </c>
      <c r="N51">
        <v>11</v>
      </c>
      <c r="O51">
        <f t="shared" si="29"/>
        <v>4</v>
      </c>
      <c r="P51">
        <f t="shared" si="30"/>
        <v>280</v>
      </c>
      <c r="Q51">
        <f t="shared" si="31"/>
        <v>5.3770491803278864E-2</v>
      </c>
      <c r="R51">
        <f t="shared" si="33"/>
        <v>0.17704918032786865</v>
      </c>
    </row>
    <row r="52" spans="1:18" x14ac:dyDescent="0.3">
      <c r="A52" t="s">
        <v>5</v>
      </c>
      <c r="B52" s="1">
        <v>45084</v>
      </c>
      <c r="C52" t="s">
        <v>7</v>
      </c>
      <c r="D52" t="s">
        <v>11</v>
      </c>
      <c r="E52">
        <v>2</v>
      </c>
      <c r="F52">
        <v>16.5</v>
      </c>
      <c r="G52">
        <v>0</v>
      </c>
      <c r="H52">
        <v>0</v>
      </c>
      <c r="I52">
        <f t="shared" si="26"/>
        <v>0</v>
      </c>
      <c r="J52">
        <f t="shared" si="27"/>
        <v>16.5</v>
      </c>
      <c r="K52">
        <f t="shared" si="28"/>
        <v>0.30000000000000071</v>
      </c>
      <c r="L52">
        <f t="shared" si="32"/>
        <v>2.4000000000000021</v>
      </c>
      <c r="M52">
        <f t="shared" si="3"/>
        <v>0.90163934426229508</v>
      </c>
      <c r="N52">
        <v>12</v>
      </c>
      <c r="O52">
        <f t="shared" si="29"/>
        <v>4</v>
      </c>
      <c r="P52">
        <f t="shared" si="30"/>
        <v>280</v>
      </c>
      <c r="Q52">
        <f t="shared" si="31"/>
        <v>7.8360655737704898E-2</v>
      </c>
      <c r="R52">
        <f t="shared" si="33"/>
        <v>0.25540983606557355</v>
      </c>
    </row>
    <row r="53" spans="1:18" x14ac:dyDescent="0.3">
      <c r="A53" t="s">
        <v>6</v>
      </c>
      <c r="B53" s="1">
        <v>45085</v>
      </c>
      <c r="C53" t="s">
        <v>7</v>
      </c>
      <c r="D53" t="s">
        <v>11</v>
      </c>
      <c r="E53">
        <v>2</v>
      </c>
      <c r="F53">
        <v>16.2</v>
      </c>
      <c r="G53">
        <v>0.25</v>
      </c>
      <c r="H53">
        <v>0</v>
      </c>
      <c r="I53">
        <f t="shared" si="26"/>
        <v>0.25</v>
      </c>
      <c r="J53">
        <f t="shared" si="27"/>
        <v>16.45</v>
      </c>
      <c r="K53">
        <f t="shared" si="28"/>
        <v>5.0000000000000711E-2</v>
      </c>
      <c r="L53">
        <f t="shared" si="32"/>
        <v>2.4500000000000028</v>
      </c>
      <c r="M53">
        <f t="shared" si="3"/>
        <v>0.89344262295081955</v>
      </c>
      <c r="N53">
        <v>13</v>
      </c>
      <c r="O53">
        <f t="shared" si="29"/>
        <v>4.25</v>
      </c>
      <c r="P53">
        <f t="shared" si="30"/>
        <v>297.5</v>
      </c>
      <c r="Q53">
        <f t="shared" si="31"/>
        <v>8.6557377049180428E-2</v>
      </c>
      <c r="R53">
        <f t="shared" si="33"/>
        <v>0.34196721311475398</v>
      </c>
    </row>
    <row r="54" spans="1:18" x14ac:dyDescent="0.3">
      <c r="A54" t="s">
        <v>0</v>
      </c>
      <c r="B54" s="1">
        <v>45086</v>
      </c>
      <c r="C54" t="s">
        <v>7</v>
      </c>
      <c r="D54" t="s">
        <v>11</v>
      </c>
      <c r="E54">
        <v>2</v>
      </c>
      <c r="F54">
        <v>16.399999999999999</v>
      </c>
      <c r="G54">
        <v>0.25</v>
      </c>
      <c r="H54">
        <v>0</v>
      </c>
      <c r="I54">
        <f t="shared" si="26"/>
        <v>0.25</v>
      </c>
      <c r="J54">
        <f t="shared" si="27"/>
        <v>16.649999999999999</v>
      </c>
      <c r="K54">
        <f t="shared" si="28"/>
        <v>0.74999999999999822</v>
      </c>
      <c r="L54">
        <f t="shared" si="32"/>
        <v>3.2000000000000011</v>
      </c>
      <c r="M54">
        <f t="shared" si="3"/>
        <v>0.92622950819672112</v>
      </c>
      <c r="N54">
        <v>14</v>
      </c>
      <c r="O54">
        <f t="shared" si="29"/>
        <v>4.5</v>
      </c>
      <c r="P54">
        <f t="shared" si="30"/>
        <v>315</v>
      </c>
      <c r="Q54">
        <f t="shared" si="31"/>
        <v>5.3770491803278864E-2</v>
      </c>
      <c r="R54">
        <f t="shared" si="33"/>
        <v>0.39573770491803284</v>
      </c>
    </row>
    <row r="55" spans="1:18" x14ac:dyDescent="0.3">
      <c r="A55" t="s">
        <v>1</v>
      </c>
      <c r="B55" s="1">
        <v>45087</v>
      </c>
      <c r="C55" t="s">
        <v>7</v>
      </c>
      <c r="D55" t="s">
        <v>11</v>
      </c>
      <c r="E55">
        <v>2</v>
      </c>
      <c r="F55">
        <v>15.9</v>
      </c>
      <c r="G55">
        <v>0</v>
      </c>
      <c r="H55">
        <v>0</v>
      </c>
      <c r="I55">
        <f t="shared" si="26"/>
        <v>0</v>
      </c>
      <c r="J55">
        <f t="shared" si="27"/>
        <v>15.9</v>
      </c>
      <c r="K55">
        <f t="shared" si="28"/>
        <v>0.20000000000000107</v>
      </c>
      <c r="L55">
        <f t="shared" si="32"/>
        <v>3.4000000000000021</v>
      </c>
      <c r="M55">
        <f t="shared" si="3"/>
        <v>0.80327868852459028</v>
      </c>
      <c r="N55">
        <v>15</v>
      </c>
      <c r="O55">
        <f t="shared" si="29"/>
        <v>4.5</v>
      </c>
      <c r="P55">
        <f t="shared" si="30"/>
        <v>315</v>
      </c>
      <c r="Q55">
        <f t="shared" si="31"/>
        <v>0.1767213114754097</v>
      </c>
      <c r="R55">
        <f t="shared" si="33"/>
        <v>0.57245901639344254</v>
      </c>
    </row>
    <row r="56" spans="1:18" x14ac:dyDescent="0.3">
      <c r="A56" t="s">
        <v>2</v>
      </c>
      <c r="B56" s="1">
        <v>45088</v>
      </c>
      <c r="C56" t="s">
        <v>7</v>
      </c>
      <c r="D56" t="s">
        <v>11</v>
      </c>
      <c r="E56">
        <v>2</v>
      </c>
      <c r="F56">
        <v>15.7</v>
      </c>
      <c r="G56">
        <v>0</v>
      </c>
      <c r="H56">
        <v>0</v>
      </c>
      <c r="I56">
        <f t="shared" si="26"/>
        <v>0</v>
      </c>
      <c r="J56">
        <f t="shared" si="27"/>
        <v>15.7</v>
      </c>
      <c r="K56">
        <f t="shared" si="28"/>
        <v>0.29999999999999893</v>
      </c>
      <c r="L56">
        <f t="shared" si="32"/>
        <v>3.7000000000000011</v>
      </c>
      <c r="M56">
        <f t="shared" si="3"/>
        <v>0.77049180327868849</v>
      </c>
      <c r="N56">
        <v>16</v>
      </c>
      <c r="O56">
        <f t="shared" si="29"/>
        <v>4.5</v>
      </c>
      <c r="P56">
        <f t="shared" si="30"/>
        <v>315</v>
      </c>
      <c r="Q56">
        <f t="shared" si="31"/>
        <v>0.20950819672131149</v>
      </c>
      <c r="R56">
        <f t="shared" si="33"/>
        <v>0.78196721311475403</v>
      </c>
    </row>
    <row r="57" spans="1:18" x14ac:dyDescent="0.3">
      <c r="A57" t="s">
        <v>3</v>
      </c>
      <c r="B57" s="1">
        <v>45089</v>
      </c>
      <c r="C57" t="s">
        <v>7</v>
      </c>
      <c r="D57" t="s">
        <v>11</v>
      </c>
      <c r="E57">
        <v>2</v>
      </c>
      <c r="F57">
        <v>15.4</v>
      </c>
      <c r="G57">
        <v>0.5</v>
      </c>
      <c r="H57">
        <v>0</v>
      </c>
      <c r="I57">
        <f t="shared" si="26"/>
        <v>0.5</v>
      </c>
      <c r="J57">
        <f t="shared" si="27"/>
        <v>15.9</v>
      </c>
      <c r="K57">
        <f t="shared" si="28"/>
        <v>0.40000000000000036</v>
      </c>
      <c r="L57">
        <f t="shared" si="32"/>
        <v>4.1000000000000014</v>
      </c>
      <c r="M57">
        <f t="shared" si="3"/>
        <v>0.80327868852459028</v>
      </c>
      <c r="N57">
        <v>17</v>
      </c>
      <c r="O57">
        <f t="shared" si="29"/>
        <v>5</v>
      </c>
      <c r="P57">
        <f t="shared" si="30"/>
        <v>350</v>
      </c>
      <c r="Q57">
        <f t="shared" si="31"/>
        <v>0.1767213114754097</v>
      </c>
      <c r="R57">
        <f t="shared" si="33"/>
        <v>0.95868852459016374</v>
      </c>
    </row>
    <row r="58" spans="1:18" x14ac:dyDescent="0.3">
      <c r="A58" t="s">
        <v>4</v>
      </c>
      <c r="B58" s="1">
        <v>45090</v>
      </c>
      <c r="C58" t="s">
        <v>7</v>
      </c>
      <c r="D58" t="s">
        <v>11</v>
      </c>
      <c r="E58">
        <v>2</v>
      </c>
      <c r="F58">
        <v>15.5</v>
      </c>
      <c r="G58">
        <v>0</v>
      </c>
      <c r="H58">
        <v>0</v>
      </c>
      <c r="I58">
        <f t="shared" si="26"/>
        <v>0</v>
      </c>
      <c r="J58">
        <f t="shared" si="27"/>
        <v>15.5</v>
      </c>
      <c r="K58">
        <f t="shared" si="28"/>
        <v>0.19999999999999929</v>
      </c>
      <c r="L58">
        <f t="shared" si="32"/>
        <v>4.3000000000000007</v>
      </c>
      <c r="M58">
        <f t="shared" si="3"/>
        <v>0.73770491803278693</v>
      </c>
      <c r="N58">
        <v>18</v>
      </c>
      <c r="O58">
        <f t="shared" si="29"/>
        <v>5</v>
      </c>
      <c r="P58">
        <f t="shared" si="30"/>
        <v>350</v>
      </c>
      <c r="Q58">
        <f t="shared" si="31"/>
        <v>0.24229508196721306</v>
      </c>
      <c r="R58">
        <f t="shared" si="33"/>
        <v>1.2009836065573767</v>
      </c>
    </row>
    <row r="59" spans="1:18" x14ac:dyDescent="0.3">
      <c r="A59" t="s">
        <v>5</v>
      </c>
      <c r="B59" s="1">
        <v>45091</v>
      </c>
      <c r="C59" t="s">
        <v>7</v>
      </c>
      <c r="D59" t="s">
        <v>11</v>
      </c>
      <c r="E59">
        <v>2</v>
      </c>
      <c r="F59">
        <v>15.3</v>
      </c>
      <c r="G59">
        <v>0</v>
      </c>
      <c r="H59">
        <v>0</v>
      </c>
      <c r="I59">
        <f t="shared" si="26"/>
        <v>0</v>
      </c>
      <c r="J59">
        <f t="shared" si="27"/>
        <v>15.3</v>
      </c>
      <c r="K59">
        <f t="shared" si="28"/>
        <v>0.40000000000000036</v>
      </c>
      <c r="L59">
        <f t="shared" si="32"/>
        <v>4.7000000000000011</v>
      </c>
      <c r="M59">
        <f t="shared" si="3"/>
        <v>0.70491803278688536</v>
      </c>
      <c r="N59">
        <v>19</v>
      </c>
      <c r="O59">
        <f t="shared" si="29"/>
        <v>5</v>
      </c>
      <c r="P59">
        <f t="shared" si="30"/>
        <v>350</v>
      </c>
      <c r="Q59">
        <f t="shared" si="31"/>
        <v>0.27508196721311462</v>
      </c>
      <c r="R59">
        <f t="shared" si="33"/>
        <v>1.4760655737704913</v>
      </c>
    </row>
    <row r="60" spans="1:18" x14ac:dyDescent="0.3">
      <c r="A60" t="s">
        <v>6</v>
      </c>
      <c r="B60" s="1">
        <v>45092</v>
      </c>
      <c r="C60" t="s">
        <v>7</v>
      </c>
      <c r="D60" t="s">
        <v>11</v>
      </c>
      <c r="E60">
        <v>2</v>
      </c>
      <c r="F60">
        <v>14.9</v>
      </c>
      <c r="G60">
        <v>0.5</v>
      </c>
      <c r="H60">
        <v>0</v>
      </c>
      <c r="I60">
        <f t="shared" si="26"/>
        <v>0.5</v>
      </c>
      <c r="J60">
        <f t="shared" si="27"/>
        <v>15.4</v>
      </c>
      <c r="K60">
        <f t="shared" si="28"/>
        <v>0.80000000000000071</v>
      </c>
      <c r="L60">
        <f t="shared" si="32"/>
        <v>5.5000000000000018</v>
      </c>
      <c r="M60">
        <f t="shared" si="3"/>
        <v>0.7213114754098362</v>
      </c>
      <c r="N60">
        <v>20</v>
      </c>
      <c r="O60">
        <f t="shared" si="29"/>
        <v>5.5</v>
      </c>
      <c r="P60">
        <f t="shared" si="30"/>
        <v>385</v>
      </c>
      <c r="Q60">
        <f t="shared" si="31"/>
        <v>0.25868852459016378</v>
      </c>
      <c r="R60">
        <f t="shared" si="33"/>
        <v>1.7347540983606551</v>
      </c>
    </row>
    <row r="61" spans="1:18" x14ac:dyDescent="0.3">
      <c r="A61" t="s">
        <v>0</v>
      </c>
      <c r="B61" s="1">
        <v>45093</v>
      </c>
      <c r="C61" t="s">
        <v>7</v>
      </c>
      <c r="D61" t="s">
        <v>11</v>
      </c>
      <c r="E61">
        <v>2</v>
      </c>
      <c r="F61">
        <v>14.6</v>
      </c>
      <c r="G61">
        <v>0</v>
      </c>
      <c r="H61">
        <f>14.6-F61-G61</f>
        <v>0</v>
      </c>
      <c r="I61">
        <f t="shared" si="26"/>
        <v>0</v>
      </c>
      <c r="J61">
        <f t="shared" si="27"/>
        <v>14.6</v>
      </c>
      <c r="K61">
        <f t="shared" si="28"/>
        <v>0.29999999999999893</v>
      </c>
      <c r="L61">
        <f t="shared" si="32"/>
        <v>5.8000000000000007</v>
      </c>
      <c r="M61">
        <f t="shared" si="3"/>
        <v>0.5901639344262295</v>
      </c>
      <c r="N61">
        <v>21</v>
      </c>
      <c r="O61">
        <f t="shared" si="29"/>
        <v>5.5</v>
      </c>
      <c r="P61">
        <f t="shared" si="30"/>
        <v>385</v>
      </c>
      <c r="Q61">
        <f t="shared" si="31"/>
        <v>0.38983606557377048</v>
      </c>
      <c r="R61">
        <f t="shared" si="33"/>
        <v>2.1245901639344256</v>
      </c>
    </row>
    <row r="62" spans="1:18" x14ac:dyDescent="0.3">
      <c r="A62" t="s">
        <v>1</v>
      </c>
      <c r="B62" s="1">
        <v>45094</v>
      </c>
      <c r="C62" t="s">
        <v>7</v>
      </c>
      <c r="D62" t="s">
        <v>11</v>
      </c>
      <c r="E62">
        <v>2</v>
      </c>
      <c r="F62">
        <v>14.3</v>
      </c>
      <c r="G62">
        <v>0</v>
      </c>
      <c r="H62">
        <f>14.4-F62-G62</f>
        <v>9.9999999999999645E-2</v>
      </c>
      <c r="I62">
        <f t="shared" si="26"/>
        <v>9.9999999999999645E-2</v>
      </c>
      <c r="J62">
        <f t="shared" si="27"/>
        <v>14.4</v>
      </c>
      <c r="K62">
        <f t="shared" si="28"/>
        <v>0.20000000000000107</v>
      </c>
      <c r="L62">
        <f t="shared" si="32"/>
        <v>6.0000000000000018</v>
      </c>
      <c r="M62">
        <f t="shared" si="3"/>
        <v>0.55737704918032793</v>
      </c>
      <c r="N62">
        <v>22</v>
      </c>
      <c r="O62">
        <f t="shared" si="29"/>
        <v>5.5</v>
      </c>
      <c r="P62">
        <f t="shared" si="30"/>
        <v>385</v>
      </c>
      <c r="Q62">
        <f t="shared" si="31"/>
        <v>0.42262295081967205</v>
      </c>
      <c r="R62">
        <f t="shared" si="33"/>
        <v>2.5472131147540975</v>
      </c>
    </row>
    <row r="63" spans="1:18" x14ac:dyDescent="0.3">
      <c r="A63" t="s">
        <v>2</v>
      </c>
      <c r="B63" s="1">
        <v>45095</v>
      </c>
      <c r="C63" t="s">
        <v>7</v>
      </c>
      <c r="D63" t="s">
        <v>11</v>
      </c>
      <c r="E63">
        <v>2</v>
      </c>
      <c r="F63">
        <v>14.2</v>
      </c>
      <c r="G63">
        <v>0</v>
      </c>
      <c r="H63">
        <f>14.4-F63-G63</f>
        <v>0.20000000000000107</v>
      </c>
      <c r="I63">
        <f t="shared" si="26"/>
        <v>0.20000000000000107</v>
      </c>
      <c r="J63">
        <f t="shared" si="27"/>
        <v>14.4</v>
      </c>
      <c r="K63">
        <f t="shared" si="28"/>
        <v>0.20000000000000107</v>
      </c>
      <c r="L63">
        <f t="shared" si="32"/>
        <v>6.2000000000000028</v>
      </c>
      <c r="M63">
        <f t="shared" si="3"/>
        <v>0.55737704918032793</v>
      </c>
      <c r="N63">
        <v>23</v>
      </c>
      <c r="O63">
        <f t="shared" si="29"/>
        <v>5.5</v>
      </c>
      <c r="P63">
        <f t="shared" si="30"/>
        <v>385</v>
      </c>
      <c r="Q63">
        <f t="shared" si="31"/>
        <v>0.42262295081967205</v>
      </c>
      <c r="R63">
        <f t="shared" si="33"/>
        <v>2.9698360655737694</v>
      </c>
    </row>
    <row r="64" spans="1:18" x14ac:dyDescent="0.3">
      <c r="A64" t="s">
        <v>3</v>
      </c>
      <c r="B64" s="1">
        <v>45096</v>
      </c>
      <c r="C64" t="s">
        <v>7</v>
      </c>
      <c r="D64" t="s">
        <v>11</v>
      </c>
      <c r="E64">
        <v>2</v>
      </c>
      <c r="F64">
        <v>14.2</v>
      </c>
      <c r="G64">
        <v>0.5</v>
      </c>
      <c r="H64">
        <v>0</v>
      </c>
      <c r="I64">
        <f t="shared" si="26"/>
        <v>0.5</v>
      </c>
      <c r="J64">
        <f t="shared" si="27"/>
        <v>14.7</v>
      </c>
      <c r="K64">
        <f t="shared" si="28"/>
        <v>0.39999999999999858</v>
      </c>
      <c r="L64">
        <f t="shared" si="32"/>
        <v>6.6000000000000014</v>
      </c>
      <c r="M64">
        <f t="shared" si="3"/>
        <v>0.60655737704918022</v>
      </c>
      <c r="N64">
        <v>24</v>
      </c>
      <c r="O64">
        <f t="shared" si="29"/>
        <v>6</v>
      </c>
      <c r="P64">
        <f t="shared" si="30"/>
        <v>420</v>
      </c>
      <c r="Q64">
        <f t="shared" si="31"/>
        <v>0.37344262295081976</v>
      </c>
      <c r="R64">
        <f t="shared" si="33"/>
        <v>3.3432786885245891</v>
      </c>
    </row>
    <row r="65" spans="1:18" x14ac:dyDescent="0.3">
      <c r="A65" t="s">
        <v>4</v>
      </c>
      <c r="B65" s="1">
        <v>45097</v>
      </c>
      <c r="C65" t="s">
        <v>7</v>
      </c>
      <c r="D65" t="s">
        <v>11</v>
      </c>
      <c r="E65">
        <v>2</v>
      </c>
      <c r="F65">
        <v>14.3</v>
      </c>
      <c r="G65">
        <v>0</v>
      </c>
      <c r="H65">
        <v>0</v>
      </c>
      <c r="I65">
        <f t="shared" si="26"/>
        <v>0</v>
      </c>
      <c r="J65">
        <f t="shared" si="27"/>
        <v>14.3</v>
      </c>
      <c r="K65">
        <f t="shared" si="28"/>
        <v>0.30000000000000071</v>
      </c>
      <c r="L65">
        <f>L64+K65</f>
        <v>6.9000000000000021</v>
      </c>
      <c r="M65">
        <f t="shared" si="3"/>
        <v>0.54098360655737721</v>
      </c>
      <c r="N65">
        <v>25</v>
      </c>
      <c r="O65">
        <f t="shared" si="29"/>
        <v>6</v>
      </c>
      <c r="P65">
        <f t="shared" si="30"/>
        <v>420</v>
      </c>
      <c r="Q65">
        <f t="shared" si="31"/>
        <v>0.43901639344262278</v>
      </c>
      <c r="R65">
        <f t="shared" si="33"/>
        <v>3.7822950819672121</v>
      </c>
    </row>
    <row r="66" spans="1:18" x14ac:dyDescent="0.3">
      <c r="A66" t="s">
        <v>5</v>
      </c>
      <c r="B66" s="1">
        <v>45098</v>
      </c>
      <c r="C66" t="s">
        <v>7</v>
      </c>
      <c r="D66" t="s">
        <v>11</v>
      </c>
      <c r="E66">
        <v>2</v>
      </c>
      <c r="F66">
        <v>14</v>
      </c>
      <c r="G66">
        <v>0</v>
      </c>
      <c r="H66">
        <f>14-F66-G66</f>
        <v>0</v>
      </c>
      <c r="I66">
        <f t="shared" si="26"/>
        <v>0</v>
      </c>
      <c r="J66">
        <f t="shared" si="27"/>
        <v>14</v>
      </c>
      <c r="K66">
        <f t="shared" si="28"/>
        <v>0.30000000000000071</v>
      </c>
      <c r="L66">
        <f t="shared" ref="L66:L78" si="34">L65+K66</f>
        <v>7.2000000000000028</v>
      </c>
      <c r="M66">
        <f t="shared" si="3"/>
        <v>0.49180327868852464</v>
      </c>
      <c r="N66">
        <v>26</v>
      </c>
      <c r="O66">
        <f t="shared" si="29"/>
        <v>6</v>
      </c>
      <c r="P66">
        <f t="shared" si="30"/>
        <v>420</v>
      </c>
      <c r="Q66">
        <f t="shared" si="31"/>
        <v>0.48819672131147535</v>
      </c>
      <c r="R66">
        <f t="shared" si="33"/>
        <v>4.2704918032786878</v>
      </c>
    </row>
    <row r="67" spans="1:18" x14ac:dyDescent="0.3">
      <c r="A67" t="s">
        <v>6</v>
      </c>
      <c r="B67" s="1">
        <v>45099</v>
      </c>
      <c r="C67" t="s">
        <v>7</v>
      </c>
      <c r="D67" t="s">
        <v>11</v>
      </c>
      <c r="E67">
        <v>2</v>
      </c>
      <c r="F67">
        <v>13.7</v>
      </c>
      <c r="G67">
        <v>0.5</v>
      </c>
      <c r="H67">
        <f>14.3-F67-G67</f>
        <v>0.10000000000000142</v>
      </c>
      <c r="I67">
        <f t="shared" si="26"/>
        <v>0.60000000000000142</v>
      </c>
      <c r="J67">
        <f t="shared" si="27"/>
        <v>14.3</v>
      </c>
      <c r="K67">
        <f t="shared" si="28"/>
        <v>0.40000000000000036</v>
      </c>
      <c r="L67">
        <f t="shared" si="34"/>
        <v>7.6000000000000032</v>
      </c>
      <c r="M67">
        <f t="shared" ref="M67:M130" si="35">(J67-11)/6.1</f>
        <v>0.54098360655737721</v>
      </c>
      <c r="N67">
        <v>27</v>
      </c>
      <c r="O67">
        <f t="shared" si="29"/>
        <v>6.5</v>
      </c>
      <c r="P67">
        <f t="shared" si="30"/>
        <v>455</v>
      </c>
      <c r="Q67">
        <f t="shared" si="31"/>
        <v>0.43901639344262278</v>
      </c>
      <c r="R67">
        <f t="shared" si="33"/>
        <v>4.7095081967213108</v>
      </c>
    </row>
    <row r="68" spans="1:18" x14ac:dyDescent="0.3">
      <c r="A68" t="s">
        <v>0</v>
      </c>
      <c r="B68" s="1">
        <v>45100</v>
      </c>
      <c r="C68" t="s">
        <v>7</v>
      </c>
      <c r="D68" t="s">
        <v>11</v>
      </c>
      <c r="E68">
        <v>2</v>
      </c>
      <c r="F68">
        <v>13.9</v>
      </c>
      <c r="G68">
        <v>0</v>
      </c>
      <c r="H68">
        <f>14-F68-G68</f>
        <v>9.9999999999999645E-2</v>
      </c>
      <c r="I68">
        <f t="shared" si="26"/>
        <v>9.9999999999999645E-2</v>
      </c>
      <c r="J68">
        <f t="shared" si="27"/>
        <v>14</v>
      </c>
      <c r="K68">
        <f t="shared" si="28"/>
        <v>0.19999999999999929</v>
      </c>
      <c r="L68">
        <f t="shared" si="34"/>
        <v>7.8000000000000025</v>
      </c>
      <c r="M68">
        <f t="shared" si="35"/>
        <v>0.49180327868852464</v>
      </c>
      <c r="N68">
        <v>28</v>
      </c>
      <c r="O68">
        <f t="shared" si="29"/>
        <v>6.5</v>
      </c>
      <c r="P68">
        <f t="shared" si="30"/>
        <v>455</v>
      </c>
      <c r="Q68">
        <f t="shared" si="31"/>
        <v>0.48819672131147535</v>
      </c>
      <c r="R68">
        <f>R67+Q68</f>
        <v>5.1977049180327866</v>
      </c>
    </row>
    <row r="69" spans="1:18" x14ac:dyDescent="0.3">
      <c r="A69" t="s">
        <v>1</v>
      </c>
      <c r="B69" s="1">
        <v>45101</v>
      </c>
      <c r="C69" t="s">
        <v>7</v>
      </c>
      <c r="D69" t="s">
        <v>11</v>
      </c>
      <c r="E69">
        <v>2</v>
      </c>
      <c r="F69">
        <v>13.8</v>
      </c>
      <c r="G69">
        <v>0</v>
      </c>
      <c r="H69">
        <f>13.8-F69-G69</f>
        <v>0</v>
      </c>
      <c r="I69">
        <f t="shared" si="26"/>
        <v>0</v>
      </c>
      <c r="J69">
        <f t="shared" si="27"/>
        <v>13.8</v>
      </c>
      <c r="K69">
        <f t="shared" si="28"/>
        <v>0.40000000000000036</v>
      </c>
      <c r="L69">
        <f t="shared" si="34"/>
        <v>8.2000000000000028</v>
      </c>
      <c r="M69">
        <f t="shared" si="35"/>
        <v>0.45901639344262307</v>
      </c>
      <c r="N69">
        <v>29</v>
      </c>
      <c r="O69">
        <f t="shared" si="29"/>
        <v>6.5</v>
      </c>
      <c r="P69">
        <f t="shared" si="30"/>
        <v>455</v>
      </c>
      <c r="Q69">
        <f t="shared" si="31"/>
        <v>0.52098360655737697</v>
      </c>
      <c r="R69">
        <f t="shared" ref="R69:R78" si="36">R68+Q69</f>
        <v>5.7186885245901635</v>
      </c>
    </row>
    <row r="70" spans="1:18" x14ac:dyDescent="0.3">
      <c r="A70" t="s">
        <v>2</v>
      </c>
      <c r="B70" s="1">
        <v>45102</v>
      </c>
      <c r="C70" t="s">
        <v>7</v>
      </c>
      <c r="D70" t="s">
        <v>11</v>
      </c>
      <c r="E70">
        <v>2</v>
      </c>
      <c r="F70">
        <v>13.4</v>
      </c>
      <c r="G70">
        <v>0</v>
      </c>
      <c r="H70">
        <f>13.5-F70-G70</f>
        <v>9.9999999999999645E-2</v>
      </c>
      <c r="I70">
        <f t="shared" si="26"/>
        <v>9.9999999999999645E-2</v>
      </c>
      <c r="J70">
        <f t="shared" si="27"/>
        <v>13.5</v>
      </c>
      <c r="K70">
        <f t="shared" si="28"/>
        <v>0.40000000000000036</v>
      </c>
      <c r="L70">
        <f t="shared" si="34"/>
        <v>8.6000000000000032</v>
      </c>
      <c r="M70">
        <f t="shared" si="35"/>
        <v>0.4098360655737705</v>
      </c>
      <c r="N70">
        <v>30</v>
      </c>
      <c r="O70">
        <f t="shared" si="29"/>
        <v>6.5</v>
      </c>
      <c r="P70">
        <f t="shared" si="30"/>
        <v>455</v>
      </c>
      <c r="Q70">
        <f t="shared" si="31"/>
        <v>0.57016393442622948</v>
      </c>
      <c r="R70">
        <f t="shared" si="36"/>
        <v>6.2888524590163932</v>
      </c>
    </row>
    <row r="71" spans="1:18" x14ac:dyDescent="0.3">
      <c r="A71" t="s">
        <v>3</v>
      </c>
      <c r="B71" s="1">
        <v>45103</v>
      </c>
      <c r="C71" t="s">
        <v>7</v>
      </c>
      <c r="D71" t="s">
        <v>11</v>
      </c>
      <c r="E71">
        <v>2</v>
      </c>
      <c r="F71">
        <v>13.1</v>
      </c>
      <c r="G71">
        <v>0.5</v>
      </c>
      <c r="H71">
        <v>0</v>
      </c>
      <c r="I71">
        <f t="shared" si="26"/>
        <v>0.5</v>
      </c>
      <c r="J71">
        <f t="shared" si="27"/>
        <v>13.6</v>
      </c>
      <c r="K71">
        <f t="shared" si="28"/>
        <v>0.29999999999999893</v>
      </c>
      <c r="L71">
        <f t="shared" si="34"/>
        <v>8.9000000000000021</v>
      </c>
      <c r="M71">
        <f t="shared" si="35"/>
        <v>0.42622950819672129</v>
      </c>
      <c r="N71">
        <v>31</v>
      </c>
      <c r="O71">
        <f t="shared" si="29"/>
        <v>7</v>
      </c>
      <c r="P71">
        <f t="shared" si="30"/>
        <v>490</v>
      </c>
      <c r="Q71">
        <f t="shared" si="31"/>
        <v>0.55377049180327864</v>
      </c>
      <c r="R71">
        <f t="shared" si="36"/>
        <v>6.8426229508196723</v>
      </c>
    </row>
    <row r="72" spans="1:18" x14ac:dyDescent="0.3">
      <c r="A72" t="s">
        <v>4</v>
      </c>
      <c r="B72" s="1">
        <v>45104</v>
      </c>
      <c r="C72" t="s">
        <v>7</v>
      </c>
      <c r="D72" t="s">
        <v>11</v>
      </c>
      <c r="E72">
        <v>2</v>
      </c>
      <c r="F72">
        <v>13.3</v>
      </c>
      <c r="G72">
        <v>0</v>
      </c>
      <c r="H72">
        <f>13.5-F72-G72</f>
        <v>0.19999999999999929</v>
      </c>
      <c r="I72">
        <f t="shared" si="26"/>
        <v>0.19999999999999929</v>
      </c>
      <c r="J72">
        <f t="shared" si="27"/>
        <v>13.5</v>
      </c>
      <c r="K72">
        <f t="shared" si="28"/>
        <v>0.5</v>
      </c>
      <c r="L72">
        <f t="shared" si="34"/>
        <v>9.4000000000000021</v>
      </c>
      <c r="M72">
        <f t="shared" si="35"/>
        <v>0.4098360655737705</v>
      </c>
      <c r="N72">
        <v>32</v>
      </c>
      <c r="O72">
        <f t="shared" si="29"/>
        <v>7</v>
      </c>
      <c r="P72">
        <f t="shared" si="30"/>
        <v>490</v>
      </c>
      <c r="Q72">
        <f t="shared" si="31"/>
        <v>0.57016393442622948</v>
      </c>
      <c r="R72">
        <f t="shared" si="36"/>
        <v>7.412786885245902</v>
      </c>
    </row>
    <row r="73" spans="1:18" x14ac:dyDescent="0.3">
      <c r="A73" t="s">
        <v>5</v>
      </c>
      <c r="B73" s="1">
        <v>45105</v>
      </c>
      <c r="C73" t="s">
        <v>7</v>
      </c>
      <c r="D73" t="s">
        <v>11</v>
      </c>
      <c r="E73">
        <v>2</v>
      </c>
      <c r="F73">
        <v>13</v>
      </c>
      <c r="G73">
        <v>0</v>
      </c>
      <c r="H73">
        <f>13.5-F73-G73</f>
        <v>0.5</v>
      </c>
      <c r="I73">
        <f t="shared" si="26"/>
        <v>0.5</v>
      </c>
      <c r="J73">
        <f t="shared" si="27"/>
        <v>13.5</v>
      </c>
      <c r="K73">
        <f t="shared" si="28"/>
        <v>0.19999999999999929</v>
      </c>
      <c r="L73">
        <f t="shared" si="34"/>
        <v>9.6000000000000014</v>
      </c>
      <c r="M73">
        <f t="shared" si="35"/>
        <v>0.4098360655737705</v>
      </c>
      <c r="N73">
        <v>33</v>
      </c>
      <c r="O73">
        <f t="shared" si="29"/>
        <v>7</v>
      </c>
      <c r="P73">
        <f t="shared" si="30"/>
        <v>490</v>
      </c>
      <c r="Q73">
        <f t="shared" si="31"/>
        <v>0.57016393442622948</v>
      </c>
      <c r="R73">
        <f t="shared" si="36"/>
        <v>7.9829508196721317</v>
      </c>
    </row>
    <row r="74" spans="1:18" x14ac:dyDescent="0.3">
      <c r="A74" t="s">
        <v>6</v>
      </c>
      <c r="B74" s="1">
        <v>45106</v>
      </c>
      <c r="C74" t="s">
        <v>7</v>
      </c>
      <c r="D74" t="s">
        <v>11</v>
      </c>
      <c r="E74">
        <v>2</v>
      </c>
      <c r="F74">
        <v>13.3</v>
      </c>
      <c r="G74">
        <v>0.5</v>
      </c>
      <c r="H74">
        <f t="shared" ref="H74:H77" si="37">13.5-F74-G74</f>
        <v>-0.30000000000000071</v>
      </c>
      <c r="I74">
        <f t="shared" si="26"/>
        <v>0.19999999999999929</v>
      </c>
      <c r="J74">
        <f t="shared" si="27"/>
        <v>13.5</v>
      </c>
      <c r="K74">
        <f t="shared" si="28"/>
        <v>9.9999999999999645E-2</v>
      </c>
      <c r="L74">
        <f t="shared" si="34"/>
        <v>9.7000000000000011</v>
      </c>
      <c r="M74">
        <f t="shared" si="35"/>
        <v>0.4098360655737705</v>
      </c>
      <c r="N74">
        <v>34</v>
      </c>
      <c r="O74">
        <f t="shared" si="29"/>
        <v>7.5</v>
      </c>
      <c r="P74">
        <f t="shared" si="30"/>
        <v>525</v>
      </c>
      <c r="Q74">
        <f t="shared" si="31"/>
        <v>0.57016393442622948</v>
      </c>
      <c r="R74">
        <f t="shared" si="36"/>
        <v>8.5531147540983614</v>
      </c>
    </row>
    <row r="75" spans="1:18" x14ac:dyDescent="0.3">
      <c r="A75" t="s">
        <v>0</v>
      </c>
      <c r="B75" s="1">
        <v>45107</v>
      </c>
      <c r="C75" t="s">
        <v>7</v>
      </c>
      <c r="D75" t="s">
        <v>11</v>
      </c>
      <c r="E75">
        <v>2</v>
      </c>
      <c r="F75">
        <v>13.4</v>
      </c>
      <c r="G75">
        <v>0</v>
      </c>
      <c r="H75">
        <f t="shared" si="37"/>
        <v>9.9999999999999645E-2</v>
      </c>
      <c r="I75">
        <f t="shared" si="26"/>
        <v>9.9999999999999645E-2</v>
      </c>
      <c r="J75">
        <f t="shared" si="27"/>
        <v>13.5</v>
      </c>
      <c r="K75">
        <f t="shared" si="28"/>
        <v>0.19999999999999929</v>
      </c>
      <c r="L75">
        <f t="shared" si="34"/>
        <v>9.9</v>
      </c>
      <c r="M75">
        <f t="shared" si="35"/>
        <v>0.4098360655737705</v>
      </c>
      <c r="N75">
        <v>35</v>
      </c>
      <c r="O75">
        <f t="shared" si="29"/>
        <v>7.5</v>
      </c>
      <c r="P75">
        <f t="shared" si="30"/>
        <v>525</v>
      </c>
      <c r="Q75">
        <f t="shared" si="31"/>
        <v>0.57016393442622948</v>
      </c>
      <c r="R75">
        <f t="shared" si="36"/>
        <v>9.1232786885245911</v>
      </c>
    </row>
    <row r="76" spans="1:18" x14ac:dyDescent="0.3">
      <c r="A76" t="s">
        <v>1</v>
      </c>
      <c r="B76" s="1">
        <v>45108</v>
      </c>
      <c r="C76" t="s">
        <v>7</v>
      </c>
      <c r="D76" t="s">
        <v>11</v>
      </c>
      <c r="E76">
        <v>2</v>
      </c>
      <c r="F76">
        <v>13.3</v>
      </c>
      <c r="G76">
        <v>0</v>
      </c>
      <c r="H76">
        <f t="shared" si="37"/>
        <v>0.19999999999999929</v>
      </c>
      <c r="I76">
        <f t="shared" si="26"/>
        <v>0.19999999999999929</v>
      </c>
      <c r="J76">
        <f t="shared" si="27"/>
        <v>13.5</v>
      </c>
      <c r="K76">
        <f t="shared" si="28"/>
        <v>0.30000000000000071</v>
      </c>
      <c r="L76">
        <f t="shared" si="34"/>
        <v>10.200000000000001</v>
      </c>
      <c r="M76">
        <f t="shared" si="35"/>
        <v>0.4098360655737705</v>
      </c>
      <c r="N76">
        <v>36</v>
      </c>
      <c r="O76">
        <f t="shared" si="29"/>
        <v>7.5</v>
      </c>
      <c r="P76">
        <f t="shared" si="30"/>
        <v>525</v>
      </c>
      <c r="Q76">
        <f t="shared" si="31"/>
        <v>0.57016393442622948</v>
      </c>
      <c r="R76">
        <f t="shared" si="36"/>
        <v>9.6934426229508208</v>
      </c>
    </row>
    <row r="77" spans="1:18" x14ac:dyDescent="0.3">
      <c r="A77" t="s">
        <v>2</v>
      </c>
      <c r="B77" s="1">
        <v>45109</v>
      </c>
      <c r="C77" t="s">
        <v>7</v>
      </c>
      <c r="D77" t="s">
        <v>11</v>
      </c>
      <c r="E77">
        <v>2</v>
      </c>
      <c r="F77">
        <v>13.2</v>
      </c>
      <c r="G77">
        <v>0</v>
      </c>
      <c r="H77">
        <f t="shared" si="37"/>
        <v>0.30000000000000071</v>
      </c>
      <c r="I77">
        <f t="shared" si="26"/>
        <v>0.30000000000000071</v>
      </c>
      <c r="J77">
        <f t="shared" si="27"/>
        <v>13.5</v>
      </c>
      <c r="K77">
        <f t="shared" si="28"/>
        <v>0.5</v>
      </c>
      <c r="L77">
        <f t="shared" si="34"/>
        <v>10.700000000000001</v>
      </c>
      <c r="M77">
        <f t="shared" si="35"/>
        <v>0.4098360655737705</v>
      </c>
      <c r="N77">
        <v>37</v>
      </c>
      <c r="O77">
        <f t="shared" si="29"/>
        <v>7.5</v>
      </c>
      <c r="P77">
        <f t="shared" si="30"/>
        <v>525</v>
      </c>
      <c r="Q77">
        <f t="shared" si="31"/>
        <v>0.57016393442622948</v>
      </c>
      <c r="R77">
        <f t="shared" si="36"/>
        <v>10.263606557377051</v>
      </c>
    </row>
    <row r="78" spans="1:18" x14ac:dyDescent="0.3">
      <c r="A78" t="s">
        <v>3</v>
      </c>
      <c r="B78" s="1">
        <v>45110</v>
      </c>
      <c r="C78" t="s">
        <v>7</v>
      </c>
      <c r="D78" t="s">
        <v>11</v>
      </c>
      <c r="E78">
        <v>2</v>
      </c>
      <c r="F78">
        <v>13</v>
      </c>
      <c r="G78">
        <v>0.5</v>
      </c>
      <c r="H78">
        <f>13.5-F78-G78</f>
        <v>0</v>
      </c>
      <c r="I78">
        <f t="shared" si="26"/>
        <v>0.5</v>
      </c>
      <c r="J78">
        <f t="shared" si="27"/>
        <v>13.5</v>
      </c>
      <c r="K78">
        <f t="shared" si="28"/>
        <v>0.5</v>
      </c>
      <c r="L78">
        <f t="shared" si="34"/>
        <v>11.200000000000001</v>
      </c>
      <c r="M78">
        <f t="shared" si="35"/>
        <v>0.4098360655737705</v>
      </c>
      <c r="N78">
        <v>38</v>
      </c>
      <c r="O78">
        <f t="shared" si="29"/>
        <v>8</v>
      </c>
      <c r="P78">
        <f t="shared" si="30"/>
        <v>560</v>
      </c>
      <c r="Q78">
        <f t="shared" si="31"/>
        <v>0.57016393442622948</v>
      </c>
      <c r="R78">
        <f t="shared" si="36"/>
        <v>10.83377049180328</v>
      </c>
    </row>
    <row r="79" spans="1:18" x14ac:dyDescent="0.3">
      <c r="A79" t="s">
        <v>4</v>
      </c>
      <c r="B79" s="1">
        <v>45111</v>
      </c>
      <c r="C79" t="s">
        <v>7</v>
      </c>
      <c r="D79" t="s">
        <v>11</v>
      </c>
      <c r="E79">
        <v>2</v>
      </c>
      <c r="F79">
        <v>13</v>
      </c>
      <c r="G79">
        <v>0</v>
      </c>
      <c r="H79">
        <f>13.5-F79-G79</f>
        <v>0.5</v>
      </c>
      <c r="I79">
        <f t="shared" si="26"/>
        <v>0.5</v>
      </c>
      <c r="J79">
        <f t="shared" si="27"/>
        <v>13.5</v>
      </c>
      <c r="K79">
        <f t="shared" ref="K79:K81" si="38">J79-F80</f>
        <v>0.59999999999999964</v>
      </c>
      <c r="L79">
        <f t="shared" ref="L79:L81" si="39">L78+K79</f>
        <v>11.8</v>
      </c>
      <c r="M79">
        <f t="shared" si="35"/>
        <v>0.4098360655737705</v>
      </c>
      <c r="N79">
        <v>39</v>
      </c>
      <c r="O79">
        <f t="shared" si="29"/>
        <v>8</v>
      </c>
      <c r="P79">
        <f t="shared" si="30"/>
        <v>560</v>
      </c>
      <c r="Q79">
        <f t="shared" si="31"/>
        <v>0.57016393442622948</v>
      </c>
      <c r="R79">
        <f t="shared" ref="R79:R81" si="40">R78+Q79</f>
        <v>11.40393442622951</v>
      </c>
    </row>
    <row r="80" spans="1:18" x14ac:dyDescent="0.3">
      <c r="A80" t="s">
        <v>5</v>
      </c>
      <c r="B80" s="1">
        <v>45112</v>
      </c>
      <c r="C80" t="s">
        <v>7</v>
      </c>
      <c r="D80" t="s">
        <v>11</v>
      </c>
      <c r="E80">
        <v>2</v>
      </c>
      <c r="F80">
        <v>12.9</v>
      </c>
      <c r="G80">
        <v>0</v>
      </c>
      <c r="H80">
        <f>13.1-F80-G80</f>
        <v>0.19999999999999929</v>
      </c>
      <c r="I80">
        <f t="shared" ref="I80:I81" si="41">H80+G80</f>
        <v>0.19999999999999929</v>
      </c>
      <c r="J80">
        <f t="shared" ref="J80:J81" si="42">I80+F80</f>
        <v>13.1</v>
      </c>
      <c r="K80">
        <f t="shared" si="38"/>
        <v>0.59999999999999964</v>
      </c>
      <c r="L80">
        <f t="shared" si="39"/>
        <v>12.4</v>
      </c>
      <c r="M80">
        <f t="shared" si="35"/>
        <v>0.34426229508196715</v>
      </c>
      <c r="N80">
        <v>40</v>
      </c>
      <c r="O80">
        <f t="shared" si="29"/>
        <v>8</v>
      </c>
      <c r="P80">
        <f t="shared" si="30"/>
        <v>560</v>
      </c>
      <c r="Q80">
        <f t="shared" si="31"/>
        <v>0.63573770491803283</v>
      </c>
      <c r="R80">
        <f t="shared" si="40"/>
        <v>12.039672131147542</v>
      </c>
    </row>
    <row r="81" spans="1:18" x14ac:dyDescent="0.3">
      <c r="A81" t="s">
        <v>6</v>
      </c>
      <c r="B81" s="1">
        <v>45113</v>
      </c>
      <c r="C81" t="s">
        <v>7</v>
      </c>
      <c r="D81" t="s">
        <v>11</v>
      </c>
      <c r="E81">
        <v>2</v>
      </c>
      <c r="F81">
        <v>12.5</v>
      </c>
      <c r="G81">
        <v>0</v>
      </c>
      <c r="H81">
        <f>13.1-F81-G81</f>
        <v>0.59999999999999964</v>
      </c>
      <c r="I81">
        <f t="shared" si="41"/>
        <v>0.59999999999999964</v>
      </c>
      <c r="J81">
        <f t="shared" si="42"/>
        <v>13.1</v>
      </c>
      <c r="K81">
        <f t="shared" si="38"/>
        <v>0.90000000000000036</v>
      </c>
      <c r="L81">
        <f t="shared" si="39"/>
        <v>13.3</v>
      </c>
      <c r="M81">
        <f t="shared" si="35"/>
        <v>0.34426229508196715</v>
      </c>
      <c r="N81">
        <v>41</v>
      </c>
      <c r="O81">
        <f t="shared" si="29"/>
        <v>8</v>
      </c>
      <c r="P81">
        <f t="shared" si="30"/>
        <v>560</v>
      </c>
      <c r="Q81">
        <f t="shared" si="31"/>
        <v>0.63573770491803283</v>
      </c>
      <c r="R81">
        <f t="shared" si="40"/>
        <v>12.675409836065574</v>
      </c>
    </row>
    <row r="82" spans="1:18" x14ac:dyDescent="0.3">
      <c r="A82" t="s">
        <v>0</v>
      </c>
      <c r="B82" s="1">
        <v>45114</v>
      </c>
      <c r="C82" t="s">
        <v>7</v>
      </c>
      <c r="D82" t="s">
        <v>11</v>
      </c>
      <c r="E82">
        <v>2</v>
      </c>
      <c r="F82">
        <v>12.2</v>
      </c>
    </row>
    <row r="83" spans="1:18" x14ac:dyDescent="0.3">
      <c r="A83" t="s">
        <v>1</v>
      </c>
      <c r="B83" s="1">
        <v>45073</v>
      </c>
      <c r="C83" t="s">
        <v>7</v>
      </c>
      <c r="D83" t="s">
        <v>11</v>
      </c>
      <c r="E83">
        <v>3</v>
      </c>
      <c r="F83">
        <v>17</v>
      </c>
      <c r="G83">
        <v>0</v>
      </c>
      <c r="H83">
        <v>0</v>
      </c>
      <c r="I83">
        <f>H83+G83</f>
        <v>0</v>
      </c>
      <c r="J83">
        <f>I83+F83</f>
        <v>17</v>
      </c>
      <c r="K83">
        <f>J83-F84</f>
        <v>0.39999999999999858</v>
      </c>
      <c r="M83">
        <f t="shared" si="35"/>
        <v>0.98360655737704927</v>
      </c>
      <c r="N83">
        <v>1</v>
      </c>
      <c r="O83">
        <v>2.5</v>
      </c>
      <c r="P83">
        <f>O83*70</f>
        <v>175</v>
      </c>
    </row>
    <row r="84" spans="1:18" x14ac:dyDescent="0.3">
      <c r="A84" t="s">
        <v>2</v>
      </c>
      <c r="B84" s="1">
        <v>45074</v>
      </c>
      <c r="C84" t="s">
        <v>7</v>
      </c>
      <c r="D84" t="s">
        <v>11</v>
      </c>
      <c r="E84">
        <v>3</v>
      </c>
      <c r="F84">
        <v>16.600000000000001</v>
      </c>
      <c r="G84">
        <v>0</v>
      </c>
      <c r="H84">
        <v>0</v>
      </c>
      <c r="I84">
        <f t="shared" ref="I84:I121" si="43">H84+G84</f>
        <v>0</v>
      </c>
      <c r="J84">
        <f t="shared" ref="J84:J121" si="44">I84+F84</f>
        <v>16.600000000000001</v>
      </c>
      <c r="K84">
        <f t="shared" ref="K84:K120" si="45">J84-F85</f>
        <v>0.30000000000000071</v>
      </c>
      <c r="L84">
        <f>K83+K84</f>
        <v>0.69999999999999929</v>
      </c>
      <c r="M84">
        <f t="shared" si="35"/>
        <v>0.91803278688524614</v>
      </c>
      <c r="N84">
        <v>2</v>
      </c>
      <c r="O84">
        <f t="shared" ref="O84:O120" si="46">O83+G84</f>
        <v>2.5</v>
      </c>
      <c r="P84">
        <f t="shared" ref="P84:P120" si="47">O84*70</f>
        <v>175</v>
      </c>
      <c r="Q84">
        <f t="shared" ref="Q84:Q120" si="48">0.98-M84</f>
        <v>6.1967213114753839E-2</v>
      </c>
      <c r="R84">
        <f>Q83+Q84</f>
        <v>6.1967213114753839E-2</v>
      </c>
    </row>
    <row r="85" spans="1:18" x14ac:dyDescent="0.3">
      <c r="A85" t="s">
        <v>3</v>
      </c>
      <c r="B85" s="1">
        <v>45075</v>
      </c>
      <c r="C85" t="s">
        <v>7</v>
      </c>
      <c r="D85" t="s">
        <v>11</v>
      </c>
      <c r="E85">
        <v>3</v>
      </c>
      <c r="F85">
        <v>16.3</v>
      </c>
      <c r="G85">
        <v>0.25</v>
      </c>
      <c r="H85">
        <v>0</v>
      </c>
      <c r="I85">
        <f t="shared" si="43"/>
        <v>0.25</v>
      </c>
      <c r="J85">
        <f t="shared" si="44"/>
        <v>16.55</v>
      </c>
      <c r="K85">
        <f t="shared" si="45"/>
        <v>0.55000000000000071</v>
      </c>
      <c r="L85">
        <f>L84+K85</f>
        <v>1.25</v>
      </c>
      <c r="M85">
        <f t="shared" si="35"/>
        <v>0.90983606557377061</v>
      </c>
      <c r="N85">
        <v>3</v>
      </c>
      <c r="O85">
        <f t="shared" si="46"/>
        <v>2.75</v>
      </c>
      <c r="P85">
        <f t="shared" si="47"/>
        <v>192.5</v>
      </c>
      <c r="Q85">
        <f t="shared" si="48"/>
        <v>7.0163934426229368E-2</v>
      </c>
      <c r="R85">
        <f>R84+Q85</f>
        <v>0.13213114754098321</v>
      </c>
    </row>
    <row r="86" spans="1:18" x14ac:dyDescent="0.3">
      <c r="A86" t="s">
        <v>4</v>
      </c>
      <c r="B86" s="1">
        <v>45076</v>
      </c>
      <c r="C86" t="s">
        <v>7</v>
      </c>
      <c r="D86" t="s">
        <v>11</v>
      </c>
      <c r="E86">
        <v>3</v>
      </c>
      <c r="F86">
        <v>16</v>
      </c>
      <c r="G86">
        <v>0.25</v>
      </c>
      <c r="H86">
        <v>0</v>
      </c>
      <c r="I86">
        <f t="shared" si="43"/>
        <v>0.25</v>
      </c>
      <c r="J86">
        <f t="shared" si="44"/>
        <v>16.25</v>
      </c>
      <c r="K86">
        <f t="shared" si="45"/>
        <v>0.65000000000000036</v>
      </c>
      <c r="L86">
        <f t="shared" ref="L86:L106" si="49">L85+K86</f>
        <v>1.9000000000000004</v>
      </c>
      <c r="M86">
        <f t="shared" si="35"/>
        <v>0.8606557377049181</v>
      </c>
      <c r="N86">
        <v>4</v>
      </c>
      <c r="O86">
        <f t="shared" si="46"/>
        <v>3</v>
      </c>
      <c r="P86">
        <f t="shared" si="47"/>
        <v>210</v>
      </c>
      <c r="Q86">
        <f t="shared" si="48"/>
        <v>0.11934426229508188</v>
      </c>
      <c r="R86">
        <f t="shared" ref="R86:R109" si="50">R85+Q86</f>
        <v>0.25147540983606509</v>
      </c>
    </row>
    <row r="87" spans="1:18" x14ac:dyDescent="0.3">
      <c r="A87" t="s">
        <v>5</v>
      </c>
      <c r="B87" s="1">
        <v>45077</v>
      </c>
      <c r="C87" t="s">
        <v>7</v>
      </c>
      <c r="D87" t="s">
        <v>11</v>
      </c>
      <c r="E87">
        <v>3</v>
      </c>
      <c r="F87">
        <v>15.6</v>
      </c>
      <c r="G87">
        <v>0</v>
      </c>
      <c r="H87">
        <v>0</v>
      </c>
      <c r="I87">
        <f t="shared" si="43"/>
        <v>0</v>
      </c>
      <c r="J87">
        <f t="shared" si="44"/>
        <v>15.6</v>
      </c>
      <c r="K87">
        <f t="shared" si="45"/>
        <v>0.40000000000000036</v>
      </c>
      <c r="L87">
        <f t="shared" si="49"/>
        <v>2.3000000000000007</v>
      </c>
      <c r="M87">
        <f t="shared" si="35"/>
        <v>0.75409836065573765</v>
      </c>
      <c r="N87">
        <v>5</v>
      </c>
      <c r="O87">
        <f t="shared" si="46"/>
        <v>3</v>
      </c>
      <c r="P87">
        <f t="shared" si="47"/>
        <v>210</v>
      </c>
      <c r="Q87">
        <f t="shared" si="48"/>
        <v>0.22590163934426233</v>
      </c>
      <c r="R87">
        <f t="shared" si="50"/>
        <v>0.47737704918032742</v>
      </c>
    </row>
    <row r="88" spans="1:18" x14ac:dyDescent="0.3">
      <c r="A88" t="s">
        <v>6</v>
      </c>
      <c r="B88" s="1">
        <v>45078</v>
      </c>
      <c r="C88" t="s">
        <v>7</v>
      </c>
      <c r="D88" t="s">
        <v>11</v>
      </c>
      <c r="E88">
        <v>3</v>
      </c>
      <c r="F88">
        <v>15.2</v>
      </c>
      <c r="G88">
        <v>0.25</v>
      </c>
      <c r="H88">
        <v>0</v>
      </c>
      <c r="I88">
        <f t="shared" si="43"/>
        <v>0.25</v>
      </c>
      <c r="J88">
        <f t="shared" si="44"/>
        <v>15.45</v>
      </c>
      <c r="K88">
        <f t="shared" si="45"/>
        <v>0.34999999999999964</v>
      </c>
      <c r="L88">
        <f t="shared" si="49"/>
        <v>2.6500000000000004</v>
      </c>
      <c r="M88">
        <f t="shared" si="35"/>
        <v>0.7295081967213114</v>
      </c>
      <c r="N88">
        <v>6</v>
      </c>
      <c r="O88">
        <f t="shared" si="46"/>
        <v>3.25</v>
      </c>
      <c r="P88">
        <f t="shared" si="47"/>
        <v>227.5</v>
      </c>
      <c r="Q88">
        <f t="shared" si="48"/>
        <v>0.25049180327868859</v>
      </c>
      <c r="R88">
        <f t="shared" si="50"/>
        <v>0.727868852459016</v>
      </c>
    </row>
    <row r="89" spans="1:18" x14ac:dyDescent="0.3">
      <c r="A89" t="s">
        <v>0</v>
      </c>
      <c r="B89" s="1">
        <v>45079</v>
      </c>
      <c r="C89" t="s">
        <v>7</v>
      </c>
      <c r="D89" t="s">
        <v>11</v>
      </c>
      <c r="E89">
        <v>3</v>
      </c>
      <c r="F89">
        <v>15.1</v>
      </c>
      <c r="G89">
        <v>0.25</v>
      </c>
      <c r="H89">
        <v>0</v>
      </c>
      <c r="I89">
        <f t="shared" si="43"/>
        <v>0.25</v>
      </c>
      <c r="J89">
        <f t="shared" si="44"/>
        <v>15.35</v>
      </c>
      <c r="K89">
        <f t="shared" si="45"/>
        <v>0.25</v>
      </c>
      <c r="L89">
        <f t="shared" si="49"/>
        <v>2.9000000000000004</v>
      </c>
      <c r="M89">
        <f t="shared" si="35"/>
        <v>0.71311475409836067</v>
      </c>
      <c r="N89">
        <v>7</v>
      </c>
      <c r="O89">
        <f t="shared" si="46"/>
        <v>3.5</v>
      </c>
      <c r="P89">
        <f t="shared" si="47"/>
        <v>245</v>
      </c>
      <c r="Q89">
        <f t="shared" si="48"/>
        <v>0.26688524590163931</v>
      </c>
      <c r="R89">
        <f t="shared" si="50"/>
        <v>0.99475409836065531</v>
      </c>
    </row>
    <row r="90" spans="1:18" x14ac:dyDescent="0.3">
      <c r="A90" t="s">
        <v>1</v>
      </c>
      <c r="B90" s="1">
        <v>45080</v>
      </c>
      <c r="C90" t="s">
        <v>7</v>
      </c>
      <c r="D90" t="s">
        <v>11</v>
      </c>
      <c r="E90">
        <v>3</v>
      </c>
      <c r="F90">
        <v>15.1</v>
      </c>
      <c r="G90">
        <v>0</v>
      </c>
      <c r="H90">
        <v>0</v>
      </c>
      <c r="I90">
        <f t="shared" si="43"/>
        <v>0</v>
      </c>
      <c r="J90">
        <f t="shared" si="44"/>
        <v>15.1</v>
      </c>
      <c r="K90">
        <f t="shared" si="45"/>
        <v>0.5</v>
      </c>
      <c r="L90">
        <f t="shared" si="49"/>
        <v>3.4000000000000004</v>
      </c>
      <c r="M90">
        <f t="shared" si="35"/>
        <v>0.67213114754098358</v>
      </c>
      <c r="N90">
        <v>8</v>
      </c>
      <c r="O90">
        <f t="shared" si="46"/>
        <v>3.5</v>
      </c>
      <c r="P90">
        <f t="shared" si="47"/>
        <v>245</v>
      </c>
      <c r="Q90">
        <f t="shared" si="48"/>
        <v>0.30786885245901641</v>
      </c>
      <c r="R90">
        <f t="shared" si="50"/>
        <v>1.3026229508196718</v>
      </c>
    </row>
    <row r="91" spans="1:18" x14ac:dyDescent="0.3">
      <c r="A91" t="s">
        <v>2</v>
      </c>
      <c r="B91" s="1">
        <v>45081</v>
      </c>
      <c r="C91" t="s">
        <v>7</v>
      </c>
      <c r="D91" t="s">
        <v>11</v>
      </c>
      <c r="E91">
        <v>3</v>
      </c>
      <c r="F91">
        <v>14.6</v>
      </c>
      <c r="G91">
        <v>0</v>
      </c>
      <c r="H91">
        <f t="shared" ref="H91:H97" si="51">14.7-F91-G91</f>
        <v>9.9999999999999645E-2</v>
      </c>
      <c r="I91">
        <f t="shared" si="43"/>
        <v>9.9999999999999645E-2</v>
      </c>
      <c r="J91">
        <f t="shared" si="44"/>
        <v>14.7</v>
      </c>
      <c r="K91">
        <f t="shared" si="45"/>
        <v>0.29999999999999893</v>
      </c>
      <c r="L91">
        <f t="shared" si="49"/>
        <v>3.6999999999999993</v>
      </c>
      <c r="M91">
        <f t="shared" si="35"/>
        <v>0.60655737704918022</v>
      </c>
      <c r="N91">
        <v>9</v>
      </c>
      <c r="O91">
        <f t="shared" si="46"/>
        <v>3.5</v>
      </c>
      <c r="P91">
        <f t="shared" si="47"/>
        <v>245</v>
      </c>
      <c r="Q91">
        <f t="shared" si="48"/>
        <v>0.37344262295081976</v>
      </c>
      <c r="R91">
        <f t="shared" si="50"/>
        <v>1.6760655737704915</v>
      </c>
    </row>
    <row r="92" spans="1:18" x14ac:dyDescent="0.3">
      <c r="A92" t="s">
        <v>3</v>
      </c>
      <c r="B92" s="1">
        <v>45082</v>
      </c>
      <c r="C92" t="s">
        <v>7</v>
      </c>
      <c r="D92" t="s">
        <v>11</v>
      </c>
      <c r="E92">
        <v>3</v>
      </c>
      <c r="F92">
        <v>14.4</v>
      </c>
      <c r="G92">
        <v>0.25</v>
      </c>
      <c r="H92">
        <f t="shared" si="51"/>
        <v>4.9999999999998934E-2</v>
      </c>
      <c r="I92">
        <f t="shared" si="43"/>
        <v>0.29999999999999893</v>
      </c>
      <c r="J92">
        <f t="shared" si="44"/>
        <v>14.7</v>
      </c>
      <c r="K92">
        <f t="shared" si="45"/>
        <v>0.29999999999999893</v>
      </c>
      <c r="L92">
        <f t="shared" si="49"/>
        <v>3.9999999999999982</v>
      </c>
      <c r="M92">
        <f t="shared" si="35"/>
        <v>0.60655737704918022</v>
      </c>
      <c r="N92">
        <v>10</v>
      </c>
      <c r="O92">
        <f t="shared" si="46"/>
        <v>3.75</v>
      </c>
      <c r="P92">
        <f t="shared" si="47"/>
        <v>262.5</v>
      </c>
      <c r="Q92">
        <f t="shared" si="48"/>
        <v>0.37344262295081976</v>
      </c>
      <c r="R92">
        <f t="shared" si="50"/>
        <v>2.0495081967213111</v>
      </c>
    </row>
    <row r="93" spans="1:18" x14ac:dyDescent="0.3">
      <c r="A93" t="s">
        <v>4</v>
      </c>
      <c r="B93" s="1">
        <v>45083</v>
      </c>
      <c r="C93" t="s">
        <v>7</v>
      </c>
      <c r="D93" t="s">
        <v>11</v>
      </c>
      <c r="E93">
        <v>3</v>
      </c>
      <c r="F93">
        <v>14.4</v>
      </c>
      <c r="G93">
        <v>0.25</v>
      </c>
      <c r="H93">
        <f t="shared" si="51"/>
        <v>4.9999999999998934E-2</v>
      </c>
      <c r="I93">
        <f t="shared" si="43"/>
        <v>0.29999999999999893</v>
      </c>
      <c r="J93">
        <f t="shared" si="44"/>
        <v>14.7</v>
      </c>
      <c r="K93">
        <f t="shared" si="45"/>
        <v>0.59999999999999964</v>
      </c>
      <c r="L93">
        <f t="shared" si="49"/>
        <v>4.5999999999999979</v>
      </c>
      <c r="M93">
        <f t="shared" si="35"/>
        <v>0.60655737704918022</v>
      </c>
      <c r="N93">
        <v>11</v>
      </c>
      <c r="O93">
        <f t="shared" si="46"/>
        <v>4</v>
      </c>
      <c r="P93">
        <f t="shared" si="47"/>
        <v>280</v>
      </c>
      <c r="Q93">
        <f t="shared" si="48"/>
        <v>0.37344262295081976</v>
      </c>
      <c r="R93">
        <f t="shared" si="50"/>
        <v>2.4229508196721308</v>
      </c>
    </row>
    <row r="94" spans="1:18" x14ac:dyDescent="0.3">
      <c r="A94" t="s">
        <v>5</v>
      </c>
      <c r="B94" s="1">
        <v>45084</v>
      </c>
      <c r="C94" t="s">
        <v>7</v>
      </c>
      <c r="D94" t="s">
        <v>11</v>
      </c>
      <c r="E94">
        <v>3</v>
      </c>
      <c r="F94">
        <v>14.1</v>
      </c>
      <c r="G94">
        <v>0</v>
      </c>
      <c r="H94">
        <f t="shared" si="51"/>
        <v>0.59999999999999964</v>
      </c>
      <c r="I94">
        <f t="shared" si="43"/>
        <v>0.59999999999999964</v>
      </c>
      <c r="J94">
        <f t="shared" si="44"/>
        <v>14.7</v>
      </c>
      <c r="K94">
        <f t="shared" si="45"/>
        <v>0.5</v>
      </c>
      <c r="L94">
        <f t="shared" si="49"/>
        <v>5.0999999999999979</v>
      </c>
      <c r="M94">
        <f t="shared" si="35"/>
        <v>0.60655737704918022</v>
      </c>
      <c r="N94">
        <v>12</v>
      </c>
      <c r="O94">
        <f t="shared" si="46"/>
        <v>4</v>
      </c>
      <c r="P94">
        <f t="shared" si="47"/>
        <v>280</v>
      </c>
      <c r="Q94">
        <f t="shared" si="48"/>
        <v>0.37344262295081976</v>
      </c>
      <c r="R94">
        <f t="shared" si="50"/>
        <v>2.7963934426229504</v>
      </c>
    </row>
    <row r="95" spans="1:18" x14ac:dyDescent="0.3">
      <c r="A95" t="s">
        <v>6</v>
      </c>
      <c r="B95" s="1">
        <v>45085</v>
      </c>
      <c r="C95" t="s">
        <v>7</v>
      </c>
      <c r="D95" t="s">
        <v>11</v>
      </c>
      <c r="E95">
        <v>3</v>
      </c>
      <c r="F95">
        <v>14.2</v>
      </c>
      <c r="G95">
        <v>0.25</v>
      </c>
      <c r="H95">
        <f t="shared" si="51"/>
        <v>0.25</v>
      </c>
      <c r="I95">
        <f t="shared" si="43"/>
        <v>0.5</v>
      </c>
      <c r="J95">
        <f t="shared" si="44"/>
        <v>14.7</v>
      </c>
      <c r="K95">
        <f t="shared" si="45"/>
        <v>0.19999999999999929</v>
      </c>
      <c r="L95">
        <f t="shared" si="49"/>
        <v>5.2999999999999972</v>
      </c>
      <c r="M95">
        <f t="shared" si="35"/>
        <v>0.60655737704918022</v>
      </c>
      <c r="N95">
        <v>13</v>
      </c>
      <c r="O95">
        <f t="shared" si="46"/>
        <v>4.25</v>
      </c>
      <c r="P95">
        <f t="shared" si="47"/>
        <v>297.5</v>
      </c>
      <c r="Q95">
        <f t="shared" si="48"/>
        <v>0.37344262295081976</v>
      </c>
      <c r="R95">
        <f t="shared" si="50"/>
        <v>3.1698360655737701</v>
      </c>
    </row>
    <row r="96" spans="1:18" x14ac:dyDescent="0.3">
      <c r="A96" t="s">
        <v>0</v>
      </c>
      <c r="B96" s="1">
        <v>45086</v>
      </c>
      <c r="C96" t="s">
        <v>7</v>
      </c>
      <c r="D96" t="s">
        <v>11</v>
      </c>
      <c r="E96">
        <v>3</v>
      </c>
      <c r="F96">
        <v>14.5</v>
      </c>
      <c r="G96">
        <v>0.25</v>
      </c>
      <c r="H96">
        <v>0</v>
      </c>
      <c r="I96">
        <f t="shared" si="43"/>
        <v>0.25</v>
      </c>
      <c r="J96">
        <f t="shared" si="44"/>
        <v>14.75</v>
      </c>
      <c r="K96">
        <f t="shared" si="45"/>
        <v>0.84999999999999964</v>
      </c>
      <c r="L96">
        <f t="shared" si="49"/>
        <v>6.1499999999999968</v>
      </c>
      <c r="M96">
        <f t="shared" si="35"/>
        <v>0.61475409836065575</v>
      </c>
      <c r="N96">
        <v>14</v>
      </c>
      <c r="O96">
        <f t="shared" si="46"/>
        <v>4.5</v>
      </c>
      <c r="P96">
        <f t="shared" si="47"/>
        <v>315</v>
      </c>
      <c r="Q96">
        <f t="shared" si="48"/>
        <v>0.36524590163934423</v>
      </c>
      <c r="R96">
        <f t="shared" si="50"/>
        <v>3.5350819672131144</v>
      </c>
    </row>
    <row r="97" spans="1:18" x14ac:dyDescent="0.3">
      <c r="A97" t="s">
        <v>1</v>
      </c>
      <c r="B97" s="1">
        <v>45087</v>
      </c>
      <c r="C97" t="s">
        <v>7</v>
      </c>
      <c r="D97" t="s">
        <v>11</v>
      </c>
      <c r="E97">
        <v>3</v>
      </c>
      <c r="F97">
        <v>13.9</v>
      </c>
      <c r="G97">
        <v>0</v>
      </c>
      <c r="H97">
        <f t="shared" si="51"/>
        <v>0.79999999999999893</v>
      </c>
      <c r="I97">
        <f t="shared" si="43"/>
        <v>0.79999999999999893</v>
      </c>
      <c r="J97">
        <f t="shared" si="44"/>
        <v>14.7</v>
      </c>
      <c r="K97">
        <f t="shared" si="45"/>
        <v>0.79999999999999893</v>
      </c>
      <c r="L97">
        <f t="shared" si="49"/>
        <v>6.9499999999999957</v>
      </c>
      <c r="M97">
        <f t="shared" si="35"/>
        <v>0.60655737704918022</v>
      </c>
      <c r="N97">
        <v>15</v>
      </c>
      <c r="O97">
        <f t="shared" si="46"/>
        <v>4.5</v>
      </c>
      <c r="P97">
        <f t="shared" si="47"/>
        <v>315</v>
      </c>
      <c r="Q97">
        <f t="shared" si="48"/>
        <v>0.37344262295081976</v>
      </c>
      <c r="R97">
        <f t="shared" si="50"/>
        <v>3.9085245901639341</v>
      </c>
    </row>
    <row r="98" spans="1:18" x14ac:dyDescent="0.3">
      <c r="A98" t="s">
        <v>2</v>
      </c>
      <c r="B98" s="1">
        <v>45088</v>
      </c>
      <c r="C98" t="s">
        <v>7</v>
      </c>
      <c r="D98" t="s">
        <v>11</v>
      </c>
      <c r="E98">
        <v>3</v>
      </c>
      <c r="F98">
        <v>13.9</v>
      </c>
      <c r="G98">
        <v>0</v>
      </c>
      <c r="H98">
        <f>14.5-F98-G98</f>
        <v>0.59999999999999964</v>
      </c>
      <c r="I98">
        <f t="shared" si="43"/>
        <v>0.59999999999999964</v>
      </c>
      <c r="J98">
        <f t="shared" si="44"/>
        <v>14.5</v>
      </c>
      <c r="K98">
        <f t="shared" si="45"/>
        <v>0.59999999999999964</v>
      </c>
      <c r="L98">
        <f t="shared" si="49"/>
        <v>7.5499999999999954</v>
      </c>
      <c r="M98">
        <f t="shared" si="35"/>
        <v>0.57377049180327877</v>
      </c>
      <c r="N98">
        <v>16</v>
      </c>
      <c r="O98">
        <f t="shared" si="46"/>
        <v>4.5</v>
      </c>
      <c r="P98">
        <f t="shared" si="47"/>
        <v>315</v>
      </c>
      <c r="Q98">
        <f t="shared" si="48"/>
        <v>0.40622950819672121</v>
      </c>
      <c r="R98">
        <f t="shared" si="50"/>
        <v>4.3147540983606554</v>
      </c>
    </row>
    <row r="99" spans="1:18" x14ac:dyDescent="0.3">
      <c r="A99" t="s">
        <v>3</v>
      </c>
      <c r="B99" s="1">
        <v>45089</v>
      </c>
      <c r="C99" t="s">
        <v>7</v>
      </c>
      <c r="D99" t="s">
        <v>11</v>
      </c>
      <c r="E99">
        <v>3</v>
      </c>
      <c r="F99">
        <v>13.9</v>
      </c>
      <c r="G99">
        <v>0.5</v>
      </c>
      <c r="H99">
        <f t="shared" ref="H99" si="52">14.5-F99-G99</f>
        <v>9.9999999999999645E-2</v>
      </c>
      <c r="I99">
        <f t="shared" si="43"/>
        <v>0.59999999999999964</v>
      </c>
      <c r="J99">
        <f t="shared" si="44"/>
        <v>14.5</v>
      </c>
      <c r="K99">
        <f t="shared" si="45"/>
        <v>0.30000000000000071</v>
      </c>
      <c r="L99">
        <f t="shared" si="49"/>
        <v>7.8499999999999961</v>
      </c>
      <c r="M99">
        <f t="shared" si="35"/>
        <v>0.57377049180327877</v>
      </c>
      <c r="N99">
        <v>17</v>
      </c>
      <c r="O99">
        <f t="shared" si="46"/>
        <v>5</v>
      </c>
      <c r="P99">
        <f t="shared" si="47"/>
        <v>350</v>
      </c>
      <c r="Q99">
        <f t="shared" si="48"/>
        <v>0.40622950819672121</v>
      </c>
      <c r="R99">
        <f t="shared" si="50"/>
        <v>4.7209836065573763</v>
      </c>
    </row>
    <row r="100" spans="1:18" x14ac:dyDescent="0.3">
      <c r="A100" t="s">
        <v>4</v>
      </c>
      <c r="B100" s="1">
        <v>45090</v>
      </c>
      <c r="C100" t="s">
        <v>7</v>
      </c>
      <c r="D100" t="s">
        <v>11</v>
      </c>
      <c r="E100">
        <v>3</v>
      </c>
      <c r="F100">
        <v>14.2</v>
      </c>
      <c r="G100">
        <v>0</v>
      </c>
      <c r="H100">
        <f>14.4-F100-G100</f>
        <v>0.20000000000000107</v>
      </c>
      <c r="I100">
        <f t="shared" si="43"/>
        <v>0.20000000000000107</v>
      </c>
      <c r="J100">
        <f t="shared" si="44"/>
        <v>14.4</v>
      </c>
      <c r="K100">
        <f t="shared" si="45"/>
        <v>0.59999999999999964</v>
      </c>
      <c r="L100">
        <f t="shared" si="49"/>
        <v>8.4499999999999957</v>
      </c>
      <c r="M100">
        <f t="shared" si="35"/>
        <v>0.55737704918032793</v>
      </c>
      <c r="N100">
        <v>18</v>
      </c>
      <c r="O100">
        <f t="shared" si="46"/>
        <v>5</v>
      </c>
      <c r="P100">
        <f t="shared" si="47"/>
        <v>350</v>
      </c>
      <c r="Q100">
        <f t="shared" si="48"/>
        <v>0.42262295081967205</v>
      </c>
      <c r="R100">
        <f t="shared" si="50"/>
        <v>5.1436065573770486</v>
      </c>
    </row>
    <row r="101" spans="1:18" x14ac:dyDescent="0.3">
      <c r="A101" t="s">
        <v>5</v>
      </c>
      <c r="B101" s="1">
        <v>45091</v>
      </c>
      <c r="C101" t="s">
        <v>7</v>
      </c>
      <c r="D101" t="s">
        <v>11</v>
      </c>
      <c r="E101">
        <v>3</v>
      </c>
      <c r="F101">
        <v>13.8</v>
      </c>
      <c r="G101">
        <v>0</v>
      </c>
      <c r="H101">
        <f>14.4-F101-G101</f>
        <v>0.59999999999999964</v>
      </c>
      <c r="I101">
        <f t="shared" si="43"/>
        <v>0.59999999999999964</v>
      </c>
      <c r="J101">
        <f t="shared" si="44"/>
        <v>14.4</v>
      </c>
      <c r="K101">
        <f t="shared" si="45"/>
        <v>0.59999999999999964</v>
      </c>
      <c r="L101">
        <f t="shared" si="49"/>
        <v>9.0499999999999954</v>
      </c>
      <c r="M101">
        <f t="shared" si="35"/>
        <v>0.55737704918032793</v>
      </c>
      <c r="N101">
        <v>19</v>
      </c>
      <c r="O101">
        <f t="shared" si="46"/>
        <v>5</v>
      </c>
      <c r="P101">
        <f t="shared" si="47"/>
        <v>350</v>
      </c>
      <c r="Q101">
        <f t="shared" si="48"/>
        <v>0.42262295081967205</v>
      </c>
      <c r="R101">
        <f t="shared" si="50"/>
        <v>5.566229508196721</v>
      </c>
    </row>
    <row r="102" spans="1:18" x14ac:dyDescent="0.3">
      <c r="A102" t="s">
        <v>6</v>
      </c>
      <c r="B102" s="1">
        <v>45092</v>
      </c>
      <c r="C102" t="s">
        <v>7</v>
      </c>
      <c r="D102" t="s">
        <v>11</v>
      </c>
      <c r="E102">
        <v>3</v>
      </c>
      <c r="F102">
        <v>13.8</v>
      </c>
      <c r="G102">
        <v>0.5</v>
      </c>
      <c r="H102">
        <f>14.3-F102-G102</f>
        <v>0</v>
      </c>
      <c r="I102">
        <f t="shared" si="43"/>
        <v>0.5</v>
      </c>
      <c r="J102">
        <f t="shared" si="44"/>
        <v>14.3</v>
      </c>
      <c r="K102">
        <f t="shared" si="45"/>
        <v>0.80000000000000071</v>
      </c>
      <c r="L102">
        <f t="shared" si="49"/>
        <v>9.8499999999999961</v>
      </c>
      <c r="M102">
        <f t="shared" si="35"/>
        <v>0.54098360655737721</v>
      </c>
      <c r="N102">
        <v>20</v>
      </c>
      <c r="O102">
        <f t="shared" si="46"/>
        <v>5.5</v>
      </c>
      <c r="P102">
        <f t="shared" si="47"/>
        <v>385</v>
      </c>
      <c r="Q102">
        <f t="shared" si="48"/>
        <v>0.43901639344262278</v>
      </c>
      <c r="R102">
        <f t="shared" si="50"/>
        <v>6.005245901639344</v>
      </c>
    </row>
    <row r="103" spans="1:18" x14ac:dyDescent="0.3">
      <c r="A103" t="s">
        <v>0</v>
      </c>
      <c r="B103" s="1">
        <v>45093</v>
      </c>
      <c r="C103" t="s">
        <v>7</v>
      </c>
      <c r="D103" t="s">
        <v>11</v>
      </c>
      <c r="E103">
        <v>3</v>
      </c>
      <c r="F103">
        <v>13.5</v>
      </c>
      <c r="G103">
        <v>0</v>
      </c>
      <c r="H103">
        <f>14-F103-G103</f>
        <v>0.5</v>
      </c>
      <c r="I103">
        <f t="shared" si="43"/>
        <v>0.5</v>
      </c>
      <c r="J103">
        <f t="shared" si="44"/>
        <v>14</v>
      </c>
      <c r="K103">
        <f t="shared" si="45"/>
        <v>0.90000000000000036</v>
      </c>
      <c r="L103">
        <f t="shared" si="49"/>
        <v>10.749999999999996</v>
      </c>
      <c r="M103">
        <f t="shared" si="35"/>
        <v>0.49180327868852464</v>
      </c>
      <c r="N103">
        <v>21</v>
      </c>
      <c r="O103">
        <f t="shared" si="46"/>
        <v>5.5</v>
      </c>
      <c r="P103">
        <f t="shared" si="47"/>
        <v>385</v>
      </c>
      <c r="Q103">
        <f t="shared" si="48"/>
        <v>0.48819672131147535</v>
      </c>
      <c r="R103">
        <f t="shared" si="50"/>
        <v>6.4934426229508198</v>
      </c>
    </row>
    <row r="104" spans="1:18" x14ac:dyDescent="0.3">
      <c r="A104" t="s">
        <v>1</v>
      </c>
      <c r="B104" s="1">
        <v>45094</v>
      </c>
      <c r="C104" t="s">
        <v>7</v>
      </c>
      <c r="D104" t="s">
        <v>11</v>
      </c>
      <c r="E104">
        <v>3</v>
      </c>
      <c r="F104">
        <v>13.1</v>
      </c>
      <c r="G104">
        <v>0</v>
      </c>
      <c r="H104">
        <f>14-F104-G104</f>
        <v>0.90000000000000036</v>
      </c>
      <c r="I104">
        <f t="shared" si="43"/>
        <v>0.90000000000000036</v>
      </c>
      <c r="J104">
        <f t="shared" si="44"/>
        <v>14</v>
      </c>
      <c r="K104">
        <f t="shared" si="45"/>
        <v>0.5</v>
      </c>
      <c r="L104">
        <f t="shared" si="49"/>
        <v>11.249999999999996</v>
      </c>
      <c r="M104">
        <f t="shared" si="35"/>
        <v>0.49180327868852464</v>
      </c>
      <c r="N104">
        <v>22</v>
      </c>
      <c r="O104">
        <f t="shared" si="46"/>
        <v>5.5</v>
      </c>
      <c r="P104">
        <f t="shared" si="47"/>
        <v>385</v>
      </c>
      <c r="Q104">
        <f t="shared" si="48"/>
        <v>0.48819672131147535</v>
      </c>
      <c r="R104">
        <f t="shared" si="50"/>
        <v>6.9816393442622955</v>
      </c>
    </row>
    <row r="105" spans="1:18" x14ac:dyDescent="0.3">
      <c r="A105" t="s">
        <v>2</v>
      </c>
      <c r="B105" s="1">
        <v>45095</v>
      </c>
      <c r="C105" t="s">
        <v>7</v>
      </c>
      <c r="D105" t="s">
        <v>11</v>
      </c>
      <c r="E105">
        <v>3</v>
      </c>
      <c r="F105">
        <v>13.5</v>
      </c>
      <c r="G105">
        <v>0</v>
      </c>
      <c r="H105">
        <f>14-F105-G105</f>
        <v>0.5</v>
      </c>
      <c r="I105">
        <f t="shared" si="43"/>
        <v>0.5</v>
      </c>
      <c r="J105">
        <f t="shared" si="44"/>
        <v>14</v>
      </c>
      <c r="K105">
        <f t="shared" si="45"/>
        <v>0.69999999999999929</v>
      </c>
      <c r="L105">
        <f t="shared" si="49"/>
        <v>11.949999999999996</v>
      </c>
      <c r="M105">
        <f t="shared" si="35"/>
        <v>0.49180327868852464</v>
      </c>
      <c r="N105">
        <v>23</v>
      </c>
      <c r="O105">
        <f t="shared" si="46"/>
        <v>5.5</v>
      </c>
      <c r="P105">
        <f t="shared" si="47"/>
        <v>385</v>
      </c>
      <c r="Q105">
        <f t="shared" si="48"/>
        <v>0.48819672131147535</v>
      </c>
      <c r="R105">
        <f t="shared" si="50"/>
        <v>7.4698360655737712</v>
      </c>
    </row>
    <row r="106" spans="1:18" x14ac:dyDescent="0.3">
      <c r="A106" t="s">
        <v>3</v>
      </c>
      <c r="B106" s="1">
        <v>45096</v>
      </c>
      <c r="C106" t="s">
        <v>7</v>
      </c>
      <c r="D106" t="s">
        <v>11</v>
      </c>
      <c r="E106">
        <v>3</v>
      </c>
      <c r="F106">
        <v>13.3</v>
      </c>
      <c r="G106">
        <v>0.5</v>
      </c>
      <c r="H106">
        <f t="shared" ref="H106" si="53">14-F106-G106</f>
        <v>0.19999999999999929</v>
      </c>
      <c r="I106">
        <f t="shared" si="43"/>
        <v>0.69999999999999929</v>
      </c>
      <c r="J106">
        <f t="shared" si="44"/>
        <v>14</v>
      </c>
      <c r="K106">
        <f t="shared" si="45"/>
        <v>0.90000000000000036</v>
      </c>
      <c r="L106">
        <f t="shared" si="49"/>
        <v>12.849999999999996</v>
      </c>
      <c r="M106">
        <f t="shared" si="35"/>
        <v>0.49180327868852464</v>
      </c>
      <c r="N106">
        <v>24</v>
      </c>
      <c r="O106">
        <f t="shared" si="46"/>
        <v>6</v>
      </c>
      <c r="P106">
        <f t="shared" si="47"/>
        <v>420</v>
      </c>
      <c r="Q106">
        <f t="shared" si="48"/>
        <v>0.48819672131147535</v>
      </c>
      <c r="R106">
        <f t="shared" si="50"/>
        <v>7.958032786885247</v>
      </c>
    </row>
    <row r="107" spans="1:18" x14ac:dyDescent="0.3">
      <c r="A107" t="s">
        <v>4</v>
      </c>
      <c r="B107" s="1">
        <v>45097</v>
      </c>
      <c r="C107" t="s">
        <v>7</v>
      </c>
      <c r="D107" t="s">
        <v>11</v>
      </c>
      <c r="E107">
        <v>3</v>
      </c>
      <c r="F107">
        <v>13.1</v>
      </c>
      <c r="G107">
        <v>0</v>
      </c>
      <c r="H107">
        <f>13.8-F107-G107</f>
        <v>0.70000000000000107</v>
      </c>
      <c r="I107">
        <f t="shared" si="43"/>
        <v>0.70000000000000107</v>
      </c>
      <c r="J107">
        <f t="shared" si="44"/>
        <v>13.8</v>
      </c>
      <c r="K107">
        <f t="shared" si="45"/>
        <v>0.70000000000000107</v>
      </c>
      <c r="L107">
        <f>L106+K107</f>
        <v>13.549999999999997</v>
      </c>
      <c r="M107">
        <f t="shared" si="35"/>
        <v>0.45901639344262307</v>
      </c>
      <c r="N107">
        <v>25</v>
      </c>
      <c r="O107">
        <f t="shared" si="46"/>
        <v>6</v>
      </c>
      <c r="P107">
        <f t="shared" si="47"/>
        <v>420</v>
      </c>
      <c r="Q107">
        <f t="shared" si="48"/>
        <v>0.52098360655737697</v>
      </c>
      <c r="R107">
        <f t="shared" si="50"/>
        <v>8.4790163934426239</v>
      </c>
    </row>
    <row r="108" spans="1:18" x14ac:dyDescent="0.3">
      <c r="A108" t="s">
        <v>5</v>
      </c>
      <c r="B108" s="1">
        <v>45098</v>
      </c>
      <c r="C108" t="s">
        <v>7</v>
      </c>
      <c r="D108" t="s">
        <v>11</v>
      </c>
      <c r="E108">
        <v>3</v>
      </c>
      <c r="F108">
        <v>13.1</v>
      </c>
      <c r="G108">
        <v>0</v>
      </c>
      <c r="H108">
        <f>13.8-F108-G108</f>
        <v>0.70000000000000107</v>
      </c>
      <c r="I108">
        <f t="shared" si="43"/>
        <v>0.70000000000000107</v>
      </c>
      <c r="J108">
        <f t="shared" si="44"/>
        <v>13.8</v>
      </c>
      <c r="K108">
        <f t="shared" si="45"/>
        <v>0.80000000000000071</v>
      </c>
      <c r="L108">
        <f t="shared" ref="L108:L120" si="54">L107+K108</f>
        <v>14.349999999999998</v>
      </c>
      <c r="M108">
        <f t="shared" si="35"/>
        <v>0.45901639344262307</v>
      </c>
      <c r="N108">
        <v>26</v>
      </c>
      <c r="O108">
        <f t="shared" si="46"/>
        <v>6</v>
      </c>
      <c r="P108">
        <f t="shared" si="47"/>
        <v>420</v>
      </c>
      <c r="Q108">
        <f t="shared" si="48"/>
        <v>0.52098360655737697</v>
      </c>
      <c r="R108">
        <f t="shared" si="50"/>
        <v>9</v>
      </c>
    </row>
    <row r="109" spans="1:18" x14ac:dyDescent="0.3">
      <c r="A109" t="s">
        <v>6</v>
      </c>
      <c r="B109" s="1">
        <v>45099</v>
      </c>
      <c r="C109" t="s">
        <v>7</v>
      </c>
      <c r="D109" t="s">
        <v>11</v>
      </c>
      <c r="E109">
        <v>3</v>
      </c>
      <c r="F109">
        <v>13</v>
      </c>
      <c r="G109">
        <v>0.5</v>
      </c>
      <c r="H109">
        <f>13.8-F109-G109</f>
        <v>0.30000000000000071</v>
      </c>
      <c r="I109">
        <f t="shared" si="43"/>
        <v>0.80000000000000071</v>
      </c>
      <c r="J109">
        <f t="shared" si="44"/>
        <v>13.8</v>
      </c>
      <c r="K109">
        <f t="shared" si="45"/>
        <v>0.60000000000000142</v>
      </c>
      <c r="L109">
        <f t="shared" si="54"/>
        <v>14.95</v>
      </c>
      <c r="M109">
        <f t="shared" si="35"/>
        <v>0.45901639344262307</v>
      </c>
      <c r="N109">
        <v>27</v>
      </c>
      <c r="O109">
        <f t="shared" si="46"/>
        <v>6.5</v>
      </c>
      <c r="P109">
        <f t="shared" si="47"/>
        <v>455</v>
      </c>
      <c r="Q109">
        <f t="shared" si="48"/>
        <v>0.52098360655737697</v>
      </c>
      <c r="R109">
        <f t="shared" si="50"/>
        <v>9.5209836065573761</v>
      </c>
    </row>
    <row r="110" spans="1:18" x14ac:dyDescent="0.3">
      <c r="A110" t="s">
        <v>0</v>
      </c>
      <c r="B110" s="1">
        <v>45100</v>
      </c>
      <c r="C110" t="s">
        <v>7</v>
      </c>
      <c r="D110" t="s">
        <v>11</v>
      </c>
      <c r="E110">
        <v>3</v>
      </c>
      <c r="F110">
        <v>13.2</v>
      </c>
      <c r="G110">
        <v>0</v>
      </c>
      <c r="H110">
        <f>13.8-F110-G110</f>
        <v>0.60000000000000142</v>
      </c>
      <c r="I110">
        <f t="shared" si="43"/>
        <v>0.60000000000000142</v>
      </c>
      <c r="J110">
        <f t="shared" si="44"/>
        <v>13.8</v>
      </c>
      <c r="K110">
        <f t="shared" si="45"/>
        <v>0.5</v>
      </c>
      <c r="L110">
        <f t="shared" si="54"/>
        <v>15.45</v>
      </c>
      <c r="M110">
        <f t="shared" si="35"/>
        <v>0.45901639344262307</v>
      </c>
      <c r="N110">
        <v>28</v>
      </c>
      <c r="O110">
        <f t="shared" si="46"/>
        <v>6.5</v>
      </c>
      <c r="P110">
        <f t="shared" si="47"/>
        <v>455</v>
      </c>
      <c r="Q110">
        <f t="shared" si="48"/>
        <v>0.52098360655737697</v>
      </c>
      <c r="R110">
        <f>R109+Q110</f>
        <v>10.041967213114752</v>
      </c>
    </row>
    <row r="111" spans="1:18" x14ac:dyDescent="0.3">
      <c r="A111" t="s">
        <v>1</v>
      </c>
      <c r="B111" s="1">
        <v>45101</v>
      </c>
      <c r="C111" t="s">
        <v>7</v>
      </c>
      <c r="D111" t="s">
        <v>11</v>
      </c>
      <c r="E111">
        <v>3</v>
      </c>
      <c r="F111">
        <v>13.3</v>
      </c>
      <c r="G111">
        <v>0</v>
      </c>
      <c r="H111">
        <f>13.5-F111-G111</f>
        <v>0.19999999999999929</v>
      </c>
      <c r="I111">
        <f t="shared" si="43"/>
        <v>0.19999999999999929</v>
      </c>
      <c r="J111">
        <f t="shared" si="44"/>
        <v>13.5</v>
      </c>
      <c r="K111">
        <f t="shared" si="45"/>
        <v>0.5</v>
      </c>
      <c r="L111">
        <f t="shared" si="54"/>
        <v>15.95</v>
      </c>
      <c r="M111">
        <f t="shared" si="35"/>
        <v>0.4098360655737705</v>
      </c>
      <c r="N111">
        <v>29</v>
      </c>
      <c r="O111">
        <f t="shared" si="46"/>
        <v>6.5</v>
      </c>
      <c r="P111">
        <f t="shared" si="47"/>
        <v>455</v>
      </c>
      <c r="Q111">
        <f t="shared" si="48"/>
        <v>0.57016393442622948</v>
      </c>
      <c r="R111">
        <f t="shared" ref="R111:R120" si="55">R110+Q111</f>
        <v>10.612131147540982</v>
      </c>
    </row>
    <row r="112" spans="1:18" x14ac:dyDescent="0.3">
      <c r="A112" t="s">
        <v>2</v>
      </c>
      <c r="B112" s="1">
        <v>45102</v>
      </c>
      <c r="C112" t="s">
        <v>7</v>
      </c>
      <c r="D112" t="s">
        <v>11</v>
      </c>
      <c r="E112">
        <v>3</v>
      </c>
      <c r="F112">
        <v>13</v>
      </c>
      <c r="G112">
        <v>0</v>
      </c>
      <c r="H112">
        <f>13.5-F112-G112</f>
        <v>0.5</v>
      </c>
      <c r="I112">
        <f t="shared" si="43"/>
        <v>0.5</v>
      </c>
      <c r="J112">
        <f t="shared" si="44"/>
        <v>13.5</v>
      </c>
      <c r="K112">
        <f t="shared" si="45"/>
        <v>0.5</v>
      </c>
      <c r="L112">
        <f t="shared" si="54"/>
        <v>16.45</v>
      </c>
      <c r="M112">
        <f t="shared" si="35"/>
        <v>0.4098360655737705</v>
      </c>
      <c r="N112">
        <v>30</v>
      </c>
      <c r="O112">
        <f t="shared" si="46"/>
        <v>6.5</v>
      </c>
      <c r="P112">
        <f t="shared" si="47"/>
        <v>455</v>
      </c>
      <c r="Q112">
        <f t="shared" si="48"/>
        <v>0.57016393442622948</v>
      </c>
      <c r="R112">
        <f t="shared" si="55"/>
        <v>11.182295081967212</v>
      </c>
    </row>
    <row r="113" spans="1:18" x14ac:dyDescent="0.3">
      <c r="A113" t="s">
        <v>3</v>
      </c>
      <c r="B113" s="1">
        <v>45103</v>
      </c>
      <c r="C113" t="s">
        <v>7</v>
      </c>
      <c r="D113" t="s">
        <v>11</v>
      </c>
      <c r="E113">
        <v>3</v>
      </c>
      <c r="F113">
        <v>13</v>
      </c>
      <c r="G113">
        <v>0.5</v>
      </c>
      <c r="H113">
        <f>13.5-F113-G113</f>
        <v>0</v>
      </c>
      <c r="I113">
        <f t="shared" si="43"/>
        <v>0.5</v>
      </c>
      <c r="J113">
        <f t="shared" si="44"/>
        <v>13.5</v>
      </c>
      <c r="K113">
        <f t="shared" si="45"/>
        <v>0.5</v>
      </c>
      <c r="L113">
        <f t="shared" si="54"/>
        <v>16.95</v>
      </c>
      <c r="M113">
        <f t="shared" si="35"/>
        <v>0.4098360655737705</v>
      </c>
      <c r="N113">
        <v>31</v>
      </c>
      <c r="O113">
        <f t="shared" si="46"/>
        <v>7</v>
      </c>
      <c r="P113">
        <f t="shared" si="47"/>
        <v>490</v>
      </c>
      <c r="Q113">
        <f t="shared" si="48"/>
        <v>0.57016393442622948</v>
      </c>
      <c r="R113">
        <f t="shared" si="55"/>
        <v>11.752459016393441</v>
      </c>
    </row>
    <row r="114" spans="1:18" x14ac:dyDescent="0.3">
      <c r="A114" t="s">
        <v>4</v>
      </c>
      <c r="B114" s="1">
        <v>45104</v>
      </c>
      <c r="C114" t="s">
        <v>7</v>
      </c>
      <c r="D114" t="s">
        <v>11</v>
      </c>
      <c r="E114">
        <v>3</v>
      </c>
      <c r="F114">
        <v>13</v>
      </c>
      <c r="G114">
        <v>0</v>
      </c>
      <c r="H114">
        <f>13.5-F114-G114</f>
        <v>0.5</v>
      </c>
      <c r="I114">
        <f t="shared" si="43"/>
        <v>0.5</v>
      </c>
      <c r="J114">
        <f t="shared" si="44"/>
        <v>13.5</v>
      </c>
      <c r="K114">
        <f t="shared" si="45"/>
        <v>0.69999999999999929</v>
      </c>
      <c r="L114">
        <f t="shared" si="54"/>
        <v>17.649999999999999</v>
      </c>
      <c r="M114">
        <f t="shared" si="35"/>
        <v>0.4098360655737705</v>
      </c>
      <c r="N114">
        <v>32</v>
      </c>
      <c r="O114">
        <f t="shared" si="46"/>
        <v>7</v>
      </c>
      <c r="P114">
        <f t="shared" si="47"/>
        <v>490</v>
      </c>
      <c r="Q114">
        <f t="shared" si="48"/>
        <v>0.57016393442622948</v>
      </c>
      <c r="R114">
        <f t="shared" si="55"/>
        <v>12.322622950819671</v>
      </c>
    </row>
    <row r="115" spans="1:18" x14ac:dyDescent="0.3">
      <c r="A115" t="s">
        <v>5</v>
      </c>
      <c r="B115" s="1">
        <v>45105</v>
      </c>
      <c r="C115" t="s">
        <v>7</v>
      </c>
      <c r="D115" t="s">
        <v>11</v>
      </c>
      <c r="E115">
        <v>3</v>
      </c>
      <c r="F115">
        <v>12.8</v>
      </c>
      <c r="G115">
        <v>0</v>
      </c>
      <c r="H115">
        <f>13.5-F115-G115</f>
        <v>0.69999999999999929</v>
      </c>
      <c r="I115">
        <f t="shared" si="43"/>
        <v>0.69999999999999929</v>
      </c>
      <c r="J115">
        <f t="shared" si="44"/>
        <v>13.5</v>
      </c>
      <c r="K115">
        <f t="shared" si="45"/>
        <v>0.59999999999999964</v>
      </c>
      <c r="L115">
        <f t="shared" si="54"/>
        <v>18.25</v>
      </c>
      <c r="M115">
        <f t="shared" si="35"/>
        <v>0.4098360655737705</v>
      </c>
      <c r="N115">
        <v>33</v>
      </c>
      <c r="O115">
        <f t="shared" si="46"/>
        <v>7</v>
      </c>
      <c r="P115">
        <f t="shared" si="47"/>
        <v>490</v>
      </c>
      <c r="Q115">
        <f t="shared" si="48"/>
        <v>0.57016393442622948</v>
      </c>
      <c r="R115">
        <f t="shared" si="55"/>
        <v>12.892786885245901</v>
      </c>
    </row>
    <row r="116" spans="1:18" x14ac:dyDescent="0.3">
      <c r="A116" t="s">
        <v>6</v>
      </c>
      <c r="B116" s="1">
        <v>45106</v>
      </c>
      <c r="C116" t="s">
        <v>7</v>
      </c>
      <c r="D116" t="s">
        <v>11</v>
      </c>
      <c r="E116">
        <v>3</v>
      </c>
      <c r="F116">
        <v>12.9</v>
      </c>
      <c r="G116">
        <v>0.5</v>
      </c>
      <c r="H116">
        <f t="shared" ref="H116:H119" si="56">13.5-F116-G116</f>
        <v>9.9999999999999645E-2</v>
      </c>
      <c r="I116">
        <f t="shared" si="43"/>
        <v>0.59999999999999964</v>
      </c>
      <c r="J116">
        <f t="shared" si="44"/>
        <v>13.5</v>
      </c>
      <c r="K116">
        <f t="shared" si="45"/>
        <v>0.59999999999999964</v>
      </c>
      <c r="L116">
        <f t="shared" si="54"/>
        <v>18.850000000000001</v>
      </c>
      <c r="M116">
        <f t="shared" si="35"/>
        <v>0.4098360655737705</v>
      </c>
      <c r="N116">
        <v>34</v>
      </c>
      <c r="O116">
        <f t="shared" si="46"/>
        <v>7.5</v>
      </c>
      <c r="P116">
        <f t="shared" si="47"/>
        <v>525</v>
      </c>
      <c r="Q116">
        <f t="shared" si="48"/>
        <v>0.57016393442622948</v>
      </c>
      <c r="R116">
        <f t="shared" si="55"/>
        <v>13.46295081967213</v>
      </c>
    </row>
    <row r="117" spans="1:18" x14ac:dyDescent="0.3">
      <c r="A117" t="s">
        <v>0</v>
      </c>
      <c r="B117" s="1">
        <v>45107</v>
      </c>
      <c r="C117" t="s">
        <v>7</v>
      </c>
      <c r="D117" t="s">
        <v>11</v>
      </c>
      <c r="E117">
        <v>3</v>
      </c>
      <c r="F117">
        <v>12.9</v>
      </c>
      <c r="G117">
        <v>0</v>
      </c>
      <c r="H117">
        <f t="shared" si="56"/>
        <v>0.59999999999999964</v>
      </c>
      <c r="I117">
        <f t="shared" si="43"/>
        <v>0.59999999999999964</v>
      </c>
      <c r="J117">
        <f t="shared" si="44"/>
        <v>13.5</v>
      </c>
      <c r="K117">
        <f t="shared" si="45"/>
        <v>0.30000000000000071</v>
      </c>
      <c r="L117">
        <f t="shared" si="54"/>
        <v>19.150000000000002</v>
      </c>
      <c r="M117">
        <f t="shared" si="35"/>
        <v>0.4098360655737705</v>
      </c>
      <c r="N117">
        <v>35</v>
      </c>
      <c r="O117">
        <f t="shared" si="46"/>
        <v>7.5</v>
      </c>
      <c r="P117">
        <f t="shared" si="47"/>
        <v>525</v>
      </c>
      <c r="Q117">
        <f t="shared" si="48"/>
        <v>0.57016393442622948</v>
      </c>
      <c r="R117">
        <f t="shared" si="55"/>
        <v>14.03311475409836</v>
      </c>
    </row>
    <row r="118" spans="1:18" x14ac:dyDescent="0.3">
      <c r="A118" t="s">
        <v>1</v>
      </c>
      <c r="B118" s="1">
        <v>45108</v>
      </c>
      <c r="C118" t="s">
        <v>7</v>
      </c>
      <c r="D118" t="s">
        <v>11</v>
      </c>
      <c r="E118">
        <v>3</v>
      </c>
      <c r="F118">
        <v>13.2</v>
      </c>
      <c r="G118">
        <v>0</v>
      </c>
      <c r="H118">
        <f t="shared" si="56"/>
        <v>0.30000000000000071</v>
      </c>
      <c r="I118">
        <f t="shared" si="43"/>
        <v>0.30000000000000071</v>
      </c>
      <c r="J118">
        <f t="shared" si="44"/>
        <v>13.5</v>
      </c>
      <c r="K118">
        <f t="shared" si="45"/>
        <v>0.5</v>
      </c>
      <c r="L118">
        <f t="shared" si="54"/>
        <v>19.650000000000002</v>
      </c>
      <c r="M118">
        <f t="shared" si="35"/>
        <v>0.4098360655737705</v>
      </c>
      <c r="N118">
        <v>36</v>
      </c>
      <c r="O118">
        <f t="shared" si="46"/>
        <v>7.5</v>
      </c>
      <c r="P118">
        <f t="shared" si="47"/>
        <v>525</v>
      </c>
      <c r="Q118">
        <f t="shared" si="48"/>
        <v>0.57016393442622948</v>
      </c>
      <c r="R118">
        <f t="shared" si="55"/>
        <v>14.60327868852459</v>
      </c>
    </row>
    <row r="119" spans="1:18" x14ac:dyDescent="0.3">
      <c r="A119" t="s">
        <v>2</v>
      </c>
      <c r="B119" s="1">
        <v>45109</v>
      </c>
      <c r="C119" t="s">
        <v>7</v>
      </c>
      <c r="D119" t="s">
        <v>11</v>
      </c>
      <c r="E119">
        <v>3</v>
      </c>
      <c r="F119">
        <v>13</v>
      </c>
      <c r="G119">
        <v>0</v>
      </c>
      <c r="H119">
        <f t="shared" si="56"/>
        <v>0.5</v>
      </c>
      <c r="I119">
        <f t="shared" si="43"/>
        <v>0.5</v>
      </c>
      <c r="J119">
        <f t="shared" si="44"/>
        <v>13.5</v>
      </c>
      <c r="K119">
        <f t="shared" si="45"/>
        <v>0.80000000000000071</v>
      </c>
      <c r="L119">
        <f t="shared" si="54"/>
        <v>20.450000000000003</v>
      </c>
      <c r="M119">
        <f t="shared" si="35"/>
        <v>0.4098360655737705</v>
      </c>
      <c r="N119">
        <v>37</v>
      </c>
      <c r="O119">
        <f t="shared" si="46"/>
        <v>7.5</v>
      </c>
      <c r="P119">
        <f t="shared" si="47"/>
        <v>525</v>
      </c>
      <c r="Q119">
        <f t="shared" si="48"/>
        <v>0.57016393442622948</v>
      </c>
      <c r="R119">
        <f t="shared" si="55"/>
        <v>15.173442622950819</v>
      </c>
    </row>
    <row r="120" spans="1:18" x14ac:dyDescent="0.3">
      <c r="A120" t="s">
        <v>3</v>
      </c>
      <c r="B120" s="1">
        <v>45110</v>
      </c>
      <c r="C120" t="s">
        <v>7</v>
      </c>
      <c r="D120" t="s">
        <v>11</v>
      </c>
      <c r="E120">
        <v>3</v>
      </c>
      <c r="F120">
        <v>12.7</v>
      </c>
      <c r="G120">
        <v>0</v>
      </c>
      <c r="H120">
        <f>13.1-F120-G120</f>
        <v>0.40000000000000036</v>
      </c>
      <c r="I120">
        <f t="shared" si="43"/>
        <v>0.40000000000000036</v>
      </c>
      <c r="J120">
        <f t="shared" si="44"/>
        <v>13.1</v>
      </c>
      <c r="K120">
        <f t="shared" si="45"/>
        <v>0.19999999999999929</v>
      </c>
      <c r="L120">
        <f t="shared" si="54"/>
        <v>20.650000000000002</v>
      </c>
      <c r="M120">
        <f t="shared" si="35"/>
        <v>0.34426229508196715</v>
      </c>
      <c r="N120">
        <v>38</v>
      </c>
      <c r="O120">
        <f t="shared" si="46"/>
        <v>7.5</v>
      </c>
      <c r="P120">
        <f t="shared" si="47"/>
        <v>525</v>
      </c>
      <c r="Q120">
        <f t="shared" si="48"/>
        <v>0.63573770491803283</v>
      </c>
      <c r="R120">
        <f t="shared" si="55"/>
        <v>15.809180327868852</v>
      </c>
    </row>
    <row r="121" spans="1:18" x14ac:dyDescent="0.3">
      <c r="A121" t="s">
        <v>4</v>
      </c>
      <c r="B121" s="1">
        <v>45111</v>
      </c>
      <c r="C121" t="s">
        <v>7</v>
      </c>
      <c r="D121" t="s">
        <v>11</v>
      </c>
      <c r="E121">
        <v>3</v>
      </c>
      <c r="F121">
        <v>12.9</v>
      </c>
      <c r="G121">
        <v>0</v>
      </c>
      <c r="H121">
        <f>13.1-F121-G121</f>
        <v>0.19999999999999929</v>
      </c>
      <c r="I121">
        <f t="shared" si="43"/>
        <v>0.19999999999999929</v>
      </c>
      <c r="J121">
        <f t="shared" si="44"/>
        <v>13.1</v>
      </c>
    </row>
    <row r="122" spans="1:18" x14ac:dyDescent="0.3">
      <c r="A122" t="s">
        <v>1</v>
      </c>
      <c r="B122" s="1">
        <v>45073</v>
      </c>
      <c r="C122" t="s">
        <v>7</v>
      </c>
      <c r="D122" t="s">
        <v>11</v>
      </c>
      <c r="E122">
        <v>4</v>
      </c>
      <c r="F122">
        <v>17</v>
      </c>
      <c r="G122">
        <v>0</v>
      </c>
      <c r="H122">
        <v>0</v>
      </c>
      <c r="I122">
        <f>H122+G122</f>
        <v>0</v>
      </c>
      <c r="J122">
        <f>I122+F122</f>
        <v>17</v>
      </c>
      <c r="K122">
        <f>J122-F123</f>
        <v>0.10000000000000142</v>
      </c>
      <c r="M122">
        <f t="shared" si="35"/>
        <v>0.98360655737704927</v>
      </c>
      <c r="N122">
        <v>1</v>
      </c>
      <c r="O122">
        <v>2.5</v>
      </c>
      <c r="P122">
        <f>O122*70</f>
        <v>175</v>
      </c>
    </row>
    <row r="123" spans="1:18" x14ac:dyDescent="0.3">
      <c r="A123" t="s">
        <v>2</v>
      </c>
      <c r="B123" s="1">
        <v>45074</v>
      </c>
      <c r="C123" t="s">
        <v>7</v>
      </c>
      <c r="D123" t="s">
        <v>11</v>
      </c>
      <c r="E123">
        <v>4</v>
      </c>
      <c r="F123">
        <v>16.899999999999999</v>
      </c>
      <c r="G123">
        <v>0</v>
      </c>
      <c r="H123">
        <v>0</v>
      </c>
      <c r="I123">
        <f t="shared" ref="I123:I162" si="57">H123+G123</f>
        <v>0</v>
      </c>
      <c r="J123">
        <f t="shared" ref="J123:J162" si="58">I123+F123</f>
        <v>16.899999999999999</v>
      </c>
      <c r="K123">
        <f t="shared" ref="K123:K162" si="59">J123-F124</f>
        <v>0.29999999999999716</v>
      </c>
      <c r="L123">
        <f>K122+K123</f>
        <v>0.39999999999999858</v>
      </c>
      <c r="M123">
        <f t="shared" si="35"/>
        <v>0.96721311475409821</v>
      </c>
      <c r="N123">
        <v>2</v>
      </c>
      <c r="O123">
        <f t="shared" ref="O123:O162" si="60">O122+G123</f>
        <v>2.5</v>
      </c>
      <c r="P123">
        <f t="shared" ref="P123:P162" si="61">O123*70</f>
        <v>175</v>
      </c>
      <c r="Q123">
        <f t="shared" ref="Q123:Q162" si="62">0.98-M123</f>
        <v>1.2786885245901769E-2</v>
      </c>
      <c r="R123">
        <f>Q122+Q123</f>
        <v>1.2786885245901769E-2</v>
      </c>
    </row>
    <row r="124" spans="1:18" x14ac:dyDescent="0.3">
      <c r="A124" t="s">
        <v>3</v>
      </c>
      <c r="B124" s="1">
        <v>45075</v>
      </c>
      <c r="C124" t="s">
        <v>7</v>
      </c>
      <c r="D124" t="s">
        <v>11</v>
      </c>
      <c r="E124">
        <v>4</v>
      </c>
      <c r="F124">
        <v>16.600000000000001</v>
      </c>
      <c r="G124">
        <v>0.25</v>
      </c>
      <c r="H124">
        <v>0</v>
      </c>
      <c r="I124">
        <f t="shared" si="57"/>
        <v>0.25</v>
      </c>
      <c r="J124">
        <f t="shared" si="58"/>
        <v>16.850000000000001</v>
      </c>
      <c r="K124">
        <f t="shared" si="59"/>
        <v>0.35000000000000142</v>
      </c>
      <c r="L124">
        <f>L123+K124</f>
        <v>0.75</v>
      </c>
      <c r="M124">
        <f t="shared" si="35"/>
        <v>0.95901639344262324</v>
      </c>
      <c r="N124">
        <v>3</v>
      </c>
      <c r="O124">
        <f t="shared" si="60"/>
        <v>2.75</v>
      </c>
      <c r="P124">
        <f t="shared" si="61"/>
        <v>192.5</v>
      </c>
      <c r="Q124">
        <f t="shared" si="62"/>
        <v>2.0983606557376744E-2</v>
      </c>
      <c r="R124">
        <f>R123+Q124</f>
        <v>3.3770491803278513E-2</v>
      </c>
    </row>
    <row r="125" spans="1:18" x14ac:dyDescent="0.3">
      <c r="A125" t="s">
        <v>4</v>
      </c>
      <c r="B125" s="1">
        <v>45076</v>
      </c>
      <c r="C125" t="s">
        <v>7</v>
      </c>
      <c r="D125" t="s">
        <v>11</v>
      </c>
      <c r="E125">
        <v>4</v>
      </c>
      <c r="F125">
        <v>16.5</v>
      </c>
      <c r="G125">
        <v>0.25</v>
      </c>
      <c r="H125">
        <v>0</v>
      </c>
      <c r="I125">
        <f t="shared" si="57"/>
        <v>0.25</v>
      </c>
      <c r="J125">
        <f t="shared" si="58"/>
        <v>16.75</v>
      </c>
      <c r="K125">
        <f t="shared" si="59"/>
        <v>0.35000000000000142</v>
      </c>
      <c r="L125">
        <f t="shared" ref="L125:L145" si="63">L124+K125</f>
        <v>1.1000000000000014</v>
      </c>
      <c r="M125">
        <f t="shared" si="35"/>
        <v>0.94262295081967218</v>
      </c>
      <c r="N125">
        <v>4</v>
      </c>
      <c r="O125">
        <f t="shared" si="60"/>
        <v>3</v>
      </c>
      <c r="P125">
        <f t="shared" si="61"/>
        <v>210</v>
      </c>
      <c r="Q125">
        <f t="shared" si="62"/>
        <v>3.7377049180327804E-2</v>
      </c>
      <c r="R125">
        <f t="shared" ref="R125:R148" si="64">R124+Q125</f>
        <v>7.1147540983606317E-2</v>
      </c>
    </row>
    <row r="126" spans="1:18" x14ac:dyDescent="0.3">
      <c r="A126" t="s">
        <v>5</v>
      </c>
      <c r="B126" s="1">
        <v>45077</v>
      </c>
      <c r="C126" t="s">
        <v>7</v>
      </c>
      <c r="D126" t="s">
        <v>11</v>
      </c>
      <c r="E126">
        <v>4</v>
      </c>
      <c r="F126">
        <v>16.399999999999999</v>
      </c>
      <c r="G126">
        <v>0</v>
      </c>
      <c r="H126">
        <v>0</v>
      </c>
      <c r="I126">
        <f t="shared" si="57"/>
        <v>0</v>
      </c>
      <c r="J126">
        <f t="shared" si="58"/>
        <v>16.399999999999999</v>
      </c>
      <c r="K126">
        <f t="shared" si="59"/>
        <v>0.39999999999999858</v>
      </c>
      <c r="L126">
        <f t="shared" si="63"/>
        <v>1.5</v>
      </c>
      <c r="M126">
        <f t="shared" si="35"/>
        <v>0.88524590163934413</v>
      </c>
      <c r="N126">
        <v>5</v>
      </c>
      <c r="O126">
        <f t="shared" si="60"/>
        <v>3</v>
      </c>
      <c r="P126">
        <f t="shared" si="61"/>
        <v>210</v>
      </c>
      <c r="Q126">
        <f t="shared" si="62"/>
        <v>9.4754098360655847E-2</v>
      </c>
      <c r="R126">
        <f t="shared" si="64"/>
        <v>0.16590163934426216</v>
      </c>
    </row>
    <row r="127" spans="1:18" x14ac:dyDescent="0.3">
      <c r="A127" t="s">
        <v>6</v>
      </c>
      <c r="B127" s="1">
        <v>45078</v>
      </c>
      <c r="C127" t="s">
        <v>7</v>
      </c>
      <c r="D127" t="s">
        <v>11</v>
      </c>
      <c r="E127">
        <v>4</v>
      </c>
      <c r="F127">
        <v>16</v>
      </c>
      <c r="G127">
        <v>0.25</v>
      </c>
      <c r="H127">
        <v>0</v>
      </c>
      <c r="I127">
        <f t="shared" si="57"/>
        <v>0.25</v>
      </c>
      <c r="J127">
        <f t="shared" si="58"/>
        <v>16.25</v>
      </c>
      <c r="K127">
        <f t="shared" si="59"/>
        <v>0.25</v>
      </c>
      <c r="L127">
        <f t="shared" si="63"/>
        <v>1.75</v>
      </c>
      <c r="M127">
        <f t="shared" si="35"/>
        <v>0.8606557377049181</v>
      </c>
      <c r="N127">
        <v>6</v>
      </c>
      <c r="O127">
        <f t="shared" si="60"/>
        <v>3.25</v>
      </c>
      <c r="P127">
        <f t="shared" si="61"/>
        <v>227.5</v>
      </c>
      <c r="Q127">
        <f t="shared" si="62"/>
        <v>0.11934426229508188</v>
      </c>
      <c r="R127">
        <f t="shared" si="64"/>
        <v>0.28524590163934405</v>
      </c>
    </row>
    <row r="128" spans="1:18" x14ac:dyDescent="0.3">
      <c r="A128" t="s">
        <v>0</v>
      </c>
      <c r="B128" s="1">
        <v>45079</v>
      </c>
      <c r="C128" t="s">
        <v>7</v>
      </c>
      <c r="D128" t="s">
        <v>11</v>
      </c>
      <c r="E128">
        <v>4</v>
      </c>
      <c r="F128">
        <v>16</v>
      </c>
      <c r="G128">
        <v>0.25</v>
      </c>
      <c r="H128">
        <v>0</v>
      </c>
      <c r="I128">
        <f t="shared" si="57"/>
        <v>0.25</v>
      </c>
      <c r="J128">
        <f t="shared" si="58"/>
        <v>16.25</v>
      </c>
      <c r="K128">
        <f t="shared" si="59"/>
        <v>0.14999999999999858</v>
      </c>
      <c r="L128">
        <f t="shared" si="63"/>
        <v>1.8999999999999986</v>
      </c>
      <c r="M128">
        <f t="shared" si="35"/>
        <v>0.8606557377049181</v>
      </c>
      <c r="N128">
        <v>7</v>
      </c>
      <c r="O128">
        <f t="shared" si="60"/>
        <v>3.5</v>
      </c>
      <c r="P128">
        <f t="shared" si="61"/>
        <v>245</v>
      </c>
      <c r="Q128">
        <f t="shared" si="62"/>
        <v>0.11934426229508188</v>
      </c>
      <c r="R128">
        <f t="shared" si="64"/>
        <v>0.40459016393442593</v>
      </c>
    </row>
    <row r="129" spans="1:18" x14ac:dyDescent="0.3">
      <c r="A129" t="s">
        <v>1</v>
      </c>
      <c r="B129" s="1">
        <v>45080</v>
      </c>
      <c r="C129" t="s">
        <v>7</v>
      </c>
      <c r="D129" t="s">
        <v>11</v>
      </c>
      <c r="E129">
        <v>4</v>
      </c>
      <c r="F129">
        <v>16.100000000000001</v>
      </c>
      <c r="G129">
        <v>0</v>
      </c>
      <c r="H129">
        <v>0</v>
      </c>
      <c r="I129">
        <f t="shared" si="57"/>
        <v>0</v>
      </c>
      <c r="J129">
        <f t="shared" si="58"/>
        <v>16.100000000000001</v>
      </c>
      <c r="K129">
        <f t="shared" si="59"/>
        <v>0.30000000000000071</v>
      </c>
      <c r="L129">
        <f t="shared" si="63"/>
        <v>2.1999999999999993</v>
      </c>
      <c r="M129">
        <f t="shared" si="35"/>
        <v>0.83606557377049207</v>
      </c>
      <c r="N129">
        <v>8</v>
      </c>
      <c r="O129">
        <f t="shared" si="60"/>
        <v>3.5</v>
      </c>
      <c r="P129">
        <f t="shared" si="61"/>
        <v>245</v>
      </c>
      <c r="Q129">
        <f t="shared" si="62"/>
        <v>0.14393442622950792</v>
      </c>
      <c r="R129">
        <f t="shared" si="64"/>
        <v>0.54852459016393385</v>
      </c>
    </row>
    <row r="130" spans="1:18" x14ac:dyDescent="0.3">
      <c r="A130" t="s">
        <v>2</v>
      </c>
      <c r="B130" s="1">
        <v>45081</v>
      </c>
      <c r="C130" t="s">
        <v>7</v>
      </c>
      <c r="D130" t="s">
        <v>11</v>
      </c>
      <c r="E130">
        <v>4</v>
      </c>
      <c r="F130">
        <v>15.8</v>
      </c>
      <c r="G130">
        <v>0</v>
      </c>
      <c r="H130">
        <v>0</v>
      </c>
      <c r="I130">
        <f t="shared" si="57"/>
        <v>0</v>
      </c>
      <c r="J130">
        <f t="shared" si="58"/>
        <v>15.8</v>
      </c>
      <c r="K130">
        <f t="shared" si="59"/>
        <v>0.40000000000000036</v>
      </c>
      <c r="L130">
        <f t="shared" si="63"/>
        <v>2.5999999999999996</v>
      </c>
      <c r="M130">
        <f t="shared" si="35"/>
        <v>0.78688524590163955</v>
      </c>
      <c r="N130">
        <v>9</v>
      </c>
      <c r="O130">
        <f t="shared" si="60"/>
        <v>3.5</v>
      </c>
      <c r="P130">
        <f t="shared" si="61"/>
        <v>245</v>
      </c>
      <c r="Q130">
        <f t="shared" si="62"/>
        <v>0.19311475409836043</v>
      </c>
      <c r="R130">
        <f t="shared" si="64"/>
        <v>0.74163934426229428</v>
      </c>
    </row>
    <row r="131" spans="1:18" x14ac:dyDescent="0.3">
      <c r="A131" t="s">
        <v>3</v>
      </c>
      <c r="B131" s="1">
        <v>45082</v>
      </c>
      <c r="C131" t="s">
        <v>7</v>
      </c>
      <c r="D131" t="s">
        <v>11</v>
      </c>
      <c r="E131">
        <v>4</v>
      </c>
      <c r="F131">
        <v>15.4</v>
      </c>
      <c r="G131">
        <v>0.25</v>
      </c>
      <c r="H131">
        <v>0</v>
      </c>
      <c r="I131">
        <f t="shared" si="57"/>
        <v>0.25</v>
      </c>
      <c r="J131">
        <f t="shared" si="58"/>
        <v>15.65</v>
      </c>
      <c r="K131">
        <f t="shared" si="59"/>
        <v>0.15000000000000036</v>
      </c>
      <c r="L131">
        <f t="shared" si="63"/>
        <v>2.75</v>
      </c>
      <c r="M131">
        <f t="shared" ref="M131:M194" si="65">(J131-11)/6.1</f>
        <v>0.76229508196721318</v>
      </c>
      <c r="N131">
        <v>10</v>
      </c>
      <c r="O131">
        <f t="shared" si="60"/>
        <v>3.75</v>
      </c>
      <c r="P131">
        <f t="shared" si="61"/>
        <v>262.5</v>
      </c>
      <c r="Q131">
        <f t="shared" si="62"/>
        <v>0.2177049180327868</v>
      </c>
      <c r="R131">
        <f t="shared" si="64"/>
        <v>0.95934426229508107</v>
      </c>
    </row>
    <row r="132" spans="1:18" x14ac:dyDescent="0.3">
      <c r="A132" t="s">
        <v>4</v>
      </c>
      <c r="B132" s="1">
        <v>45083</v>
      </c>
      <c r="C132" t="s">
        <v>7</v>
      </c>
      <c r="D132" t="s">
        <v>11</v>
      </c>
      <c r="E132">
        <v>4</v>
      </c>
      <c r="F132">
        <v>15.5</v>
      </c>
      <c r="G132">
        <v>0.25</v>
      </c>
      <c r="H132">
        <v>0</v>
      </c>
      <c r="I132">
        <f t="shared" si="57"/>
        <v>0.25</v>
      </c>
      <c r="J132">
        <f t="shared" si="58"/>
        <v>15.75</v>
      </c>
      <c r="K132">
        <f t="shared" si="59"/>
        <v>0.34999999999999964</v>
      </c>
      <c r="L132">
        <f t="shared" si="63"/>
        <v>3.0999999999999996</v>
      </c>
      <c r="M132">
        <f t="shared" si="65"/>
        <v>0.77868852459016402</v>
      </c>
      <c r="N132">
        <v>11</v>
      </c>
      <c r="O132">
        <f t="shared" si="60"/>
        <v>4</v>
      </c>
      <c r="P132">
        <f t="shared" si="61"/>
        <v>280</v>
      </c>
      <c r="Q132">
        <f t="shared" si="62"/>
        <v>0.20131147540983596</v>
      </c>
      <c r="R132">
        <f t="shared" si="64"/>
        <v>1.1606557377049169</v>
      </c>
    </row>
    <row r="133" spans="1:18" x14ac:dyDescent="0.3">
      <c r="A133" t="s">
        <v>5</v>
      </c>
      <c r="B133" s="1">
        <v>45084</v>
      </c>
      <c r="C133" t="s">
        <v>7</v>
      </c>
      <c r="D133" t="s">
        <v>11</v>
      </c>
      <c r="E133">
        <v>4</v>
      </c>
      <c r="F133">
        <v>15.4</v>
      </c>
      <c r="G133">
        <v>0</v>
      </c>
      <c r="H133">
        <v>0</v>
      </c>
      <c r="I133">
        <f t="shared" si="57"/>
        <v>0</v>
      </c>
      <c r="J133">
        <f t="shared" si="58"/>
        <v>15.4</v>
      </c>
      <c r="K133">
        <f t="shared" si="59"/>
        <v>0.40000000000000036</v>
      </c>
      <c r="L133">
        <f t="shared" si="63"/>
        <v>3.5</v>
      </c>
      <c r="M133">
        <f t="shared" si="65"/>
        <v>0.7213114754098362</v>
      </c>
      <c r="N133">
        <v>12</v>
      </c>
      <c r="O133">
        <f t="shared" si="60"/>
        <v>4</v>
      </c>
      <c r="P133">
        <f t="shared" si="61"/>
        <v>280</v>
      </c>
      <c r="Q133">
        <f t="shared" si="62"/>
        <v>0.25868852459016378</v>
      </c>
      <c r="R133">
        <f t="shared" si="64"/>
        <v>1.4193442622950807</v>
      </c>
    </row>
    <row r="134" spans="1:18" x14ac:dyDescent="0.3">
      <c r="A134" t="s">
        <v>6</v>
      </c>
      <c r="B134" s="1">
        <v>45085</v>
      </c>
      <c r="C134" t="s">
        <v>7</v>
      </c>
      <c r="D134" t="s">
        <v>11</v>
      </c>
      <c r="E134">
        <v>4</v>
      </c>
      <c r="F134">
        <v>15</v>
      </c>
      <c r="G134">
        <v>0.25</v>
      </c>
      <c r="H134">
        <v>0</v>
      </c>
      <c r="I134">
        <f t="shared" si="57"/>
        <v>0.25</v>
      </c>
      <c r="J134">
        <f t="shared" si="58"/>
        <v>15.25</v>
      </c>
      <c r="K134">
        <f t="shared" si="59"/>
        <v>0.25</v>
      </c>
      <c r="L134">
        <f t="shared" si="63"/>
        <v>3.75</v>
      </c>
      <c r="M134">
        <f t="shared" si="65"/>
        <v>0.69672131147540983</v>
      </c>
      <c r="N134">
        <v>13</v>
      </c>
      <c r="O134">
        <f t="shared" si="60"/>
        <v>4.25</v>
      </c>
      <c r="P134">
        <f t="shared" si="61"/>
        <v>297.5</v>
      </c>
      <c r="Q134">
        <f t="shared" si="62"/>
        <v>0.28327868852459015</v>
      </c>
      <c r="R134">
        <f t="shared" si="64"/>
        <v>1.7026229508196709</v>
      </c>
    </row>
    <row r="135" spans="1:18" x14ac:dyDescent="0.3">
      <c r="A135" t="s">
        <v>0</v>
      </c>
      <c r="B135" s="1">
        <v>45086</v>
      </c>
      <c r="C135" t="s">
        <v>7</v>
      </c>
      <c r="D135" t="s">
        <v>11</v>
      </c>
      <c r="E135">
        <v>4</v>
      </c>
      <c r="F135">
        <v>15</v>
      </c>
      <c r="G135">
        <v>0.25</v>
      </c>
      <c r="H135">
        <v>0</v>
      </c>
      <c r="I135">
        <f t="shared" si="57"/>
        <v>0.25</v>
      </c>
      <c r="J135">
        <f t="shared" si="58"/>
        <v>15.25</v>
      </c>
      <c r="K135">
        <f t="shared" si="59"/>
        <v>0.65000000000000036</v>
      </c>
      <c r="L135">
        <f t="shared" si="63"/>
        <v>4.4000000000000004</v>
      </c>
      <c r="M135">
        <f t="shared" si="65"/>
        <v>0.69672131147540983</v>
      </c>
      <c r="N135">
        <v>14</v>
      </c>
      <c r="O135">
        <f t="shared" si="60"/>
        <v>4.5</v>
      </c>
      <c r="P135">
        <f t="shared" si="61"/>
        <v>315</v>
      </c>
      <c r="Q135">
        <f t="shared" si="62"/>
        <v>0.28327868852459015</v>
      </c>
      <c r="R135">
        <f t="shared" si="64"/>
        <v>1.985901639344261</v>
      </c>
    </row>
    <row r="136" spans="1:18" x14ac:dyDescent="0.3">
      <c r="A136" t="s">
        <v>1</v>
      </c>
      <c r="B136" s="1">
        <v>45087</v>
      </c>
      <c r="C136" t="s">
        <v>7</v>
      </c>
      <c r="D136" t="s">
        <v>11</v>
      </c>
      <c r="E136">
        <v>4</v>
      </c>
      <c r="F136">
        <v>14.6</v>
      </c>
      <c r="G136">
        <v>0</v>
      </c>
      <c r="H136">
        <f t="shared" ref="H136:H140" si="66">14.7-F136-G136</f>
        <v>9.9999999999999645E-2</v>
      </c>
      <c r="I136">
        <f t="shared" si="57"/>
        <v>9.9999999999999645E-2</v>
      </c>
      <c r="J136">
        <f t="shared" si="58"/>
        <v>14.7</v>
      </c>
      <c r="K136">
        <f t="shared" si="59"/>
        <v>0.5</v>
      </c>
      <c r="L136">
        <f t="shared" si="63"/>
        <v>4.9000000000000004</v>
      </c>
      <c r="M136">
        <f t="shared" si="65"/>
        <v>0.60655737704918022</v>
      </c>
      <c r="N136">
        <v>15</v>
      </c>
      <c r="O136">
        <f t="shared" si="60"/>
        <v>4.5</v>
      </c>
      <c r="P136">
        <f t="shared" si="61"/>
        <v>315</v>
      </c>
      <c r="Q136">
        <f t="shared" si="62"/>
        <v>0.37344262295081976</v>
      </c>
      <c r="R136">
        <f t="shared" si="64"/>
        <v>2.3593442622950809</v>
      </c>
    </row>
    <row r="137" spans="1:18" x14ac:dyDescent="0.3">
      <c r="A137" t="s">
        <v>2</v>
      </c>
      <c r="B137" s="1">
        <v>45088</v>
      </c>
      <c r="C137" t="s">
        <v>7</v>
      </c>
      <c r="D137" t="s">
        <v>11</v>
      </c>
      <c r="E137">
        <v>4</v>
      </c>
      <c r="F137">
        <v>14.2</v>
      </c>
      <c r="G137">
        <v>0</v>
      </c>
      <c r="H137">
        <f t="shared" si="66"/>
        <v>0.5</v>
      </c>
      <c r="I137">
        <f t="shared" si="57"/>
        <v>0.5</v>
      </c>
      <c r="J137">
        <f t="shared" si="58"/>
        <v>14.7</v>
      </c>
      <c r="K137">
        <f t="shared" si="59"/>
        <v>0.5</v>
      </c>
      <c r="L137">
        <f t="shared" si="63"/>
        <v>5.4</v>
      </c>
      <c r="M137">
        <f t="shared" si="65"/>
        <v>0.60655737704918022</v>
      </c>
      <c r="N137">
        <v>16</v>
      </c>
      <c r="O137">
        <f t="shared" si="60"/>
        <v>4.5</v>
      </c>
      <c r="P137">
        <f t="shared" si="61"/>
        <v>315</v>
      </c>
      <c r="Q137">
        <f t="shared" si="62"/>
        <v>0.37344262295081976</v>
      </c>
      <c r="R137">
        <f t="shared" si="64"/>
        <v>2.7327868852459005</v>
      </c>
    </row>
    <row r="138" spans="1:18" x14ac:dyDescent="0.3">
      <c r="A138" t="s">
        <v>3</v>
      </c>
      <c r="B138" s="1">
        <v>45089</v>
      </c>
      <c r="C138" t="s">
        <v>7</v>
      </c>
      <c r="D138" t="s">
        <v>11</v>
      </c>
      <c r="E138">
        <v>4</v>
      </c>
      <c r="F138">
        <v>14.2</v>
      </c>
      <c r="G138">
        <v>0.5</v>
      </c>
      <c r="H138">
        <f t="shared" si="66"/>
        <v>0</v>
      </c>
      <c r="I138">
        <f t="shared" si="57"/>
        <v>0.5</v>
      </c>
      <c r="J138">
        <f t="shared" si="58"/>
        <v>14.7</v>
      </c>
      <c r="K138">
        <f t="shared" si="59"/>
        <v>0.29999999999999893</v>
      </c>
      <c r="L138">
        <f t="shared" si="63"/>
        <v>5.6999999999999993</v>
      </c>
      <c r="M138">
        <f t="shared" si="65"/>
        <v>0.60655737704918022</v>
      </c>
      <c r="N138">
        <v>17</v>
      </c>
      <c r="O138">
        <f t="shared" si="60"/>
        <v>5</v>
      </c>
      <c r="P138">
        <f t="shared" si="61"/>
        <v>350</v>
      </c>
      <c r="Q138">
        <f t="shared" si="62"/>
        <v>0.37344262295081976</v>
      </c>
      <c r="R138">
        <f t="shared" si="64"/>
        <v>3.1062295081967202</v>
      </c>
    </row>
    <row r="139" spans="1:18" x14ac:dyDescent="0.3">
      <c r="A139" t="s">
        <v>4</v>
      </c>
      <c r="B139" s="1">
        <v>45090</v>
      </c>
      <c r="C139" t="s">
        <v>7</v>
      </c>
      <c r="D139" t="s">
        <v>11</v>
      </c>
      <c r="E139">
        <v>4</v>
      </c>
      <c r="F139">
        <v>14.4</v>
      </c>
      <c r="G139">
        <v>0</v>
      </c>
      <c r="H139">
        <f t="shared" si="66"/>
        <v>0.29999999999999893</v>
      </c>
      <c r="I139">
        <f t="shared" si="57"/>
        <v>0.29999999999999893</v>
      </c>
      <c r="J139">
        <f t="shared" si="58"/>
        <v>14.7</v>
      </c>
      <c r="K139">
        <f t="shared" si="59"/>
        <v>0.5</v>
      </c>
      <c r="L139">
        <f t="shared" si="63"/>
        <v>6.1999999999999993</v>
      </c>
      <c r="M139">
        <f t="shared" si="65"/>
        <v>0.60655737704918022</v>
      </c>
      <c r="N139">
        <v>18</v>
      </c>
      <c r="O139">
        <f t="shared" si="60"/>
        <v>5</v>
      </c>
      <c r="P139">
        <f t="shared" si="61"/>
        <v>350</v>
      </c>
      <c r="Q139">
        <f t="shared" si="62"/>
        <v>0.37344262295081976</v>
      </c>
      <c r="R139">
        <f t="shared" si="64"/>
        <v>3.4796721311475398</v>
      </c>
    </row>
    <row r="140" spans="1:18" x14ac:dyDescent="0.3">
      <c r="A140" t="s">
        <v>5</v>
      </c>
      <c r="B140" s="1">
        <v>45091</v>
      </c>
      <c r="C140" t="s">
        <v>7</v>
      </c>
      <c r="D140" t="s">
        <v>11</v>
      </c>
      <c r="E140">
        <v>4</v>
      </c>
      <c r="F140">
        <v>14.2</v>
      </c>
      <c r="G140">
        <v>0</v>
      </c>
      <c r="H140">
        <f t="shared" si="66"/>
        <v>0.5</v>
      </c>
      <c r="I140">
        <f t="shared" si="57"/>
        <v>0.5</v>
      </c>
      <c r="J140">
        <f t="shared" si="58"/>
        <v>14.7</v>
      </c>
      <c r="K140">
        <f t="shared" si="59"/>
        <v>0.69999999999999929</v>
      </c>
      <c r="L140">
        <f t="shared" si="63"/>
        <v>6.8999999999999986</v>
      </c>
      <c r="M140">
        <f t="shared" si="65"/>
        <v>0.60655737704918022</v>
      </c>
      <c r="N140">
        <v>19</v>
      </c>
      <c r="O140">
        <f t="shared" si="60"/>
        <v>5</v>
      </c>
      <c r="P140">
        <f t="shared" si="61"/>
        <v>350</v>
      </c>
      <c r="Q140">
        <f t="shared" si="62"/>
        <v>0.37344262295081976</v>
      </c>
      <c r="R140">
        <f t="shared" si="64"/>
        <v>3.8531147540983595</v>
      </c>
    </row>
    <row r="141" spans="1:18" x14ac:dyDescent="0.3">
      <c r="A141" t="s">
        <v>6</v>
      </c>
      <c r="B141" s="1">
        <v>45092</v>
      </c>
      <c r="C141" t="s">
        <v>7</v>
      </c>
      <c r="D141" t="s">
        <v>11</v>
      </c>
      <c r="E141">
        <v>4</v>
      </c>
      <c r="F141">
        <v>14</v>
      </c>
      <c r="G141">
        <v>0.5</v>
      </c>
      <c r="H141">
        <f>14.5-F141-G141</f>
        <v>0</v>
      </c>
      <c r="I141">
        <f t="shared" si="57"/>
        <v>0.5</v>
      </c>
      <c r="J141">
        <f t="shared" si="58"/>
        <v>14.5</v>
      </c>
      <c r="K141">
        <f t="shared" si="59"/>
        <v>0.40000000000000036</v>
      </c>
      <c r="L141">
        <f t="shared" si="63"/>
        <v>7.2999999999999989</v>
      </c>
      <c r="M141">
        <f t="shared" si="65"/>
        <v>0.57377049180327877</v>
      </c>
      <c r="N141">
        <v>20</v>
      </c>
      <c r="O141">
        <f t="shared" si="60"/>
        <v>5.5</v>
      </c>
      <c r="P141">
        <f t="shared" si="61"/>
        <v>385</v>
      </c>
      <c r="Q141">
        <f t="shared" si="62"/>
        <v>0.40622950819672121</v>
      </c>
      <c r="R141">
        <f t="shared" si="64"/>
        <v>4.2593442622950803</v>
      </c>
    </row>
    <row r="142" spans="1:18" x14ac:dyDescent="0.3">
      <c r="A142" t="s">
        <v>0</v>
      </c>
      <c r="B142" s="1">
        <v>45093</v>
      </c>
      <c r="C142" t="s">
        <v>7</v>
      </c>
      <c r="D142" t="s">
        <v>11</v>
      </c>
      <c r="E142">
        <v>4</v>
      </c>
      <c r="F142">
        <v>14.1</v>
      </c>
      <c r="G142">
        <v>0</v>
      </c>
      <c r="H142">
        <f>14.4-F142-G142</f>
        <v>0.30000000000000071</v>
      </c>
      <c r="I142">
        <f t="shared" si="57"/>
        <v>0.30000000000000071</v>
      </c>
      <c r="J142">
        <f t="shared" si="58"/>
        <v>14.4</v>
      </c>
      <c r="K142">
        <f t="shared" si="59"/>
        <v>0.40000000000000036</v>
      </c>
      <c r="L142">
        <f t="shared" si="63"/>
        <v>7.6999999999999993</v>
      </c>
      <c r="M142">
        <f t="shared" si="65"/>
        <v>0.55737704918032793</v>
      </c>
      <c r="N142">
        <v>21</v>
      </c>
      <c r="O142">
        <f t="shared" si="60"/>
        <v>5.5</v>
      </c>
      <c r="P142">
        <f t="shared" si="61"/>
        <v>385</v>
      </c>
      <c r="Q142">
        <f t="shared" si="62"/>
        <v>0.42262295081967205</v>
      </c>
      <c r="R142">
        <f t="shared" si="64"/>
        <v>4.6819672131147527</v>
      </c>
    </row>
    <row r="143" spans="1:18" x14ac:dyDescent="0.3">
      <c r="A143" t="s">
        <v>1</v>
      </c>
      <c r="B143" s="1">
        <v>45094</v>
      </c>
      <c r="C143" t="s">
        <v>7</v>
      </c>
      <c r="D143" t="s">
        <v>11</v>
      </c>
      <c r="E143">
        <v>4</v>
      </c>
      <c r="F143">
        <v>14</v>
      </c>
      <c r="G143">
        <v>0</v>
      </c>
      <c r="H143">
        <f>14.4-F143-G143</f>
        <v>0.40000000000000036</v>
      </c>
      <c r="I143">
        <f t="shared" si="57"/>
        <v>0.40000000000000036</v>
      </c>
      <c r="J143">
        <f t="shared" si="58"/>
        <v>14.4</v>
      </c>
      <c r="K143">
        <f t="shared" si="59"/>
        <v>0.30000000000000071</v>
      </c>
      <c r="L143">
        <f t="shared" si="63"/>
        <v>8</v>
      </c>
      <c r="M143">
        <f t="shared" si="65"/>
        <v>0.55737704918032793</v>
      </c>
      <c r="N143">
        <v>22</v>
      </c>
      <c r="O143">
        <f t="shared" si="60"/>
        <v>5.5</v>
      </c>
      <c r="P143">
        <f t="shared" si="61"/>
        <v>385</v>
      </c>
      <c r="Q143">
        <f t="shared" si="62"/>
        <v>0.42262295081967205</v>
      </c>
      <c r="R143">
        <f t="shared" si="64"/>
        <v>5.1045901639344251</v>
      </c>
    </row>
    <row r="144" spans="1:18" x14ac:dyDescent="0.3">
      <c r="A144" t="s">
        <v>2</v>
      </c>
      <c r="B144" s="1">
        <v>45095</v>
      </c>
      <c r="C144" t="s">
        <v>7</v>
      </c>
      <c r="D144" t="s">
        <v>11</v>
      </c>
      <c r="E144">
        <v>4</v>
      </c>
      <c r="F144">
        <v>14.1</v>
      </c>
      <c r="G144">
        <v>0</v>
      </c>
      <c r="H144">
        <f>14.4-F144-G144</f>
        <v>0.30000000000000071</v>
      </c>
      <c r="I144">
        <f t="shared" si="57"/>
        <v>0.30000000000000071</v>
      </c>
      <c r="J144">
        <f t="shared" si="58"/>
        <v>14.4</v>
      </c>
      <c r="K144">
        <f t="shared" si="59"/>
        <v>0.30000000000000071</v>
      </c>
      <c r="L144">
        <f t="shared" si="63"/>
        <v>8.3000000000000007</v>
      </c>
      <c r="M144">
        <f t="shared" si="65"/>
        <v>0.55737704918032793</v>
      </c>
      <c r="N144">
        <v>23</v>
      </c>
      <c r="O144">
        <f t="shared" si="60"/>
        <v>5.5</v>
      </c>
      <c r="P144">
        <f t="shared" si="61"/>
        <v>385</v>
      </c>
      <c r="Q144">
        <f t="shared" si="62"/>
        <v>0.42262295081967205</v>
      </c>
      <c r="R144">
        <f t="shared" si="64"/>
        <v>5.5272131147540975</v>
      </c>
    </row>
    <row r="145" spans="1:18" x14ac:dyDescent="0.3">
      <c r="A145" t="s">
        <v>3</v>
      </c>
      <c r="B145" s="1">
        <v>45096</v>
      </c>
      <c r="C145" t="s">
        <v>7</v>
      </c>
      <c r="D145" t="s">
        <v>11</v>
      </c>
      <c r="E145">
        <v>4</v>
      </c>
      <c r="F145">
        <v>14.1</v>
      </c>
      <c r="G145">
        <v>0.5</v>
      </c>
      <c r="H145">
        <v>0</v>
      </c>
      <c r="I145">
        <f t="shared" si="57"/>
        <v>0.5</v>
      </c>
      <c r="J145">
        <f t="shared" si="58"/>
        <v>14.6</v>
      </c>
      <c r="K145">
        <f t="shared" si="59"/>
        <v>0.29999999999999893</v>
      </c>
      <c r="L145">
        <f t="shared" si="63"/>
        <v>8.6</v>
      </c>
      <c r="M145">
        <f t="shared" si="65"/>
        <v>0.5901639344262295</v>
      </c>
      <c r="N145">
        <v>24</v>
      </c>
      <c r="O145">
        <f t="shared" si="60"/>
        <v>6</v>
      </c>
      <c r="P145">
        <f t="shared" si="61"/>
        <v>420</v>
      </c>
      <c r="Q145">
        <f t="shared" si="62"/>
        <v>0.38983606557377048</v>
      </c>
      <c r="R145">
        <f t="shared" si="64"/>
        <v>5.9170491803278678</v>
      </c>
    </row>
    <row r="146" spans="1:18" x14ac:dyDescent="0.3">
      <c r="A146" t="s">
        <v>4</v>
      </c>
      <c r="B146" s="1">
        <v>45097</v>
      </c>
      <c r="C146" t="s">
        <v>7</v>
      </c>
      <c r="D146" t="s">
        <v>11</v>
      </c>
      <c r="E146">
        <v>4</v>
      </c>
      <c r="F146">
        <v>14.3</v>
      </c>
      <c r="G146">
        <v>0</v>
      </c>
      <c r="H146">
        <f>14.3-F146-G146</f>
        <v>0</v>
      </c>
      <c r="I146">
        <f t="shared" si="57"/>
        <v>0</v>
      </c>
      <c r="J146">
        <f t="shared" si="58"/>
        <v>14.3</v>
      </c>
      <c r="K146">
        <f t="shared" si="59"/>
        <v>0.40000000000000036</v>
      </c>
      <c r="L146">
        <f>L145+K146</f>
        <v>9</v>
      </c>
      <c r="M146">
        <f t="shared" si="65"/>
        <v>0.54098360655737721</v>
      </c>
      <c r="N146">
        <v>25</v>
      </c>
      <c r="O146">
        <f t="shared" si="60"/>
        <v>6</v>
      </c>
      <c r="P146">
        <f t="shared" si="61"/>
        <v>420</v>
      </c>
      <c r="Q146">
        <f t="shared" si="62"/>
        <v>0.43901639344262278</v>
      </c>
      <c r="R146">
        <f t="shared" si="64"/>
        <v>6.3560655737704908</v>
      </c>
    </row>
    <row r="147" spans="1:18" x14ac:dyDescent="0.3">
      <c r="A147" t="s">
        <v>5</v>
      </c>
      <c r="B147" s="1">
        <v>45098</v>
      </c>
      <c r="C147" t="s">
        <v>7</v>
      </c>
      <c r="D147" t="s">
        <v>11</v>
      </c>
      <c r="E147">
        <v>4</v>
      </c>
      <c r="F147">
        <v>13.9</v>
      </c>
      <c r="G147">
        <v>0</v>
      </c>
      <c r="H147">
        <f>14-F147-G147</f>
        <v>9.9999999999999645E-2</v>
      </c>
      <c r="I147">
        <f t="shared" si="57"/>
        <v>9.9999999999999645E-2</v>
      </c>
      <c r="J147">
        <f t="shared" si="58"/>
        <v>14</v>
      </c>
      <c r="K147">
        <f t="shared" si="59"/>
        <v>0.5</v>
      </c>
      <c r="L147">
        <f t="shared" ref="L147:L162" si="67">L146+K147</f>
        <v>9.5</v>
      </c>
      <c r="M147">
        <f t="shared" si="65"/>
        <v>0.49180327868852464</v>
      </c>
      <c r="N147">
        <v>26</v>
      </c>
      <c r="O147">
        <f t="shared" si="60"/>
        <v>6</v>
      </c>
      <c r="P147">
        <f t="shared" si="61"/>
        <v>420</v>
      </c>
      <c r="Q147">
        <f t="shared" si="62"/>
        <v>0.48819672131147535</v>
      </c>
      <c r="R147">
        <f t="shared" si="64"/>
        <v>6.8442622950819665</v>
      </c>
    </row>
    <row r="148" spans="1:18" x14ac:dyDescent="0.3">
      <c r="A148" t="s">
        <v>6</v>
      </c>
      <c r="B148" s="1">
        <v>45099</v>
      </c>
      <c r="C148" t="s">
        <v>7</v>
      </c>
      <c r="D148" t="s">
        <v>11</v>
      </c>
      <c r="E148">
        <v>4</v>
      </c>
      <c r="F148">
        <v>13.5</v>
      </c>
      <c r="G148">
        <v>0.5</v>
      </c>
      <c r="H148">
        <f>14-F148-G148</f>
        <v>0</v>
      </c>
      <c r="I148">
        <f t="shared" si="57"/>
        <v>0.5</v>
      </c>
      <c r="J148">
        <f t="shared" si="58"/>
        <v>14</v>
      </c>
      <c r="K148">
        <f t="shared" si="59"/>
        <v>0.30000000000000071</v>
      </c>
      <c r="L148">
        <f t="shared" si="67"/>
        <v>9.8000000000000007</v>
      </c>
      <c r="M148">
        <f t="shared" si="65"/>
        <v>0.49180327868852464</v>
      </c>
      <c r="N148">
        <v>27</v>
      </c>
      <c r="O148">
        <f t="shared" si="60"/>
        <v>6.5</v>
      </c>
      <c r="P148">
        <f t="shared" si="61"/>
        <v>455</v>
      </c>
      <c r="Q148">
        <f t="shared" si="62"/>
        <v>0.48819672131147535</v>
      </c>
      <c r="R148">
        <f t="shared" si="64"/>
        <v>7.3324590163934422</v>
      </c>
    </row>
    <row r="149" spans="1:18" x14ac:dyDescent="0.3">
      <c r="A149" t="s">
        <v>0</v>
      </c>
      <c r="B149" s="1">
        <v>45100</v>
      </c>
      <c r="C149" t="s">
        <v>7</v>
      </c>
      <c r="D149" t="s">
        <v>11</v>
      </c>
      <c r="E149">
        <v>4</v>
      </c>
      <c r="F149">
        <v>13.7</v>
      </c>
      <c r="G149">
        <v>0</v>
      </c>
      <c r="H149">
        <f>13.8-F149-G149</f>
        <v>0.10000000000000142</v>
      </c>
      <c r="I149">
        <f t="shared" si="57"/>
        <v>0.10000000000000142</v>
      </c>
      <c r="J149">
        <f t="shared" si="58"/>
        <v>13.8</v>
      </c>
      <c r="K149">
        <f t="shared" si="59"/>
        <v>0.40000000000000036</v>
      </c>
      <c r="L149">
        <f t="shared" si="67"/>
        <v>10.200000000000001</v>
      </c>
      <c r="M149">
        <f t="shared" si="65"/>
        <v>0.45901639344262307</v>
      </c>
      <c r="N149">
        <v>28</v>
      </c>
      <c r="O149">
        <f t="shared" si="60"/>
        <v>6.5</v>
      </c>
      <c r="P149">
        <f t="shared" si="61"/>
        <v>455</v>
      </c>
      <c r="Q149">
        <f t="shared" si="62"/>
        <v>0.52098360655737697</v>
      </c>
      <c r="R149">
        <f>R148+Q149</f>
        <v>7.8534426229508192</v>
      </c>
    </row>
    <row r="150" spans="1:18" x14ac:dyDescent="0.3">
      <c r="A150" t="s">
        <v>1</v>
      </c>
      <c r="B150" s="1">
        <v>45101</v>
      </c>
      <c r="C150" t="s">
        <v>7</v>
      </c>
      <c r="D150" t="s">
        <v>11</v>
      </c>
      <c r="E150">
        <v>4</v>
      </c>
      <c r="F150">
        <v>13.4</v>
      </c>
      <c r="G150">
        <v>0</v>
      </c>
      <c r="H150">
        <f>13.8-F150-G150</f>
        <v>0.40000000000000036</v>
      </c>
      <c r="I150">
        <f t="shared" si="57"/>
        <v>0.40000000000000036</v>
      </c>
      <c r="J150">
        <f t="shared" si="58"/>
        <v>13.8</v>
      </c>
      <c r="K150">
        <f t="shared" si="59"/>
        <v>0.5</v>
      </c>
      <c r="L150">
        <f t="shared" si="67"/>
        <v>10.700000000000001</v>
      </c>
      <c r="M150">
        <f t="shared" si="65"/>
        <v>0.45901639344262307</v>
      </c>
      <c r="N150">
        <v>29</v>
      </c>
      <c r="O150">
        <f t="shared" si="60"/>
        <v>6.5</v>
      </c>
      <c r="P150">
        <f t="shared" si="61"/>
        <v>455</v>
      </c>
      <c r="Q150">
        <f t="shared" si="62"/>
        <v>0.52098360655737697</v>
      </c>
      <c r="R150">
        <f t="shared" ref="R150:R159" si="68">R149+Q150</f>
        <v>8.3744262295081953</v>
      </c>
    </row>
    <row r="151" spans="1:18" x14ac:dyDescent="0.3">
      <c r="A151" t="s">
        <v>2</v>
      </c>
      <c r="B151" s="1">
        <v>45102</v>
      </c>
      <c r="C151" t="s">
        <v>7</v>
      </c>
      <c r="D151" t="s">
        <v>11</v>
      </c>
      <c r="E151">
        <v>4</v>
      </c>
      <c r="F151">
        <v>13.3</v>
      </c>
      <c r="G151">
        <v>0</v>
      </c>
      <c r="H151">
        <f>13.5-F151-G151</f>
        <v>0.19999999999999929</v>
      </c>
      <c r="I151">
        <f t="shared" si="57"/>
        <v>0.19999999999999929</v>
      </c>
      <c r="J151">
        <f t="shared" si="58"/>
        <v>13.5</v>
      </c>
      <c r="K151">
        <f t="shared" si="59"/>
        <v>0.30000000000000071</v>
      </c>
      <c r="L151">
        <f t="shared" si="67"/>
        <v>11.000000000000002</v>
      </c>
      <c r="M151">
        <f t="shared" si="65"/>
        <v>0.4098360655737705</v>
      </c>
      <c r="N151">
        <v>30</v>
      </c>
      <c r="O151">
        <f t="shared" si="60"/>
        <v>6.5</v>
      </c>
      <c r="P151">
        <f t="shared" si="61"/>
        <v>455</v>
      </c>
      <c r="Q151">
        <f t="shared" si="62"/>
        <v>0.57016393442622948</v>
      </c>
      <c r="R151">
        <f t="shared" si="68"/>
        <v>8.944590163934425</v>
      </c>
    </row>
    <row r="152" spans="1:18" x14ac:dyDescent="0.3">
      <c r="A152" t="s">
        <v>3</v>
      </c>
      <c r="B152" s="1">
        <v>45103</v>
      </c>
      <c r="C152" t="s">
        <v>7</v>
      </c>
      <c r="D152" t="s">
        <v>11</v>
      </c>
      <c r="E152">
        <v>4</v>
      </c>
      <c r="F152">
        <v>13.2</v>
      </c>
      <c r="G152">
        <v>0.5</v>
      </c>
      <c r="H152">
        <v>0</v>
      </c>
      <c r="I152">
        <f t="shared" si="57"/>
        <v>0.5</v>
      </c>
      <c r="J152">
        <f t="shared" si="58"/>
        <v>13.7</v>
      </c>
      <c r="K152">
        <f t="shared" si="59"/>
        <v>0.29999999999999893</v>
      </c>
      <c r="L152">
        <f t="shared" si="67"/>
        <v>11.3</v>
      </c>
      <c r="M152">
        <f t="shared" si="65"/>
        <v>0.44262295081967207</v>
      </c>
      <c r="N152">
        <v>31</v>
      </c>
      <c r="O152">
        <f t="shared" si="60"/>
        <v>7</v>
      </c>
      <c r="P152">
        <f t="shared" si="61"/>
        <v>490</v>
      </c>
      <c r="Q152">
        <f t="shared" si="62"/>
        <v>0.53737704918032791</v>
      </c>
      <c r="R152">
        <f t="shared" si="68"/>
        <v>9.4819672131147534</v>
      </c>
    </row>
    <row r="153" spans="1:18" x14ac:dyDescent="0.3">
      <c r="A153" t="s">
        <v>4</v>
      </c>
      <c r="B153" s="1">
        <v>45104</v>
      </c>
      <c r="C153" t="s">
        <v>7</v>
      </c>
      <c r="D153" t="s">
        <v>11</v>
      </c>
      <c r="E153">
        <v>4</v>
      </c>
      <c r="F153">
        <v>13.4</v>
      </c>
      <c r="G153">
        <v>0</v>
      </c>
      <c r="H153">
        <f>13.5-F153-G153</f>
        <v>9.9999999999999645E-2</v>
      </c>
      <c r="I153">
        <f t="shared" si="57"/>
        <v>9.9999999999999645E-2</v>
      </c>
      <c r="J153">
        <f t="shared" si="58"/>
        <v>13.5</v>
      </c>
      <c r="K153">
        <f t="shared" si="59"/>
        <v>0.40000000000000036</v>
      </c>
      <c r="L153">
        <f t="shared" si="67"/>
        <v>11.700000000000001</v>
      </c>
      <c r="M153">
        <f t="shared" si="65"/>
        <v>0.4098360655737705</v>
      </c>
      <c r="N153">
        <v>32</v>
      </c>
      <c r="O153">
        <f t="shared" si="60"/>
        <v>7</v>
      </c>
      <c r="P153">
        <f t="shared" si="61"/>
        <v>490</v>
      </c>
      <c r="Q153">
        <f t="shared" si="62"/>
        <v>0.57016393442622948</v>
      </c>
      <c r="R153">
        <f t="shared" si="68"/>
        <v>10.052131147540983</v>
      </c>
    </row>
    <row r="154" spans="1:18" x14ac:dyDescent="0.3">
      <c r="A154" t="s">
        <v>5</v>
      </c>
      <c r="B154" s="1">
        <v>45105</v>
      </c>
      <c r="C154" t="s">
        <v>7</v>
      </c>
      <c r="D154" t="s">
        <v>11</v>
      </c>
      <c r="E154">
        <v>4</v>
      </c>
      <c r="F154">
        <v>13.1</v>
      </c>
      <c r="G154">
        <v>0</v>
      </c>
      <c r="H154">
        <f>13.5-F154-G154</f>
        <v>0.40000000000000036</v>
      </c>
      <c r="I154">
        <f t="shared" si="57"/>
        <v>0.40000000000000036</v>
      </c>
      <c r="J154">
        <f t="shared" si="58"/>
        <v>13.5</v>
      </c>
      <c r="K154">
        <f t="shared" si="59"/>
        <v>0.5</v>
      </c>
      <c r="L154">
        <f t="shared" si="67"/>
        <v>12.200000000000001</v>
      </c>
      <c r="M154">
        <f t="shared" si="65"/>
        <v>0.4098360655737705</v>
      </c>
      <c r="N154">
        <v>33</v>
      </c>
      <c r="O154">
        <f t="shared" si="60"/>
        <v>7</v>
      </c>
      <c r="P154">
        <f t="shared" si="61"/>
        <v>490</v>
      </c>
      <c r="Q154">
        <f t="shared" si="62"/>
        <v>0.57016393442622948</v>
      </c>
      <c r="R154">
        <f t="shared" si="68"/>
        <v>10.622295081967213</v>
      </c>
    </row>
    <row r="155" spans="1:18" x14ac:dyDescent="0.3">
      <c r="A155" t="s">
        <v>6</v>
      </c>
      <c r="B155" s="1">
        <v>45106</v>
      </c>
      <c r="C155" t="s">
        <v>7</v>
      </c>
      <c r="D155" t="s">
        <v>11</v>
      </c>
      <c r="E155">
        <v>4</v>
      </c>
      <c r="F155">
        <v>13</v>
      </c>
      <c r="G155">
        <v>0.5</v>
      </c>
      <c r="H155">
        <f t="shared" ref="H155:H158" si="69">13.5-F155-G155</f>
        <v>0</v>
      </c>
      <c r="I155">
        <f t="shared" si="57"/>
        <v>0.5</v>
      </c>
      <c r="J155">
        <f t="shared" si="58"/>
        <v>13.5</v>
      </c>
      <c r="K155">
        <f t="shared" si="59"/>
        <v>0.40000000000000036</v>
      </c>
      <c r="L155">
        <f t="shared" si="67"/>
        <v>12.600000000000001</v>
      </c>
      <c r="M155">
        <f t="shared" si="65"/>
        <v>0.4098360655737705</v>
      </c>
      <c r="N155">
        <v>34</v>
      </c>
      <c r="O155">
        <f t="shared" si="60"/>
        <v>7.5</v>
      </c>
      <c r="P155">
        <f t="shared" si="61"/>
        <v>525</v>
      </c>
      <c r="Q155">
        <f t="shared" si="62"/>
        <v>0.57016393442622948</v>
      </c>
      <c r="R155">
        <f t="shared" si="68"/>
        <v>11.192459016393443</v>
      </c>
    </row>
    <row r="156" spans="1:18" x14ac:dyDescent="0.3">
      <c r="A156" t="s">
        <v>0</v>
      </c>
      <c r="B156" s="1">
        <v>45107</v>
      </c>
      <c r="C156" t="s">
        <v>7</v>
      </c>
      <c r="D156" t="s">
        <v>11</v>
      </c>
      <c r="E156">
        <v>4</v>
      </c>
      <c r="F156">
        <v>13.1</v>
      </c>
      <c r="G156">
        <v>0</v>
      </c>
      <c r="H156">
        <f t="shared" si="69"/>
        <v>0.40000000000000036</v>
      </c>
      <c r="I156">
        <f t="shared" si="57"/>
        <v>0.40000000000000036</v>
      </c>
      <c r="J156">
        <f t="shared" si="58"/>
        <v>13.5</v>
      </c>
      <c r="K156">
        <f t="shared" si="59"/>
        <v>0.19999999999999929</v>
      </c>
      <c r="L156">
        <f t="shared" si="67"/>
        <v>12.8</v>
      </c>
      <c r="M156">
        <f t="shared" si="65"/>
        <v>0.4098360655737705</v>
      </c>
      <c r="N156">
        <v>35</v>
      </c>
      <c r="O156">
        <f t="shared" si="60"/>
        <v>7.5</v>
      </c>
      <c r="P156">
        <f t="shared" si="61"/>
        <v>525</v>
      </c>
      <c r="Q156">
        <f t="shared" si="62"/>
        <v>0.57016393442622948</v>
      </c>
      <c r="R156">
        <f t="shared" si="68"/>
        <v>11.762622950819672</v>
      </c>
    </row>
    <row r="157" spans="1:18" x14ac:dyDescent="0.3">
      <c r="A157" t="s">
        <v>1</v>
      </c>
      <c r="B157" s="1">
        <v>45108</v>
      </c>
      <c r="C157" t="s">
        <v>7</v>
      </c>
      <c r="D157" t="s">
        <v>11</v>
      </c>
      <c r="E157">
        <v>4</v>
      </c>
      <c r="F157">
        <v>13.3</v>
      </c>
      <c r="G157">
        <v>0</v>
      </c>
      <c r="H157">
        <f t="shared" si="69"/>
        <v>0.19999999999999929</v>
      </c>
      <c r="I157">
        <f t="shared" si="57"/>
        <v>0.19999999999999929</v>
      </c>
      <c r="J157">
        <f t="shared" si="58"/>
        <v>13.5</v>
      </c>
      <c r="K157">
        <f t="shared" si="59"/>
        <v>0.40000000000000036</v>
      </c>
      <c r="L157">
        <f t="shared" si="67"/>
        <v>13.200000000000001</v>
      </c>
      <c r="M157">
        <f t="shared" si="65"/>
        <v>0.4098360655737705</v>
      </c>
      <c r="N157">
        <v>36</v>
      </c>
      <c r="O157">
        <f t="shared" si="60"/>
        <v>7.5</v>
      </c>
      <c r="P157">
        <f t="shared" si="61"/>
        <v>525</v>
      </c>
      <c r="Q157">
        <f t="shared" si="62"/>
        <v>0.57016393442622948</v>
      </c>
      <c r="R157">
        <f t="shared" si="68"/>
        <v>12.332786885245902</v>
      </c>
    </row>
    <row r="158" spans="1:18" x14ac:dyDescent="0.3">
      <c r="A158" t="s">
        <v>2</v>
      </c>
      <c r="B158" s="1">
        <v>45109</v>
      </c>
      <c r="C158" t="s">
        <v>7</v>
      </c>
      <c r="D158" t="s">
        <v>11</v>
      </c>
      <c r="E158">
        <v>4</v>
      </c>
      <c r="F158">
        <v>13.1</v>
      </c>
      <c r="G158">
        <v>0</v>
      </c>
      <c r="H158">
        <f t="shared" si="69"/>
        <v>0.40000000000000036</v>
      </c>
      <c r="I158">
        <f t="shared" si="57"/>
        <v>0.40000000000000036</v>
      </c>
      <c r="J158">
        <f t="shared" si="58"/>
        <v>13.5</v>
      </c>
      <c r="K158">
        <f t="shared" si="59"/>
        <v>0.69999999999999929</v>
      </c>
      <c r="L158">
        <f t="shared" si="67"/>
        <v>13.9</v>
      </c>
      <c r="M158">
        <f t="shared" si="65"/>
        <v>0.4098360655737705</v>
      </c>
      <c r="N158">
        <v>37</v>
      </c>
      <c r="O158">
        <f t="shared" si="60"/>
        <v>7.5</v>
      </c>
      <c r="P158">
        <f t="shared" si="61"/>
        <v>525</v>
      </c>
      <c r="Q158">
        <f t="shared" si="62"/>
        <v>0.57016393442622948</v>
      </c>
      <c r="R158">
        <f t="shared" si="68"/>
        <v>12.902950819672132</v>
      </c>
    </row>
    <row r="159" spans="1:18" x14ac:dyDescent="0.3">
      <c r="A159" t="s">
        <v>3</v>
      </c>
      <c r="B159" s="1">
        <v>45110</v>
      </c>
      <c r="C159" t="s">
        <v>7</v>
      </c>
      <c r="D159" t="s">
        <v>11</v>
      </c>
      <c r="E159">
        <v>4</v>
      </c>
      <c r="F159">
        <v>12.8</v>
      </c>
      <c r="G159">
        <v>0.5</v>
      </c>
      <c r="H159">
        <f>13.5-F159-G159</f>
        <v>0.19999999999999929</v>
      </c>
      <c r="I159">
        <f t="shared" si="57"/>
        <v>0.69999999999999929</v>
      </c>
      <c r="J159">
        <f t="shared" si="58"/>
        <v>13.5</v>
      </c>
      <c r="K159">
        <f t="shared" si="59"/>
        <v>0.5</v>
      </c>
      <c r="L159">
        <f t="shared" si="67"/>
        <v>14.4</v>
      </c>
      <c r="M159">
        <f t="shared" si="65"/>
        <v>0.4098360655737705</v>
      </c>
      <c r="N159">
        <v>38</v>
      </c>
      <c r="O159">
        <f t="shared" si="60"/>
        <v>8</v>
      </c>
      <c r="P159">
        <f t="shared" si="61"/>
        <v>560</v>
      </c>
      <c r="Q159">
        <f t="shared" si="62"/>
        <v>0.57016393442622948</v>
      </c>
      <c r="R159">
        <f t="shared" si="68"/>
        <v>13.473114754098361</v>
      </c>
    </row>
    <row r="160" spans="1:18" x14ac:dyDescent="0.3">
      <c r="A160" t="s">
        <v>4</v>
      </c>
      <c r="B160" s="1">
        <v>45111</v>
      </c>
      <c r="C160" t="s">
        <v>7</v>
      </c>
      <c r="D160" t="s">
        <v>11</v>
      </c>
      <c r="E160">
        <v>4</v>
      </c>
      <c r="F160">
        <v>13</v>
      </c>
      <c r="G160">
        <v>0</v>
      </c>
      <c r="H160">
        <f>13.5-F160-G160</f>
        <v>0.5</v>
      </c>
      <c r="I160">
        <f t="shared" si="57"/>
        <v>0.5</v>
      </c>
      <c r="J160">
        <f t="shared" si="58"/>
        <v>13.5</v>
      </c>
      <c r="K160">
        <f t="shared" si="59"/>
        <v>0.80000000000000071</v>
      </c>
      <c r="L160">
        <f t="shared" si="67"/>
        <v>15.200000000000001</v>
      </c>
      <c r="M160">
        <f t="shared" si="65"/>
        <v>0.4098360655737705</v>
      </c>
      <c r="N160">
        <v>39</v>
      </c>
      <c r="O160">
        <f t="shared" si="60"/>
        <v>8</v>
      </c>
      <c r="P160">
        <f t="shared" si="61"/>
        <v>560</v>
      </c>
      <c r="Q160">
        <f t="shared" si="62"/>
        <v>0.57016393442622948</v>
      </c>
      <c r="R160">
        <f t="shared" ref="R160:R162" si="70">R159+Q160</f>
        <v>14.043278688524591</v>
      </c>
    </row>
    <row r="161" spans="1:18" x14ac:dyDescent="0.3">
      <c r="A161" t="s">
        <v>5</v>
      </c>
      <c r="B161" s="1">
        <v>45112</v>
      </c>
      <c r="C161" t="s">
        <v>7</v>
      </c>
      <c r="D161" t="s">
        <v>11</v>
      </c>
      <c r="E161">
        <v>4</v>
      </c>
      <c r="F161">
        <v>12.7</v>
      </c>
      <c r="G161">
        <v>0</v>
      </c>
      <c r="H161">
        <f>13.1-F161-G161</f>
        <v>0.40000000000000036</v>
      </c>
      <c r="I161">
        <f t="shared" si="57"/>
        <v>0.40000000000000036</v>
      </c>
      <c r="J161">
        <f t="shared" si="58"/>
        <v>13.1</v>
      </c>
      <c r="K161">
        <f t="shared" si="59"/>
        <v>0.69999999999999929</v>
      </c>
      <c r="L161">
        <f t="shared" si="67"/>
        <v>15.9</v>
      </c>
      <c r="M161">
        <f t="shared" si="65"/>
        <v>0.34426229508196715</v>
      </c>
      <c r="N161">
        <v>40</v>
      </c>
      <c r="O161">
        <f t="shared" si="60"/>
        <v>8</v>
      </c>
      <c r="P161">
        <f t="shared" si="61"/>
        <v>560</v>
      </c>
      <c r="Q161">
        <f t="shared" si="62"/>
        <v>0.63573770491803283</v>
      </c>
      <c r="R161">
        <f t="shared" si="70"/>
        <v>14.679016393442623</v>
      </c>
    </row>
    <row r="162" spans="1:18" x14ac:dyDescent="0.3">
      <c r="A162" t="s">
        <v>6</v>
      </c>
      <c r="B162" s="1">
        <v>45113</v>
      </c>
      <c r="C162" t="s">
        <v>7</v>
      </c>
      <c r="D162" t="s">
        <v>11</v>
      </c>
      <c r="E162">
        <v>4</v>
      </c>
      <c r="F162">
        <v>12.4</v>
      </c>
      <c r="G162">
        <v>0</v>
      </c>
      <c r="H162">
        <f>13.1-F162-G162</f>
        <v>0.69999999999999929</v>
      </c>
      <c r="I162">
        <f t="shared" si="57"/>
        <v>0.69999999999999929</v>
      </c>
      <c r="J162">
        <f t="shared" si="58"/>
        <v>13.1</v>
      </c>
      <c r="K162">
        <f t="shared" si="59"/>
        <v>1</v>
      </c>
      <c r="L162">
        <f t="shared" si="67"/>
        <v>16.899999999999999</v>
      </c>
      <c r="M162">
        <f t="shared" si="65"/>
        <v>0.34426229508196715</v>
      </c>
      <c r="N162">
        <v>41</v>
      </c>
      <c r="O162">
        <f t="shared" si="60"/>
        <v>8</v>
      </c>
      <c r="P162">
        <f t="shared" si="61"/>
        <v>560</v>
      </c>
      <c r="Q162">
        <f t="shared" si="62"/>
        <v>0.63573770491803283</v>
      </c>
      <c r="R162">
        <f t="shared" si="70"/>
        <v>15.314754098360655</v>
      </c>
    </row>
    <row r="163" spans="1:18" x14ac:dyDescent="0.3">
      <c r="A163" t="s">
        <v>0</v>
      </c>
      <c r="B163" s="1">
        <v>45114</v>
      </c>
      <c r="C163" t="s">
        <v>7</v>
      </c>
      <c r="D163" t="s">
        <v>11</v>
      </c>
      <c r="E163">
        <v>4</v>
      </c>
      <c r="F163">
        <v>12.1</v>
      </c>
    </row>
    <row r="164" spans="1:18" x14ac:dyDescent="0.3">
      <c r="A164" t="s">
        <v>1</v>
      </c>
      <c r="B164" s="1">
        <v>45073</v>
      </c>
      <c r="C164" t="s">
        <v>7</v>
      </c>
      <c r="D164" t="s">
        <v>11</v>
      </c>
      <c r="E164">
        <v>5</v>
      </c>
      <c r="F164">
        <v>17</v>
      </c>
      <c r="G164">
        <v>0</v>
      </c>
      <c r="H164">
        <v>0</v>
      </c>
      <c r="I164">
        <f>H164+G164</f>
        <v>0</v>
      </c>
      <c r="J164">
        <f>I164+F164</f>
        <v>17</v>
      </c>
      <c r="K164">
        <f>J164-F165</f>
        <v>0.30000000000000071</v>
      </c>
      <c r="M164">
        <f t="shared" si="65"/>
        <v>0.98360655737704927</v>
      </c>
      <c r="N164">
        <v>1</v>
      </c>
      <c r="O164">
        <v>2.5</v>
      </c>
      <c r="P164">
        <f>O164*70</f>
        <v>175</v>
      </c>
    </row>
    <row r="165" spans="1:18" x14ac:dyDescent="0.3">
      <c r="A165" t="s">
        <v>2</v>
      </c>
      <c r="B165" s="1">
        <v>45074</v>
      </c>
      <c r="C165" t="s">
        <v>7</v>
      </c>
      <c r="D165" t="s">
        <v>11</v>
      </c>
      <c r="E165">
        <v>5</v>
      </c>
      <c r="F165">
        <v>16.7</v>
      </c>
      <c r="G165">
        <v>0</v>
      </c>
      <c r="H165">
        <v>0</v>
      </c>
      <c r="I165">
        <f t="shared" ref="I165:I202" si="71">H165+G165</f>
        <v>0</v>
      </c>
      <c r="J165">
        <f t="shared" ref="J165:J202" si="72">I165+F165</f>
        <v>16.7</v>
      </c>
      <c r="K165">
        <f t="shared" ref="K165:K201" si="73">J165-F166</f>
        <v>0.30000000000000071</v>
      </c>
      <c r="L165">
        <f>K164+K165</f>
        <v>0.60000000000000142</v>
      </c>
      <c r="M165">
        <f t="shared" si="65"/>
        <v>0.93442622950819665</v>
      </c>
      <c r="N165">
        <v>2</v>
      </c>
      <c r="O165">
        <f t="shared" ref="O165:O201" si="74">O164+G165</f>
        <v>2.5</v>
      </c>
      <c r="P165">
        <f t="shared" ref="P165:P201" si="75">O165*70</f>
        <v>175</v>
      </c>
      <c r="Q165">
        <f t="shared" ref="Q165:Q201" si="76">0.98-M165</f>
        <v>4.5573770491803334E-2</v>
      </c>
      <c r="R165">
        <f>Q164+Q165</f>
        <v>4.5573770491803334E-2</v>
      </c>
    </row>
    <row r="166" spans="1:18" x14ac:dyDescent="0.3">
      <c r="A166" t="s">
        <v>3</v>
      </c>
      <c r="B166" s="1">
        <v>45075</v>
      </c>
      <c r="C166" t="s">
        <v>7</v>
      </c>
      <c r="D166" t="s">
        <v>11</v>
      </c>
      <c r="E166">
        <v>5</v>
      </c>
      <c r="F166">
        <v>16.399999999999999</v>
      </c>
      <c r="G166">
        <v>0.25</v>
      </c>
      <c r="H166">
        <v>0</v>
      </c>
      <c r="I166">
        <f t="shared" si="71"/>
        <v>0.25</v>
      </c>
      <c r="J166">
        <f t="shared" si="72"/>
        <v>16.649999999999999</v>
      </c>
      <c r="K166">
        <f t="shared" si="73"/>
        <v>0.74999999999999822</v>
      </c>
      <c r="L166">
        <f>L165+K166</f>
        <v>1.3499999999999996</v>
      </c>
      <c r="M166">
        <f t="shared" si="65"/>
        <v>0.92622950819672112</v>
      </c>
      <c r="N166">
        <v>3</v>
      </c>
      <c r="O166">
        <f t="shared" si="74"/>
        <v>2.75</v>
      </c>
      <c r="P166">
        <f t="shared" si="75"/>
        <v>192.5</v>
      </c>
      <c r="Q166">
        <f t="shared" si="76"/>
        <v>5.3770491803278864E-2</v>
      </c>
      <c r="R166">
        <f>R165+Q166</f>
        <v>9.9344262295082197E-2</v>
      </c>
    </row>
    <row r="167" spans="1:18" x14ac:dyDescent="0.3">
      <c r="A167" t="s">
        <v>4</v>
      </c>
      <c r="B167" s="1">
        <v>45076</v>
      </c>
      <c r="C167" t="s">
        <v>7</v>
      </c>
      <c r="D167" t="s">
        <v>11</v>
      </c>
      <c r="E167">
        <v>5</v>
      </c>
      <c r="F167">
        <v>15.9</v>
      </c>
      <c r="G167">
        <v>0.25</v>
      </c>
      <c r="H167">
        <v>0</v>
      </c>
      <c r="I167">
        <f t="shared" si="71"/>
        <v>0.25</v>
      </c>
      <c r="J167">
        <f t="shared" si="72"/>
        <v>16.149999999999999</v>
      </c>
      <c r="K167">
        <f t="shared" si="73"/>
        <v>0.74999999999999822</v>
      </c>
      <c r="L167">
        <f t="shared" ref="L167:L187" si="77">L166+K167</f>
        <v>2.0999999999999979</v>
      </c>
      <c r="M167">
        <f t="shared" si="65"/>
        <v>0.84426229508196704</v>
      </c>
      <c r="N167">
        <v>4</v>
      </c>
      <c r="O167">
        <f t="shared" si="74"/>
        <v>3</v>
      </c>
      <c r="P167">
        <f t="shared" si="75"/>
        <v>210</v>
      </c>
      <c r="Q167">
        <f t="shared" si="76"/>
        <v>0.13573770491803294</v>
      </c>
      <c r="R167">
        <f t="shared" ref="R167:R190" si="78">R166+Q167</f>
        <v>0.23508196721311514</v>
      </c>
    </row>
    <row r="168" spans="1:18" x14ac:dyDescent="0.3">
      <c r="A168" t="s">
        <v>5</v>
      </c>
      <c r="B168" s="1">
        <v>45077</v>
      </c>
      <c r="C168" t="s">
        <v>7</v>
      </c>
      <c r="D168" t="s">
        <v>11</v>
      </c>
      <c r="E168">
        <v>5</v>
      </c>
      <c r="F168">
        <v>15.4</v>
      </c>
      <c r="G168">
        <v>0</v>
      </c>
      <c r="H168">
        <v>0</v>
      </c>
      <c r="I168">
        <f t="shared" si="71"/>
        <v>0</v>
      </c>
      <c r="J168">
        <f t="shared" si="72"/>
        <v>15.4</v>
      </c>
      <c r="K168">
        <f t="shared" si="73"/>
        <v>0.5</v>
      </c>
      <c r="L168">
        <f t="shared" si="77"/>
        <v>2.5999999999999979</v>
      </c>
      <c r="M168">
        <f t="shared" si="65"/>
        <v>0.7213114754098362</v>
      </c>
      <c r="N168">
        <v>5</v>
      </c>
      <c r="O168">
        <f t="shared" si="74"/>
        <v>3</v>
      </c>
      <c r="P168">
        <f t="shared" si="75"/>
        <v>210</v>
      </c>
      <c r="Q168">
        <f t="shared" si="76"/>
        <v>0.25868852459016378</v>
      </c>
      <c r="R168">
        <f t="shared" si="78"/>
        <v>0.49377049180327892</v>
      </c>
    </row>
    <row r="169" spans="1:18" x14ac:dyDescent="0.3">
      <c r="A169" t="s">
        <v>6</v>
      </c>
      <c r="B169" s="1">
        <v>45078</v>
      </c>
      <c r="C169" t="s">
        <v>7</v>
      </c>
      <c r="D169" t="s">
        <v>11</v>
      </c>
      <c r="E169">
        <v>5</v>
      </c>
      <c r="F169">
        <v>14.9</v>
      </c>
      <c r="G169">
        <v>0.25</v>
      </c>
      <c r="H169">
        <v>0</v>
      </c>
      <c r="I169">
        <f t="shared" si="71"/>
        <v>0.25</v>
      </c>
      <c r="J169">
        <f t="shared" si="72"/>
        <v>15.15</v>
      </c>
      <c r="K169">
        <f t="shared" si="73"/>
        <v>0.15000000000000036</v>
      </c>
      <c r="L169">
        <f t="shared" si="77"/>
        <v>2.7499999999999982</v>
      </c>
      <c r="M169">
        <f t="shared" si="65"/>
        <v>0.68032786885245911</v>
      </c>
      <c r="N169">
        <v>6</v>
      </c>
      <c r="O169">
        <f t="shared" si="74"/>
        <v>3.25</v>
      </c>
      <c r="P169">
        <f t="shared" si="75"/>
        <v>227.5</v>
      </c>
      <c r="Q169">
        <f t="shared" si="76"/>
        <v>0.29967213114754088</v>
      </c>
      <c r="R169">
        <f t="shared" si="78"/>
        <v>0.7934426229508198</v>
      </c>
    </row>
    <row r="170" spans="1:18" x14ac:dyDescent="0.3">
      <c r="A170" t="s">
        <v>0</v>
      </c>
      <c r="B170" s="1">
        <v>45079</v>
      </c>
      <c r="C170" t="s">
        <v>7</v>
      </c>
      <c r="D170" t="s">
        <v>11</v>
      </c>
      <c r="E170">
        <v>5</v>
      </c>
      <c r="F170">
        <v>15</v>
      </c>
      <c r="G170">
        <v>0.25</v>
      </c>
      <c r="H170">
        <v>0</v>
      </c>
      <c r="I170">
        <f t="shared" si="71"/>
        <v>0.25</v>
      </c>
      <c r="J170">
        <f t="shared" si="72"/>
        <v>15.25</v>
      </c>
      <c r="K170">
        <f t="shared" si="73"/>
        <v>0.25</v>
      </c>
      <c r="L170">
        <f t="shared" si="77"/>
        <v>2.9999999999999982</v>
      </c>
      <c r="M170">
        <f t="shared" si="65"/>
        <v>0.69672131147540983</v>
      </c>
      <c r="N170">
        <v>7</v>
      </c>
      <c r="O170">
        <f t="shared" si="74"/>
        <v>3.5</v>
      </c>
      <c r="P170">
        <f t="shared" si="75"/>
        <v>245</v>
      </c>
      <c r="Q170">
        <f t="shared" si="76"/>
        <v>0.28327868852459015</v>
      </c>
      <c r="R170">
        <f t="shared" si="78"/>
        <v>1.0767213114754099</v>
      </c>
    </row>
    <row r="171" spans="1:18" x14ac:dyDescent="0.3">
      <c r="A171" t="s">
        <v>1</v>
      </c>
      <c r="B171" s="1">
        <v>45080</v>
      </c>
      <c r="C171" t="s">
        <v>7</v>
      </c>
      <c r="D171" t="s">
        <v>11</v>
      </c>
      <c r="E171">
        <v>5</v>
      </c>
      <c r="F171">
        <v>15</v>
      </c>
      <c r="G171">
        <v>0</v>
      </c>
      <c r="H171">
        <v>0</v>
      </c>
      <c r="I171">
        <f t="shared" si="71"/>
        <v>0</v>
      </c>
      <c r="J171">
        <f t="shared" si="72"/>
        <v>15</v>
      </c>
      <c r="K171">
        <f t="shared" si="73"/>
        <v>0.40000000000000036</v>
      </c>
      <c r="L171">
        <f t="shared" si="77"/>
        <v>3.3999999999999986</v>
      </c>
      <c r="M171">
        <f t="shared" si="65"/>
        <v>0.65573770491803285</v>
      </c>
      <c r="N171">
        <v>8</v>
      </c>
      <c r="O171">
        <f t="shared" si="74"/>
        <v>3.5</v>
      </c>
      <c r="P171">
        <f t="shared" si="75"/>
        <v>245</v>
      </c>
      <c r="Q171">
        <f t="shared" si="76"/>
        <v>0.32426229508196713</v>
      </c>
      <c r="R171">
        <f t="shared" si="78"/>
        <v>1.4009836065573771</v>
      </c>
    </row>
    <row r="172" spans="1:18" x14ac:dyDescent="0.3">
      <c r="A172" t="s">
        <v>2</v>
      </c>
      <c r="B172" s="1">
        <v>45081</v>
      </c>
      <c r="C172" t="s">
        <v>7</v>
      </c>
      <c r="D172" t="s">
        <v>11</v>
      </c>
      <c r="E172">
        <v>5</v>
      </c>
      <c r="F172">
        <v>14.6</v>
      </c>
      <c r="G172">
        <v>0</v>
      </c>
      <c r="H172">
        <f t="shared" ref="H172:H178" si="79">14.7-F172-G172</f>
        <v>9.9999999999999645E-2</v>
      </c>
      <c r="I172">
        <f t="shared" si="71"/>
        <v>9.9999999999999645E-2</v>
      </c>
      <c r="J172">
        <f t="shared" si="72"/>
        <v>14.7</v>
      </c>
      <c r="K172">
        <f t="shared" si="73"/>
        <v>0.39999999999999858</v>
      </c>
      <c r="L172">
        <f t="shared" si="77"/>
        <v>3.7999999999999972</v>
      </c>
      <c r="M172">
        <f t="shared" si="65"/>
        <v>0.60655737704918022</v>
      </c>
      <c r="N172">
        <v>9</v>
      </c>
      <c r="O172">
        <f t="shared" si="74"/>
        <v>3.5</v>
      </c>
      <c r="P172">
        <f t="shared" si="75"/>
        <v>245</v>
      </c>
      <c r="Q172">
        <f t="shared" si="76"/>
        <v>0.37344262295081976</v>
      </c>
      <c r="R172">
        <f t="shared" si="78"/>
        <v>1.774426229508197</v>
      </c>
    </row>
    <row r="173" spans="1:18" x14ac:dyDescent="0.3">
      <c r="A173" t="s">
        <v>3</v>
      </c>
      <c r="B173" s="1">
        <v>45082</v>
      </c>
      <c r="C173" t="s">
        <v>7</v>
      </c>
      <c r="D173" t="s">
        <v>11</v>
      </c>
      <c r="E173">
        <v>5</v>
      </c>
      <c r="F173">
        <v>14.3</v>
      </c>
      <c r="G173">
        <v>0.25</v>
      </c>
      <c r="H173">
        <f t="shared" si="79"/>
        <v>0.14999999999999858</v>
      </c>
      <c r="I173">
        <f t="shared" si="71"/>
        <v>0.39999999999999858</v>
      </c>
      <c r="J173">
        <f t="shared" si="72"/>
        <v>14.7</v>
      </c>
      <c r="K173">
        <f t="shared" si="73"/>
        <v>0.29999999999999893</v>
      </c>
      <c r="L173">
        <f t="shared" si="77"/>
        <v>4.0999999999999961</v>
      </c>
      <c r="M173">
        <f t="shared" si="65"/>
        <v>0.60655737704918022</v>
      </c>
      <c r="N173">
        <v>10</v>
      </c>
      <c r="O173">
        <f t="shared" si="74"/>
        <v>3.75</v>
      </c>
      <c r="P173">
        <f t="shared" si="75"/>
        <v>262.5</v>
      </c>
      <c r="Q173">
        <f t="shared" si="76"/>
        <v>0.37344262295081976</v>
      </c>
      <c r="R173">
        <f t="shared" si="78"/>
        <v>2.1478688524590166</v>
      </c>
    </row>
    <row r="174" spans="1:18" x14ac:dyDescent="0.3">
      <c r="A174" t="s">
        <v>4</v>
      </c>
      <c r="B174" s="1">
        <v>45083</v>
      </c>
      <c r="C174" t="s">
        <v>7</v>
      </c>
      <c r="D174" t="s">
        <v>11</v>
      </c>
      <c r="E174">
        <v>5</v>
      </c>
      <c r="F174">
        <v>14.4</v>
      </c>
      <c r="G174">
        <v>0.25</v>
      </c>
      <c r="H174">
        <f t="shared" si="79"/>
        <v>4.9999999999998934E-2</v>
      </c>
      <c r="I174">
        <f t="shared" si="71"/>
        <v>0.29999999999999893</v>
      </c>
      <c r="J174">
        <f t="shared" si="72"/>
        <v>14.7</v>
      </c>
      <c r="K174">
        <f t="shared" si="73"/>
        <v>0.59999999999999964</v>
      </c>
      <c r="L174">
        <f t="shared" si="77"/>
        <v>4.6999999999999957</v>
      </c>
      <c r="M174">
        <f t="shared" si="65"/>
        <v>0.60655737704918022</v>
      </c>
      <c r="N174">
        <v>11</v>
      </c>
      <c r="O174">
        <f t="shared" si="74"/>
        <v>4</v>
      </c>
      <c r="P174">
        <f t="shared" si="75"/>
        <v>280</v>
      </c>
      <c r="Q174">
        <f t="shared" si="76"/>
        <v>0.37344262295081976</v>
      </c>
      <c r="R174">
        <f t="shared" si="78"/>
        <v>2.5213114754098362</v>
      </c>
    </row>
    <row r="175" spans="1:18" x14ac:dyDescent="0.3">
      <c r="A175" t="s">
        <v>5</v>
      </c>
      <c r="B175" s="1">
        <v>45084</v>
      </c>
      <c r="C175" t="s">
        <v>7</v>
      </c>
      <c r="D175" t="s">
        <v>11</v>
      </c>
      <c r="E175">
        <v>5</v>
      </c>
      <c r="F175">
        <v>14.1</v>
      </c>
      <c r="G175">
        <v>0</v>
      </c>
      <c r="H175">
        <f t="shared" si="79"/>
        <v>0.59999999999999964</v>
      </c>
      <c r="I175">
        <f t="shared" si="71"/>
        <v>0.59999999999999964</v>
      </c>
      <c r="J175">
        <f t="shared" si="72"/>
        <v>14.7</v>
      </c>
      <c r="K175">
        <f t="shared" si="73"/>
        <v>0.59999999999999964</v>
      </c>
      <c r="L175">
        <f t="shared" si="77"/>
        <v>5.2999999999999954</v>
      </c>
      <c r="M175">
        <f t="shared" si="65"/>
        <v>0.60655737704918022</v>
      </c>
      <c r="N175">
        <v>12</v>
      </c>
      <c r="O175">
        <f t="shared" si="74"/>
        <v>4</v>
      </c>
      <c r="P175">
        <f t="shared" si="75"/>
        <v>280</v>
      </c>
      <c r="Q175">
        <f t="shared" si="76"/>
        <v>0.37344262295081976</v>
      </c>
      <c r="R175">
        <f t="shared" si="78"/>
        <v>2.8947540983606559</v>
      </c>
    </row>
    <row r="176" spans="1:18" x14ac:dyDescent="0.3">
      <c r="A176" t="s">
        <v>6</v>
      </c>
      <c r="B176" s="1">
        <v>45085</v>
      </c>
      <c r="C176" t="s">
        <v>7</v>
      </c>
      <c r="D176" t="s">
        <v>11</v>
      </c>
      <c r="E176">
        <v>5</v>
      </c>
      <c r="F176">
        <v>14.1</v>
      </c>
      <c r="G176">
        <v>0.25</v>
      </c>
      <c r="H176">
        <f t="shared" si="79"/>
        <v>0.34999999999999964</v>
      </c>
      <c r="I176">
        <f t="shared" si="71"/>
        <v>0.59999999999999964</v>
      </c>
      <c r="J176">
        <f t="shared" si="72"/>
        <v>14.7</v>
      </c>
      <c r="K176">
        <f t="shared" si="73"/>
        <v>0.19999999999999929</v>
      </c>
      <c r="L176">
        <f t="shared" si="77"/>
        <v>5.4999999999999947</v>
      </c>
      <c r="M176">
        <f t="shared" si="65"/>
        <v>0.60655737704918022</v>
      </c>
      <c r="N176">
        <v>13</v>
      </c>
      <c r="O176">
        <f t="shared" si="74"/>
        <v>4.25</v>
      </c>
      <c r="P176">
        <f t="shared" si="75"/>
        <v>297.5</v>
      </c>
      <c r="Q176">
        <f t="shared" si="76"/>
        <v>0.37344262295081976</v>
      </c>
      <c r="R176">
        <f t="shared" si="78"/>
        <v>3.2681967213114755</v>
      </c>
    </row>
    <row r="177" spans="1:18" x14ac:dyDescent="0.3">
      <c r="A177" t="s">
        <v>0</v>
      </c>
      <c r="B177" s="1">
        <v>45086</v>
      </c>
      <c r="C177" t="s">
        <v>7</v>
      </c>
      <c r="D177" t="s">
        <v>11</v>
      </c>
      <c r="E177">
        <v>5</v>
      </c>
      <c r="F177">
        <v>14.5</v>
      </c>
      <c r="G177">
        <v>0.25</v>
      </c>
      <c r="H177">
        <v>0</v>
      </c>
      <c r="I177">
        <f t="shared" si="71"/>
        <v>0.25</v>
      </c>
      <c r="J177">
        <f t="shared" si="72"/>
        <v>14.75</v>
      </c>
      <c r="K177">
        <f t="shared" si="73"/>
        <v>0.84999999999999964</v>
      </c>
      <c r="L177">
        <f t="shared" si="77"/>
        <v>6.3499999999999943</v>
      </c>
      <c r="M177">
        <f t="shared" si="65"/>
        <v>0.61475409836065575</v>
      </c>
      <c r="N177">
        <v>14</v>
      </c>
      <c r="O177">
        <f t="shared" si="74"/>
        <v>4.5</v>
      </c>
      <c r="P177">
        <f t="shared" si="75"/>
        <v>315</v>
      </c>
      <c r="Q177">
        <f t="shared" si="76"/>
        <v>0.36524590163934423</v>
      </c>
      <c r="R177">
        <f t="shared" si="78"/>
        <v>3.6334426229508199</v>
      </c>
    </row>
    <row r="178" spans="1:18" x14ac:dyDescent="0.3">
      <c r="A178" t="s">
        <v>1</v>
      </c>
      <c r="B178" s="1">
        <v>45087</v>
      </c>
      <c r="C178" t="s">
        <v>7</v>
      </c>
      <c r="D178" t="s">
        <v>11</v>
      </c>
      <c r="E178">
        <v>5</v>
      </c>
      <c r="F178">
        <v>13.9</v>
      </c>
      <c r="G178">
        <v>0</v>
      </c>
      <c r="H178">
        <f t="shared" si="79"/>
        <v>0.79999999999999893</v>
      </c>
      <c r="I178">
        <f t="shared" si="71"/>
        <v>0.79999999999999893</v>
      </c>
      <c r="J178">
        <f t="shared" si="72"/>
        <v>14.7</v>
      </c>
      <c r="K178">
        <f t="shared" si="73"/>
        <v>0.79999999999999893</v>
      </c>
      <c r="L178">
        <f t="shared" si="77"/>
        <v>7.1499999999999932</v>
      </c>
      <c r="M178">
        <f t="shared" si="65"/>
        <v>0.60655737704918022</v>
      </c>
      <c r="N178">
        <v>15</v>
      </c>
      <c r="O178">
        <f t="shared" si="74"/>
        <v>4.5</v>
      </c>
      <c r="P178">
        <f t="shared" si="75"/>
        <v>315</v>
      </c>
      <c r="Q178">
        <f t="shared" si="76"/>
        <v>0.37344262295081976</v>
      </c>
      <c r="R178">
        <f t="shared" si="78"/>
        <v>4.00688524590164</v>
      </c>
    </row>
    <row r="179" spans="1:18" x14ac:dyDescent="0.3">
      <c r="A179" t="s">
        <v>2</v>
      </c>
      <c r="B179" s="1">
        <v>45088</v>
      </c>
      <c r="C179" t="s">
        <v>7</v>
      </c>
      <c r="D179" t="s">
        <v>11</v>
      </c>
      <c r="E179">
        <v>5</v>
      </c>
      <c r="F179">
        <v>13.9</v>
      </c>
      <c r="G179">
        <v>0</v>
      </c>
      <c r="H179">
        <f>14.5-F179-G179</f>
        <v>0.59999999999999964</v>
      </c>
      <c r="I179">
        <f t="shared" si="71"/>
        <v>0.59999999999999964</v>
      </c>
      <c r="J179">
        <f t="shared" si="72"/>
        <v>14.5</v>
      </c>
      <c r="K179">
        <f t="shared" si="73"/>
        <v>0.69999999999999929</v>
      </c>
      <c r="L179">
        <f t="shared" si="77"/>
        <v>7.8499999999999925</v>
      </c>
      <c r="M179">
        <f t="shared" si="65"/>
        <v>0.57377049180327877</v>
      </c>
      <c r="N179">
        <v>16</v>
      </c>
      <c r="O179">
        <f t="shared" si="74"/>
        <v>4.5</v>
      </c>
      <c r="P179">
        <f t="shared" si="75"/>
        <v>315</v>
      </c>
      <c r="Q179">
        <f t="shared" si="76"/>
        <v>0.40622950819672121</v>
      </c>
      <c r="R179">
        <f t="shared" si="78"/>
        <v>4.4131147540983608</v>
      </c>
    </row>
    <row r="180" spans="1:18" x14ac:dyDescent="0.3">
      <c r="A180" t="s">
        <v>3</v>
      </c>
      <c r="B180" s="1">
        <v>45089</v>
      </c>
      <c r="C180" t="s">
        <v>7</v>
      </c>
      <c r="D180" t="s">
        <v>11</v>
      </c>
      <c r="E180">
        <v>5</v>
      </c>
      <c r="F180">
        <v>13.8</v>
      </c>
      <c r="G180">
        <v>0.5</v>
      </c>
      <c r="H180">
        <f t="shared" ref="H180:H183" si="80">14.5-F180-G180</f>
        <v>0.19999999999999929</v>
      </c>
      <c r="I180">
        <f t="shared" si="71"/>
        <v>0.69999999999999929</v>
      </c>
      <c r="J180">
        <f t="shared" si="72"/>
        <v>14.5</v>
      </c>
      <c r="K180">
        <f t="shared" si="73"/>
        <v>0.19999999999999929</v>
      </c>
      <c r="L180">
        <f t="shared" si="77"/>
        <v>8.0499999999999918</v>
      </c>
      <c r="M180">
        <f t="shared" si="65"/>
        <v>0.57377049180327877</v>
      </c>
      <c r="N180">
        <v>17</v>
      </c>
      <c r="O180">
        <f t="shared" si="74"/>
        <v>5</v>
      </c>
      <c r="P180">
        <f t="shared" si="75"/>
        <v>350</v>
      </c>
      <c r="Q180">
        <f t="shared" si="76"/>
        <v>0.40622950819672121</v>
      </c>
      <c r="R180">
        <f t="shared" si="78"/>
        <v>4.8193442622950817</v>
      </c>
    </row>
    <row r="181" spans="1:18" x14ac:dyDescent="0.3">
      <c r="A181" t="s">
        <v>4</v>
      </c>
      <c r="B181" s="1">
        <v>45090</v>
      </c>
      <c r="C181" t="s">
        <v>7</v>
      </c>
      <c r="D181" t="s">
        <v>11</v>
      </c>
      <c r="E181">
        <v>5</v>
      </c>
      <c r="F181">
        <v>14.3</v>
      </c>
      <c r="G181">
        <v>0</v>
      </c>
      <c r="H181">
        <f>14.4-F181-G181</f>
        <v>9.9999999999999645E-2</v>
      </c>
      <c r="I181">
        <f t="shared" si="71"/>
        <v>9.9999999999999645E-2</v>
      </c>
      <c r="J181">
        <f t="shared" si="72"/>
        <v>14.4</v>
      </c>
      <c r="K181">
        <f t="shared" si="73"/>
        <v>0.5</v>
      </c>
      <c r="L181">
        <f t="shared" si="77"/>
        <v>8.5499999999999918</v>
      </c>
      <c r="M181">
        <f t="shared" si="65"/>
        <v>0.55737704918032793</v>
      </c>
      <c r="N181">
        <v>18</v>
      </c>
      <c r="O181">
        <f t="shared" si="74"/>
        <v>5</v>
      </c>
      <c r="P181">
        <f t="shared" si="75"/>
        <v>350</v>
      </c>
      <c r="Q181">
        <f t="shared" si="76"/>
        <v>0.42262295081967205</v>
      </c>
      <c r="R181">
        <f t="shared" si="78"/>
        <v>5.2419672131147541</v>
      </c>
    </row>
    <row r="182" spans="1:18" x14ac:dyDescent="0.3">
      <c r="A182" t="s">
        <v>5</v>
      </c>
      <c r="B182" s="1">
        <v>45091</v>
      </c>
      <c r="C182" t="s">
        <v>7</v>
      </c>
      <c r="D182" t="s">
        <v>11</v>
      </c>
      <c r="E182">
        <v>5</v>
      </c>
      <c r="F182">
        <v>13.9</v>
      </c>
      <c r="G182">
        <v>0</v>
      </c>
      <c r="H182">
        <f>14.4-F182-G182</f>
        <v>0.5</v>
      </c>
      <c r="I182">
        <f t="shared" si="71"/>
        <v>0.5</v>
      </c>
      <c r="J182">
        <f t="shared" si="72"/>
        <v>14.4</v>
      </c>
      <c r="K182">
        <f t="shared" si="73"/>
        <v>0.70000000000000107</v>
      </c>
      <c r="L182">
        <f t="shared" si="77"/>
        <v>9.2499999999999929</v>
      </c>
      <c r="M182">
        <f t="shared" si="65"/>
        <v>0.55737704918032793</v>
      </c>
      <c r="N182">
        <v>19</v>
      </c>
      <c r="O182">
        <f t="shared" si="74"/>
        <v>5</v>
      </c>
      <c r="P182">
        <f t="shared" si="75"/>
        <v>350</v>
      </c>
      <c r="Q182">
        <f t="shared" si="76"/>
        <v>0.42262295081967205</v>
      </c>
      <c r="R182">
        <f t="shared" si="78"/>
        <v>5.6645901639344265</v>
      </c>
    </row>
    <row r="183" spans="1:18" x14ac:dyDescent="0.3">
      <c r="A183" t="s">
        <v>6</v>
      </c>
      <c r="B183" s="1">
        <v>45092</v>
      </c>
      <c r="C183" t="s">
        <v>7</v>
      </c>
      <c r="D183" t="s">
        <v>11</v>
      </c>
      <c r="E183">
        <v>5</v>
      </c>
      <c r="F183">
        <v>13.7</v>
      </c>
      <c r="G183">
        <v>0.5</v>
      </c>
      <c r="H183">
        <f t="shared" si="80"/>
        <v>0.30000000000000071</v>
      </c>
      <c r="I183">
        <f t="shared" si="71"/>
        <v>0.80000000000000071</v>
      </c>
      <c r="J183">
        <f t="shared" si="72"/>
        <v>14.5</v>
      </c>
      <c r="K183">
        <f t="shared" si="73"/>
        <v>1.1999999999999993</v>
      </c>
      <c r="L183">
        <f t="shared" si="77"/>
        <v>10.449999999999992</v>
      </c>
      <c r="M183">
        <f t="shared" si="65"/>
        <v>0.57377049180327877</v>
      </c>
      <c r="N183">
        <v>20</v>
      </c>
      <c r="O183">
        <f t="shared" si="74"/>
        <v>5.5</v>
      </c>
      <c r="P183">
        <f t="shared" si="75"/>
        <v>385</v>
      </c>
      <c r="Q183">
        <f t="shared" si="76"/>
        <v>0.40622950819672121</v>
      </c>
      <c r="R183">
        <f t="shared" si="78"/>
        <v>6.0708196721311474</v>
      </c>
    </row>
    <row r="184" spans="1:18" x14ac:dyDescent="0.3">
      <c r="A184" t="s">
        <v>0</v>
      </c>
      <c r="B184" s="1">
        <v>45093</v>
      </c>
      <c r="C184" t="s">
        <v>7</v>
      </c>
      <c r="D184" t="s">
        <v>11</v>
      </c>
      <c r="E184">
        <v>5</v>
      </c>
      <c r="F184">
        <v>13.3</v>
      </c>
      <c r="G184">
        <v>0</v>
      </c>
      <c r="H184">
        <f>14-F184-G184</f>
        <v>0.69999999999999929</v>
      </c>
      <c r="I184">
        <f t="shared" si="71"/>
        <v>0.69999999999999929</v>
      </c>
      <c r="J184">
        <f t="shared" si="72"/>
        <v>14</v>
      </c>
      <c r="K184">
        <f t="shared" si="73"/>
        <v>0.80000000000000071</v>
      </c>
      <c r="L184">
        <f t="shared" si="77"/>
        <v>11.249999999999993</v>
      </c>
      <c r="M184">
        <f t="shared" si="65"/>
        <v>0.49180327868852464</v>
      </c>
      <c r="N184">
        <v>21</v>
      </c>
      <c r="O184">
        <f t="shared" si="74"/>
        <v>5.5</v>
      </c>
      <c r="P184">
        <f t="shared" si="75"/>
        <v>385</v>
      </c>
      <c r="Q184">
        <f t="shared" si="76"/>
        <v>0.48819672131147535</v>
      </c>
      <c r="R184">
        <f t="shared" si="78"/>
        <v>6.5590163934426231</v>
      </c>
    </row>
    <row r="185" spans="1:18" x14ac:dyDescent="0.3">
      <c r="A185" t="s">
        <v>1</v>
      </c>
      <c r="B185" s="1">
        <v>45094</v>
      </c>
      <c r="C185" t="s">
        <v>7</v>
      </c>
      <c r="D185" t="s">
        <v>11</v>
      </c>
      <c r="E185">
        <v>5</v>
      </c>
      <c r="F185">
        <v>13.2</v>
      </c>
      <c r="G185">
        <v>0</v>
      </c>
      <c r="H185">
        <f>14-F185-G185</f>
        <v>0.80000000000000071</v>
      </c>
      <c r="I185">
        <f t="shared" si="71"/>
        <v>0.80000000000000071</v>
      </c>
      <c r="J185">
        <f t="shared" si="72"/>
        <v>14</v>
      </c>
      <c r="K185">
        <f t="shared" si="73"/>
        <v>0.80000000000000071</v>
      </c>
      <c r="L185">
        <f t="shared" si="77"/>
        <v>12.049999999999994</v>
      </c>
      <c r="M185">
        <f t="shared" si="65"/>
        <v>0.49180327868852464</v>
      </c>
      <c r="N185">
        <v>22</v>
      </c>
      <c r="O185">
        <f t="shared" si="74"/>
        <v>5.5</v>
      </c>
      <c r="P185">
        <f t="shared" si="75"/>
        <v>385</v>
      </c>
      <c r="Q185">
        <f t="shared" si="76"/>
        <v>0.48819672131147535</v>
      </c>
      <c r="R185">
        <f t="shared" si="78"/>
        <v>7.0472131147540988</v>
      </c>
    </row>
    <row r="186" spans="1:18" x14ac:dyDescent="0.3">
      <c r="A186" t="s">
        <v>2</v>
      </c>
      <c r="B186" s="1">
        <v>45095</v>
      </c>
      <c r="C186" t="s">
        <v>7</v>
      </c>
      <c r="D186" t="s">
        <v>11</v>
      </c>
      <c r="E186">
        <v>5</v>
      </c>
      <c r="F186">
        <v>13.2</v>
      </c>
      <c r="G186">
        <v>0</v>
      </c>
      <c r="H186">
        <f>14-F186-G186</f>
        <v>0.80000000000000071</v>
      </c>
      <c r="I186">
        <f t="shared" si="71"/>
        <v>0.80000000000000071</v>
      </c>
      <c r="J186">
        <f t="shared" si="72"/>
        <v>14</v>
      </c>
      <c r="K186">
        <f t="shared" si="73"/>
        <v>0.5</v>
      </c>
      <c r="L186">
        <f t="shared" si="77"/>
        <v>12.549999999999994</v>
      </c>
      <c r="M186">
        <f t="shared" si="65"/>
        <v>0.49180327868852464</v>
      </c>
      <c r="N186">
        <v>23</v>
      </c>
      <c r="O186">
        <f t="shared" si="74"/>
        <v>5.5</v>
      </c>
      <c r="P186">
        <f t="shared" si="75"/>
        <v>385</v>
      </c>
      <c r="Q186">
        <f t="shared" si="76"/>
        <v>0.48819672131147535</v>
      </c>
      <c r="R186">
        <f t="shared" si="78"/>
        <v>7.5354098360655746</v>
      </c>
    </row>
    <row r="187" spans="1:18" x14ac:dyDescent="0.3">
      <c r="A187" t="s">
        <v>3</v>
      </c>
      <c r="B187" s="1">
        <v>45096</v>
      </c>
      <c r="C187" t="s">
        <v>7</v>
      </c>
      <c r="D187" t="s">
        <v>11</v>
      </c>
      <c r="E187">
        <v>5</v>
      </c>
      <c r="F187">
        <v>13.5</v>
      </c>
      <c r="G187">
        <v>0.5</v>
      </c>
      <c r="H187">
        <f t="shared" ref="H187" si="81">14-F187-G187</f>
        <v>0</v>
      </c>
      <c r="I187">
        <f t="shared" si="71"/>
        <v>0.5</v>
      </c>
      <c r="J187">
        <f t="shared" si="72"/>
        <v>14</v>
      </c>
      <c r="K187">
        <f t="shared" si="73"/>
        <v>0.69999999999999929</v>
      </c>
      <c r="L187">
        <f t="shared" si="77"/>
        <v>13.249999999999993</v>
      </c>
      <c r="M187">
        <f t="shared" si="65"/>
        <v>0.49180327868852464</v>
      </c>
      <c r="N187">
        <v>24</v>
      </c>
      <c r="O187">
        <f t="shared" si="74"/>
        <v>6</v>
      </c>
      <c r="P187">
        <f t="shared" si="75"/>
        <v>420</v>
      </c>
      <c r="Q187">
        <f t="shared" si="76"/>
        <v>0.48819672131147535</v>
      </c>
      <c r="R187">
        <f t="shared" si="78"/>
        <v>8.0236065573770503</v>
      </c>
    </row>
    <row r="188" spans="1:18" x14ac:dyDescent="0.3">
      <c r="A188" t="s">
        <v>4</v>
      </c>
      <c r="B188" s="1">
        <v>45097</v>
      </c>
      <c r="C188" t="s">
        <v>7</v>
      </c>
      <c r="D188" t="s">
        <v>11</v>
      </c>
      <c r="E188">
        <v>5</v>
      </c>
      <c r="F188">
        <v>13.3</v>
      </c>
      <c r="G188">
        <v>0</v>
      </c>
      <c r="H188">
        <f>13.8-F188-G188</f>
        <v>0.5</v>
      </c>
      <c r="I188">
        <f t="shared" si="71"/>
        <v>0.5</v>
      </c>
      <c r="J188">
        <f t="shared" si="72"/>
        <v>13.8</v>
      </c>
      <c r="K188">
        <f t="shared" si="73"/>
        <v>0.80000000000000071</v>
      </c>
      <c r="L188">
        <f>L187+K188</f>
        <v>14.049999999999994</v>
      </c>
      <c r="M188">
        <f t="shared" si="65"/>
        <v>0.45901639344262307</v>
      </c>
      <c r="N188">
        <v>25</v>
      </c>
      <c r="O188">
        <f t="shared" si="74"/>
        <v>6</v>
      </c>
      <c r="P188">
        <f t="shared" si="75"/>
        <v>420</v>
      </c>
      <c r="Q188">
        <f t="shared" si="76"/>
        <v>0.52098360655737697</v>
      </c>
      <c r="R188">
        <f t="shared" si="78"/>
        <v>8.5445901639344264</v>
      </c>
    </row>
    <row r="189" spans="1:18" x14ac:dyDescent="0.3">
      <c r="A189" t="s">
        <v>5</v>
      </c>
      <c r="B189" s="1">
        <v>45098</v>
      </c>
      <c r="C189" t="s">
        <v>7</v>
      </c>
      <c r="D189" t="s">
        <v>11</v>
      </c>
      <c r="E189">
        <v>5</v>
      </c>
      <c r="F189">
        <v>13</v>
      </c>
      <c r="G189">
        <v>0</v>
      </c>
      <c r="H189">
        <f>13.8-F189-G189</f>
        <v>0.80000000000000071</v>
      </c>
      <c r="I189">
        <f t="shared" si="71"/>
        <v>0.80000000000000071</v>
      </c>
      <c r="J189">
        <f t="shared" si="72"/>
        <v>13.8</v>
      </c>
      <c r="K189">
        <f t="shared" si="73"/>
        <v>0.60000000000000142</v>
      </c>
      <c r="L189">
        <f t="shared" ref="L189:L201" si="82">L188+K189</f>
        <v>14.649999999999995</v>
      </c>
      <c r="M189">
        <f t="shared" si="65"/>
        <v>0.45901639344262307</v>
      </c>
      <c r="N189">
        <v>26</v>
      </c>
      <c r="O189">
        <f t="shared" si="74"/>
        <v>6</v>
      </c>
      <c r="P189">
        <f t="shared" si="75"/>
        <v>420</v>
      </c>
      <c r="Q189">
        <f t="shared" si="76"/>
        <v>0.52098360655737697</v>
      </c>
      <c r="R189">
        <f t="shared" si="78"/>
        <v>9.0655737704918025</v>
      </c>
    </row>
    <row r="190" spans="1:18" x14ac:dyDescent="0.3">
      <c r="A190" t="s">
        <v>6</v>
      </c>
      <c r="B190" s="1">
        <v>45099</v>
      </c>
      <c r="C190" t="s">
        <v>7</v>
      </c>
      <c r="D190" t="s">
        <v>11</v>
      </c>
      <c r="E190">
        <v>5</v>
      </c>
      <c r="F190">
        <v>13.2</v>
      </c>
      <c r="G190">
        <v>0.5</v>
      </c>
      <c r="H190">
        <f>13.8-F190-G190</f>
        <v>0.10000000000000142</v>
      </c>
      <c r="I190">
        <f t="shared" si="71"/>
        <v>0.60000000000000142</v>
      </c>
      <c r="J190">
        <f t="shared" si="72"/>
        <v>13.8</v>
      </c>
      <c r="K190">
        <f t="shared" si="73"/>
        <v>0.70000000000000107</v>
      </c>
      <c r="L190">
        <f t="shared" si="82"/>
        <v>15.349999999999996</v>
      </c>
      <c r="M190">
        <f t="shared" si="65"/>
        <v>0.45901639344262307</v>
      </c>
      <c r="N190">
        <v>27</v>
      </c>
      <c r="O190">
        <f t="shared" si="74"/>
        <v>6.5</v>
      </c>
      <c r="P190">
        <f t="shared" si="75"/>
        <v>455</v>
      </c>
      <c r="Q190">
        <f t="shared" si="76"/>
        <v>0.52098360655737697</v>
      </c>
      <c r="R190">
        <f t="shared" si="78"/>
        <v>9.5865573770491785</v>
      </c>
    </row>
    <row r="191" spans="1:18" x14ac:dyDescent="0.3">
      <c r="A191" t="s">
        <v>0</v>
      </c>
      <c r="B191" s="1">
        <v>45100</v>
      </c>
      <c r="C191" t="s">
        <v>7</v>
      </c>
      <c r="D191" t="s">
        <v>11</v>
      </c>
      <c r="E191">
        <v>5</v>
      </c>
      <c r="F191">
        <v>13.1</v>
      </c>
      <c r="G191">
        <v>0</v>
      </c>
      <c r="H191">
        <f>13.8-F191-G191</f>
        <v>0.70000000000000107</v>
      </c>
      <c r="I191">
        <f t="shared" si="71"/>
        <v>0.70000000000000107</v>
      </c>
      <c r="J191">
        <f t="shared" si="72"/>
        <v>13.8</v>
      </c>
      <c r="K191">
        <f t="shared" si="73"/>
        <v>0.60000000000000142</v>
      </c>
      <c r="L191">
        <f t="shared" si="82"/>
        <v>15.949999999999998</v>
      </c>
      <c r="M191">
        <f t="shared" si="65"/>
        <v>0.45901639344262307</v>
      </c>
      <c r="N191">
        <v>28</v>
      </c>
      <c r="O191">
        <f t="shared" si="74"/>
        <v>6.5</v>
      </c>
      <c r="P191">
        <f t="shared" si="75"/>
        <v>455</v>
      </c>
      <c r="Q191">
        <f t="shared" si="76"/>
        <v>0.52098360655737697</v>
      </c>
      <c r="R191">
        <f>R190+Q191</f>
        <v>10.107540983606555</v>
      </c>
    </row>
    <row r="192" spans="1:18" x14ac:dyDescent="0.3">
      <c r="A192" t="s">
        <v>1</v>
      </c>
      <c r="B192" s="1">
        <v>45101</v>
      </c>
      <c r="C192" t="s">
        <v>7</v>
      </c>
      <c r="D192" t="s">
        <v>11</v>
      </c>
      <c r="E192">
        <v>5</v>
      </c>
      <c r="F192">
        <v>13.2</v>
      </c>
      <c r="G192">
        <v>0</v>
      </c>
      <c r="H192">
        <f>13.5-F192-G192</f>
        <v>0.30000000000000071</v>
      </c>
      <c r="I192">
        <f t="shared" si="71"/>
        <v>0.30000000000000071</v>
      </c>
      <c r="J192">
        <f t="shared" si="72"/>
        <v>13.5</v>
      </c>
      <c r="K192">
        <f t="shared" si="73"/>
        <v>0.40000000000000036</v>
      </c>
      <c r="L192">
        <f t="shared" si="82"/>
        <v>16.349999999999998</v>
      </c>
      <c r="M192">
        <f t="shared" si="65"/>
        <v>0.4098360655737705</v>
      </c>
      <c r="N192">
        <v>29</v>
      </c>
      <c r="O192">
        <f t="shared" si="74"/>
        <v>6.5</v>
      </c>
      <c r="P192">
        <f t="shared" si="75"/>
        <v>455</v>
      </c>
      <c r="Q192">
        <f t="shared" si="76"/>
        <v>0.57016393442622948</v>
      </c>
      <c r="R192">
        <f t="shared" ref="R192:R201" si="83">R191+Q192</f>
        <v>10.677704918032784</v>
      </c>
    </row>
    <row r="193" spans="1:18" x14ac:dyDescent="0.3">
      <c r="A193" t="s">
        <v>2</v>
      </c>
      <c r="B193" s="1">
        <v>45102</v>
      </c>
      <c r="C193" t="s">
        <v>7</v>
      </c>
      <c r="D193" t="s">
        <v>11</v>
      </c>
      <c r="E193">
        <v>5</v>
      </c>
      <c r="F193">
        <v>13.1</v>
      </c>
      <c r="G193">
        <v>0</v>
      </c>
      <c r="H193">
        <f>13.5-F193-G193</f>
        <v>0.40000000000000036</v>
      </c>
      <c r="I193">
        <f t="shared" si="71"/>
        <v>0.40000000000000036</v>
      </c>
      <c r="J193">
        <f t="shared" si="72"/>
        <v>13.5</v>
      </c>
      <c r="K193">
        <f t="shared" si="73"/>
        <v>0.80000000000000071</v>
      </c>
      <c r="L193">
        <f t="shared" si="82"/>
        <v>17.149999999999999</v>
      </c>
      <c r="M193">
        <f t="shared" si="65"/>
        <v>0.4098360655737705</v>
      </c>
      <c r="N193">
        <v>30</v>
      </c>
      <c r="O193">
        <f t="shared" si="74"/>
        <v>6.5</v>
      </c>
      <c r="P193">
        <f t="shared" si="75"/>
        <v>455</v>
      </c>
      <c r="Q193">
        <f t="shared" si="76"/>
        <v>0.57016393442622948</v>
      </c>
      <c r="R193">
        <f t="shared" si="83"/>
        <v>11.247868852459014</v>
      </c>
    </row>
    <row r="194" spans="1:18" x14ac:dyDescent="0.3">
      <c r="A194" t="s">
        <v>3</v>
      </c>
      <c r="B194" s="1">
        <v>45103</v>
      </c>
      <c r="C194" t="s">
        <v>7</v>
      </c>
      <c r="D194" t="s">
        <v>11</v>
      </c>
      <c r="E194">
        <v>5</v>
      </c>
      <c r="F194">
        <v>12.7</v>
      </c>
      <c r="G194">
        <v>0.5</v>
      </c>
      <c r="H194">
        <f>13.5-F194-G194</f>
        <v>0.30000000000000071</v>
      </c>
      <c r="I194">
        <f t="shared" si="71"/>
        <v>0.80000000000000071</v>
      </c>
      <c r="J194">
        <f t="shared" si="72"/>
        <v>13.5</v>
      </c>
      <c r="K194">
        <f t="shared" si="73"/>
        <v>0.59999999999999964</v>
      </c>
      <c r="L194">
        <f t="shared" si="82"/>
        <v>17.75</v>
      </c>
      <c r="M194">
        <f t="shared" si="65"/>
        <v>0.4098360655737705</v>
      </c>
      <c r="N194">
        <v>31</v>
      </c>
      <c r="O194">
        <f t="shared" si="74"/>
        <v>7</v>
      </c>
      <c r="P194">
        <f t="shared" si="75"/>
        <v>490</v>
      </c>
      <c r="Q194">
        <f t="shared" si="76"/>
        <v>0.57016393442622948</v>
      </c>
      <c r="R194">
        <f t="shared" si="83"/>
        <v>11.818032786885244</v>
      </c>
    </row>
    <row r="195" spans="1:18" x14ac:dyDescent="0.3">
      <c r="A195" t="s">
        <v>4</v>
      </c>
      <c r="B195" s="1">
        <v>45104</v>
      </c>
      <c r="C195" t="s">
        <v>7</v>
      </c>
      <c r="D195" t="s">
        <v>11</v>
      </c>
      <c r="E195">
        <v>5</v>
      </c>
      <c r="F195">
        <v>12.9</v>
      </c>
      <c r="G195">
        <v>0</v>
      </c>
      <c r="H195">
        <f>13.5-F195-G195</f>
        <v>0.59999999999999964</v>
      </c>
      <c r="I195">
        <f t="shared" si="71"/>
        <v>0.59999999999999964</v>
      </c>
      <c r="J195">
        <f t="shared" si="72"/>
        <v>13.5</v>
      </c>
      <c r="K195">
        <f t="shared" si="73"/>
        <v>0.69999999999999929</v>
      </c>
      <c r="L195">
        <f t="shared" si="82"/>
        <v>18.45</v>
      </c>
      <c r="M195">
        <f t="shared" ref="M195:M258" si="84">(J195-11)/6.1</f>
        <v>0.4098360655737705</v>
      </c>
      <c r="N195">
        <v>32</v>
      </c>
      <c r="O195">
        <f t="shared" si="74"/>
        <v>7</v>
      </c>
      <c r="P195">
        <f t="shared" si="75"/>
        <v>490</v>
      </c>
      <c r="Q195">
        <f t="shared" si="76"/>
        <v>0.57016393442622948</v>
      </c>
      <c r="R195">
        <f t="shared" si="83"/>
        <v>12.388196721311473</v>
      </c>
    </row>
    <row r="196" spans="1:18" x14ac:dyDescent="0.3">
      <c r="A196" t="s">
        <v>5</v>
      </c>
      <c r="B196" s="1">
        <v>45105</v>
      </c>
      <c r="C196" t="s">
        <v>7</v>
      </c>
      <c r="D196" t="s">
        <v>11</v>
      </c>
      <c r="E196">
        <v>5</v>
      </c>
      <c r="F196">
        <v>12.8</v>
      </c>
      <c r="G196">
        <v>0</v>
      </c>
      <c r="H196">
        <f>13.5-F196-G196</f>
        <v>0.69999999999999929</v>
      </c>
      <c r="I196">
        <f t="shared" si="71"/>
        <v>0.69999999999999929</v>
      </c>
      <c r="J196">
        <f t="shared" si="72"/>
        <v>13.5</v>
      </c>
      <c r="K196">
        <f t="shared" si="73"/>
        <v>0.5</v>
      </c>
      <c r="L196">
        <f t="shared" si="82"/>
        <v>18.95</v>
      </c>
      <c r="M196">
        <f t="shared" si="84"/>
        <v>0.4098360655737705</v>
      </c>
      <c r="N196">
        <v>33</v>
      </c>
      <c r="O196">
        <f t="shared" si="74"/>
        <v>7</v>
      </c>
      <c r="P196">
        <f t="shared" si="75"/>
        <v>490</v>
      </c>
      <c r="Q196">
        <f t="shared" si="76"/>
        <v>0.57016393442622948</v>
      </c>
      <c r="R196">
        <f t="shared" si="83"/>
        <v>12.958360655737703</v>
      </c>
    </row>
    <row r="197" spans="1:18" x14ac:dyDescent="0.3">
      <c r="A197" t="s">
        <v>6</v>
      </c>
      <c r="B197" s="1">
        <v>45106</v>
      </c>
      <c r="C197" t="s">
        <v>7</v>
      </c>
      <c r="D197" t="s">
        <v>11</v>
      </c>
      <c r="E197">
        <v>5</v>
      </c>
      <c r="F197">
        <v>13</v>
      </c>
      <c r="G197">
        <v>0.5</v>
      </c>
      <c r="H197">
        <f t="shared" ref="H197:H200" si="85">13.5-F197-G197</f>
        <v>0</v>
      </c>
      <c r="I197">
        <f t="shared" si="71"/>
        <v>0.5</v>
      </c>
      <c r="J197">
        <f t="shared" si="72"/>
        <v>13.5</v>
      </c>
      <c r="K197">
        <f t="shared" si="73"/>
        <v>0.59999999999999964</v>
      </c>
      <c r="L197">
        <f t="shared" si="82"/>
        <v>19.549999999999997</v>
      </c>
      <c r="M197">
        <f t="shared" si="84"/>
        <v>0.4098360655737705</v>
      </c>
      <c r="N197">
        <v>34</v>
      </c>
      <c r="O197">
        <f t="shared" si="74"/>
        <v>7.5</v>
      </c>
      <c r="P197">
        <f t="shared" si="75"/>
        <v>525</v>
      </c>
      <c r="Q197">
        <f t="shared" si="76"/>
        <v>0.57016393442622948</v>
      </c>
      <c r="R197">
        <f t="shared" si="83"/>
        <v>13.528524590163933</v>
      </c>
    </row>
    <row r="198" spans="1:18" x14ac:dyDescent="0.3">
      <c r="A198" t="s">
        <v>0</v>
      </c>
      <c r="B198" s="1">
        <v>45107</v>
      </c>
      <c r="C198" t="s">
        <v>7</v>
      </c>
      <c r="D198" t="s">
        <v>11</v>
      </c>
      <c r="E198">
        <v>5</v>
      </c>
      <c r="F198">
        <v>12.9</v>
      </c>
      <c r="G198">
        <v>0</v>
      </c>
      <c r="H198">
        <f t="shared" si="85"/>
        <v>0.59999999999999964</v>
      </c>
      <c r="I198">
        <f t="shared" si="71"/>
        <v>0.59999999999999964</v>
      </c>
      <c r="J198">
        <f t="shared" si="72"/>
        <v>13.5</v>
      </c>
      <c r="K198">
        <f t="shared" si="73"/>
        <v>0.40000000000000036</v>
      </c>
      <c r="L198">
        <f t="shared" si="82"/>
        <v>19.949999999999996</v>
      </c>
      <c r="M198">
        <f t="shared" si="84"/>
        <v>0.4098360655737705</v>
      </c>
      <c r="N198">
        <v>35</v>
      </c>
      <c r="O198">
        <f t="shared" si="74"/>
        <v>7.5</v>
      </c>
      <c r="P198">
        <f t="shared" si="75"/>
        <v>525</v>
      </c>
      <c r="Q198">
        <f t="shared" si="76"/>
        <v>0.57016393442622948</v>
      </c>
      <c r="R198">
        <f t="shared" si="83"/>
        <v>14.098688524590163</v>
      </c>
    </row>
    <row r="199" spans="1:18" x14ac:dyDescent="0.3">
      <c r="A199" t="s">
        <v>1</v>
      </c>
      <c r="B199" s="1">
        <v>45108</v>
      </c>
      <c r="C199" t="s">
        <v>7</v>
      </c>
      <c r="D199" t="s">
        <v>11</v>
      </c>
      <c r="E199">
        <v>5</v>
      </c>
      <c r="F199">
        <v>13.1</v>
      </c>
      <c r="G199">
        <v>0</v>
      </c>
      <c r="H199">
        <f t="shared" si="85"/>
        <v>0.40000000000000036</v>
      </c>
      <c r="I199">
        <f t="shared" si="71"/>
        <v>0.40000000000000036</v>
      </c>
      <c r="J199">
        <f t="shared" si="72"/>
        <v>13.5</v>
      </c>
      <c r="K199">
        <f t="shared" si="73"/>
        <v>0.59999999999999964</v>
      </c>
      <c r="L199">
        <f t="shared" si="82"/>
        <v>20.549999999999997</v>
      </c>
      <c r="M199">
        <f t="shared" si="84"/>
        <v>0.4098360655737705</v>
      </c>
      <c r="N199">
        <v>36</v>
      </c>
      <c r="O199">
        <f t="shared" si="74"/>
        <v>7.5</v>
      </c>
      <c r="P199">
        <f t="shared" si="75"/>
        <v>525</v>
      </c>
      <c r="Q199">
        <f t="shared" si="76"/>
        <v>0.57016393442622948</v>
      </c>
      <c r="R199">
        <f t="shared" si="83"/>
        <v>14.668852459016392</v>
      </c>
    </row>
    <row r="200" spans="1:18" x14ac:dyDescent="0.3">
      <c r="A200" t="s">
        <v>2</v>
      </c>
      <c r="B200" s="1">
        <v>45109</v>
      </c>
      <c r="C200" t="s">
        <v>7</v>
      </c>
      <c r="D200" t="s">
        <v>11</v>
      </c>
      <c r="E200">
        <v>5</v>
      </c>
      <c r="F200">
        <v>12.9</v>
      </c>
      <c r="G200">
        <v>0</v>
      </c>
      <c r="H200">
        <f t="shared" si="85"/>
        <v>0.59999999999999964</v>
      </c>
      <c r="I200">
        <f t="shared" si="71"/>
        <v>0.59999999999999964</v>
      </c>
      <c r="J200">
        <f t="shared" si="72"/>
        <v>13.5</v>
      </c>
      <c r="K200">
        <f t="shared" si="73"/>
        <v>1</v>
      </c>
      <c r="L200">
        <f t="shared" si="82"/>
        <v>21.549999999999997</v>
      </c>
      <c r="M200">
        <f t="shared" si="84"/>
        <v>0.4098360655737705</v>
      </c>
      <c r="N200">
        <v>37</v>
      </c>
      <c r="O200">
        <f t="shared" si="74"/>
        <v>7.5</v>
      </c>
      <c r="P200">
        <f t="shared" si="75"/>
        <v>525</v>
      </c>
      <c r="Q200">
        <f t="shared" si="76"/>
        <v>0.57016393442622948</v>
      </c>
      <c r="R200">
        <f t="shared" si="83"/>
        <v>15.239016393442622</v>
      </c>
    </row>
    <row r="201" spans="1:18" x14ac:dyDescent="0.3">
      <c r="A201" t="s">
        <v>3</v>
      </c>
      <c r="B201" s="1">
        <v>45110</v>
      </c>
      <c r="C201" t="s">
        <v>7</v>
      </c>
      <c r="D201" t="s">
        <v>11</v>
      </c>
      <c r="E201">
        <v>5</v>
      </c>
      <c r="F201">
        <v>12.5</v>
      </c>
      <c r="G201">
        <v>0</v>
      </c>
      <c r="H201">
        <f>13.1-F201-G201</f>
        <v>0.59999999999999964</v>
      </c>
      <c r="I201">
        <f t="shared" si="71"/>
        <v>0.59999999999999964</v>
      </c>
      <c r="J201">
        <f t="shared" si="72"/>
        <v>13.1</v>
      </c>
      <c r="K201">
        <f t="shared" si="73"/>
        <v>0.59999999999999964</v>
      </c>
      <c r="L201">
        <f t="shared" si="82"/>
        <v>22.15</v>
      </c>
      <c r="M201">
        <f t="shared" si="84"/>
        <v>0.34426229508196715</v>
      </c>
      <c r="N201">
        <v>38</v>
      </c>
      <c r="O201">
        <f t="shared" si="74"/>
        <v>7.5</v>
      </c>
      <c r="P201">
        <f t="shared" si="75"/>
        <v>525</v>
      </c>
      <c r="Q201">
        <f t="shared" si="76"/>
        <v>0.63573770491803283</v>
      </c>
      <c r="R201">
        <f t="shared" si="83"/>
        <v>15.874754098360654</v>
      </c>
    </row>
    <row r="202" spans="1:18" x14ac:dyDescent="0.3">
      <c r="A202" t="s">
        <v>4</v>
      </c>
      <c r="B202" s="1">
        <v>45111</v>
      </c>
      <c r="C202" t="s">
        <v>7</v>
      </c>
      <c r="D202" t="s">
        <v>11</v>
      </c>
      <c r="E202">
        <v>5</v>
      </c>
      <c r="F202">
        <v>12.5</v>
      </c>
      <c r="G202">
        <v>0</v>
      </c>
      <c r="H202">
        <f>13.1-F202-G202</f>
        <v>0.59999999999999964</v>
      </c>
      <c r="I202">
        <f t="shared" si="71"/>
        <v>0.59999999999999964</v>
      </c>
      <c r="J202">
        <f t="shared" si="72"/>
        <v>13.1</v>
      </c>
    </row>
    <row r="203" spans="1:18" x14ac:dyDescent="0.3">
      <c r="A203" t="s">
        <v>1</v>
      </c>
      <c r="B203" s="1">
        <v>45073</v>
      </c>
      <c r="C203" t="s">
        <v>7</v>
      </c>
      <c r="D203" t="s">
        <v>11</v>
      </c>
      <c r="E203">
        <v>6</v>
      </c>
      <c r="F203">
        <v>17</v>
      </c>
      <c r="G203">
        <v>0</v>
      </c>
      <c r="H203">
        <v>0</v>
      </c>
      <c r="I203">
        <f>H203+G203</f>
        <v>0</v>
      </c>
      <c r="J203">
        <f>I203+F203</f>
        <v>17</v>
      </c>
      <c r="K203">
        <f>J203-F204</f>
        <v>0.39999999999999858</v>
      </c>
      <c r="M203">
        <f t="shared" si="84"/>
        <v>0.98360655737704927</v>
      </c>
      <c r="N203">
        <v>1</v>
      </c>
      <c r="O203">
        <v>2.5</v>
      </c>
      <c r="P203">
        <f>O203*70</f>
        <v>175</v>
      </c>
    </row>
    <row r="204" spans="1:18" x14ac:dyDescent="0.3">
      <c r="A204" t="s">
        <v>2</v>
      </c>
      <c r="B204" s="1">
        <v>45074</v>
      </c>
      <c r="C204" t="s">
        <v>7</v>
      </c>
      <c r="D204" t="s">
        <v>11</v>
      </c>
      <c r="E204">
        <v>6</v>
      </c>
      <c r="F204">
        <v>16.600000000000001</v>
      </c>
      <c r="G204">
        <v>0</v>
      </c>
      <c r="H204">
        <v>0</v>
      </c>
      <c r="I204">
        <f t="shared" ref="I204:I241" si="86">H204+G204</f>
        <v>0</v>
      </c>
      <c r="J204">
        <f t="shared" ref="J204:J241" si="87">I204+F204</f>
        <v>16.600000000000001</v>
      </c>
      <c r="K204">
        <f t="shared" ref="K204:K240" si="88">J204-F205</f>
        <v>0.30000000000000071</v>
      </c>
      <c r="L204">
        <f>K203+K204</f>
        <v>0.69999999999999929</v>
      </c>
      <c r="M204">
        <f t="shared" si="84"/>
        <v>0.91803278688524614</v>
      </c>
      <c r="N204">
        <v>2</v>
      </c>
      <c r="O204">
        <f t="shared" ref="O204:O240" si="89">O203+G204</f>
        <v>2.5</v>
      </c>
      <c r="P204">
        <f t="shared" ref="P204:P240" si="90">O204*70</f>
        <v>175</v>
      </c>
      <c r="Q204">
        <f t="shared" ref="Q204:Q240" si="91">0.98-M204</f>
        <v>6.1967213114753839E-2</v>
      </c>
      <c r="R204">
        <f>Q203+Q204</f>
        <v>6.1967213114753839E-2</v>
      </c>
    </row>
    <row r="205" spans="1:18" x14ac:dyDescent="0.3">
      <c r="A205" t="s">
        <v>3</v>
      </c>
      <c r="B205" s="1">
        <v>45075</v>
      </c>
      <c r="C205" t="s">
        <v>7</v>
      </c>
      <c r="D205" t="s">
        <v>11</v>
      </c>
      <c r="E205">
        <v>6</v>
      </c>
      <c r="F205">
        <v>16.3</v>
      </c>
      <c r="G205">
        <v>0.25</v>
      </c>
      <c r="H205">
        <v>0</v>
      </c>
      <c r="I205">
        <f t="shared" si="86"/>
        <v>0.25</v>
      </c>
      <c r="J205">
        <f t="shared" si="87"/>
        <v>16.55</v>
      </c>
      <c r="K205">
        <f t="shared" si="88"/>
        <v>0.55000000000000071</v>
      </c>
      <c r="L205">
        <f>L204+K205</f>
        <v>1.25</v>
      </c>
      <c r="M205">
        <f t="shared" si="84"/>
        <v>0.90983606557377061</v>
      </c>
      <c r="N205">
        <v>3</v>
      </c>
      <c r="O205">
        <f t="shared" si="89"/>
        <v>2.75</v>
      </c>
      <c r="P205">
        <f t="shared" si="90"/>
        <v>192.5</v>
      </c>
      <c r="Q205">
        <f t="shared" si="91"/>
        <v>7.0163934426229368E-2</v>
      </c>
      <c r="R205">
        <f>R204+Q205</f>
        <v>0.13213114754098321</v>
      </c>
    </row>
    <row r="206" spans="1:18" x14ac:dyDescent="0.3">
      <c r="A206" t="s">
        <v>4</v>
      </c>
      <c r="B206" s="1">
        <v>45076</v>
      </c>
      <c r="C206" t="s">
        <v>7</v>
      </c>
      <c r="D206" t="s">
        <v>11</v>
      </c>
      <c r="E206">
        <v>6</v>
      </c>
      <c r="F206">
        <v>16</v>
      </c>
      <c r="G206">
        <v>0.25</v>
      </c>
      <c r="H206">
        <v>0</v>
      </c>
      <c r="I206">
        <f t="shared" si="86"/>
        <v>0.25</v>
      </c>
      <c r="J206">
        <f t="shared" si="87"/>
        <v>16.25</v>
      </c>
      <c r="K206">
        <f t="shared" si="88"/>
        <v>0.55000000000000071</v>
      </c>
      <c r="L206">
        <f t="shared" ref="L206:L226" si="92">L205+K206</f>
        <v>1.8000000000000007</v>
      </c>
      <c r="M206">
        <f t="shared" si="84"/>
        <v>0.8606557377049181</v>
      </c>
      <c r="N206">
        <v>4</v>
      </c>
      <c r="O206">
        <f t="shared" si="89"/>
        <v>3</v>
      </c>
      <c r="P206">
        <f t="shared" si="90"/>
        <v>210</v>
      </c>
      <c r="Q206">
        <f t="shared" si="91"/>
        <v>0.11934426229508188</v>
      </c>
      <c r="R206">
        <f t="shared" ref="R206:R229" si="93">R205+Q206</f>
        <v>0.25147540983606509</v>
      </c>
    </row>
    <row r="207" spans="1:18" x14ac:dyDescent="0.3">
      <c r="A207" t="s">
        <v>5</v>
      </c>
      <c r="B207" s="1">
        <v>45077</v>
      </c>
      <c r="C207" t="s">
        <v>7</v>
      </c>
      <c r="D207" t="s">
        <v>11</v>
      </c>
      <c r="E207">
        <v>6</v>
      </c>
      <c r="F207">
        <v>15.7</v>
      </c>
      <c r="G207">
        <v>0</v>
      </c>
      <c r="H207">
        <v>0</v>
      </c>
      <c r="I207">
        <f t="shared" si="86"/>
        <v>0</v>
      </c>
      <c r="J207">
        <f t="shared" si="87"/>
        <v>15.7</v>
      </c>
      <c r="K207">
        <f t="shared" si="88"/>
        <v>0.5</v>
      </c>
      <c r="L207">
        <f t="shared" si="92"/>
        <v>2.3000000000000007</v>
      </c>
      <c r="M207">
        <f t="shared" si="84"/>
        <v>0.77049180327868849</v>
      </c>
      <c r="N207">
        <v>5</v>
      </c>
      <c r="O207">
        <f t="shared" si="89"/>
        <v>3</v>
      </c>
      <c r="P207">
        <f t="shared" si="90"/>
        <v>210</v>
      </c>
      <c r="Q207">
        <f t="shared" si="91"/>
        <v>0.20950819672131149</v>
      </c>
      <c r="R207">
        <f t="shared" si="93"/>
        <v>0.46098360655737658</v>
      </c>
    </row>
    <row r="208" spans="1:18" x14ac:dyDescent="0.3">
      <c r="A208" t="s">
        <v>6</v>
      </c>
      <c r="B208" s="1">
        <v>45078</v>
      </c>
      <c r="C208" t="s">
        <v>7</v>
      </c>
      <c r="D208" t="s">
        <v>11</v>
      </c>
      <c r="E208">
        <v>6</v>
      </c>
      <c r="F208">
        <v>15.2</v>
      </c>
      <c r="G208">
        <v>0.25</v>
      </c>
      <c r="H208">
        <v>0</v>
      </c>
      <c r="I208">
        <f t="shared" si="86"/>
        <v>0.25</v>
      </c>
      <c r="J208">
        <f t="shared" si="87"/>
        <v>15.45</v>
      </c>
      <c r="K208">
        <f t="shared" si="88"/>
        <v>0.34999999999999964</v>
      </c>
      <c r="L208">
        <f t="shared" si="92"/>
        <v>2.6500000000000004</v>
      </c>
      <c r="M208">
        <f t="shared" si="84"/>
        <v>0.7295081967213114</v>
      </c>
      <c r="N208">
        <v>6</v>
      </c>
      <c r="O208">
        <f t="shared" si="89"/>
        <v>3.25</v>
      </c>
      <c r="P208">
        <f t="shared" si="90"/>
        <v>227.5</v>
      </c>
      <c r="Q208">
        <f t="shared" si="91"/>
        <v>0.25049180327868859</v>
      </c>
      <c r="R208">
        <f t="shared" si="93"/>
        <v>0.71147540983606516</v>
      </c>
    </row>
    <row r="209" spans="1:18" x14ac:dyDescent="0.3">
      <c r="A209" t="s">
        <v>0</v>
      </c>
      <c r="B209" s="1">
        <v>45079</v>
      </c>
      <c r="C209" t="s">
        <v>7</v>
      </c>
      <c r="D209" t="s">
        <v>11</v>
      </c>
      <c r="E209">
        <v>6</v>
      </c>
      <c r="F209">
        <v>15.1</v>
      </c>
      <c r="G209">
        <v>0.25</v>
      </c>
      <c r="H209">
        <v>0</v>
      </c>
      <c r="I209">
        <f t="shared" si="86"/>
        <v>0.25</v>
      </c>
      <c r="J209">
        <f t="shared" si="87"/>
        <v>15.35</v>
      </c>
      <c r="K209">
        <f t="shared" si="88"/>
        <v>0.15000000000000036</v>
      </c>
      <c r="L209">
        <f t="shared" si="92"/>
        <v>2.8000000000000007</v>
      </c>
      <c r="M209">
        <f t="shared" si="84"/>
        <v>0.71311475409836067</v>
      </c>
      <c r="N209">
        <v>7</v>
      </c>
      <c r="O209">
        <f t="shared" si="89"/>
        <v>3.5</v>
      </c>
      <c r="P209">
        <f t="shared" si="90"/>
        <v>245</v>
      </c>
      <c r="Q209">
        <f t="shared" si="91"/>
        <v>0.26688524590163931</v>
      </c>
      <c r="R209">
        <f t="shared" si="93"/>
        <v>0.97836065573770448</v>
      </c>
    </row>
    <row r="210" spans="1:18" x14ac:dyDescent="0.3">
      <c r="A210" t="s">
        <v>1</v>
      </c>
      <c r="B210" s="1">
        <v>45080</v>
      </c>
      <c r="C210" t="s">
        <v>7</v>
      </c>
      <c r="D210" t="s">
        <v>11</v>
      </c>
      <c r="E210">
        <v>6</v>
      </c>
      <c r="F210">
        <v>15.2</v>
      </c>
      <c r="G210">
        <v>0</v>
      </c>
      <c r="H210">
        <v>0</v>
      </c>
      <c r="I210">
        <f t="shared" si="86"/>
        <v>0</v>
      </c>
      <c r="J210">
        <f t="shared" si="87"/>
        <v>15.2</v>
      </c>
      <c r="K210">
        <f t="shared" si="88"/>
        <v>0.39999999999999858</v>
      </c>
      <c r="L210">
        <f t="shared" si="92"/>
        <v>3.1999999999999993</v>
      </c>
      <c r="M210">
        <f t="shared" si="84"/>
        <v>0.6885245901639343</v>
      </c>
      <c r="N210">
        <v>8</v>
      </c>
      <c r="O210">
        <f t="shared" si="89"/>
        <v>3.5</v>
      </c>
      <c r="P210">
        <f t="shared" si="90"/>
        <v>245</v>
      </c>
      <c r="Q210">
        <f t="shared" si="91"/>
        <v>0.29147540983606568</v>
      </c>
      <c r="R210">
        <f t="shared" si="93"/>
        <v>1.2698360655737702</v>
      </c>
    </row>
    <row r="211" spans="1:18" x14ac:dyDescent="0.3">
      <c r="A211" t="s">
        <v>2</v>
      </c>
      <c r="B211" s="1">
        <v>45081</v>
      </c>
      <c r="C211" t="s">
        <v>7</v>
      </c>
      <c r="D211" t="s">
        <v>11</v>
      </c>
      <c r="E211">
        <v>6</v>
      </c>
      <c r="F211">
        <v>14.8</v>
      </c>
      <c r="G211">
        <v>0</v>
      </c>
      <c r="H211">
        <v>0</v>
      </c>
      <c r="I211">
        <f t="shared" si="86"/>
        <v>0</v>
      </c>
      <c r="J211">
        <f t="shared" si="87"/>
        <v>14.8</v>
      </c>
      <c r="K211">
        <f t="shared" si="88"/>
        <v>0.40000000000000036</v>
      </c>
      <c r="L211">
        <f t="shared" si="92"/>
        <v>3.5999999999999996</v>
      </c>
      <c r="M211">
        <f t="shared" si="84"/>
        <v>0.62295081967213128</v>
      </c>
      <c r="N211">
        <v>9</v>
      </c>
      <c r="O211">
        <f t="shared" si="89"/>
        <v>3.5</v>
      </c>
      <c r="P211">
        <f t="shared" si="90"/>
        <v>245</v>
      </c>
      <c r="Q211">
        <f t="shared" si="91"/>
        <v>0.3570491803278687</v>
      </c>
      <c r="R211">
        <f t="shared" si="93"/>
        <v>1.6268852459016387</v>
      </c>
    </row>
    <row r="212" spans="1:18" x14ac:dyDescent="0.3">
      <c r="A212" t="s">
        <v>3</v>
      </c>
      <c r="B212" s="1">
        <v>45082</v>
      </c>
      <c r="C212" t="s">
        <v>7</v>
      </c>
      <c r="D212" t="s">
        <v>11</v>
      </c>
      <c r="E212">
        <v>6</v>
      </c>
      <c r="F212">
        <v>14.4</v>
      </c>
      <c r="G212">
        <v>0.25</v>
      </c>
      <c r="H212">
        <f t="shared" ref="H212:H217" si="94">14.7-F212-G212</f>
        <v>4.9999999999998934E-2</v>
      </c>
      <c r="I212">
        <f t="shared" si="86"/>
        <v>0.29999999999999893</v>
      </c>
      <c r="J212">
        <f t="shared" si="87"/>
        <v>14.7</v>
      </c>
      <c r="K212">
        <f t="shared" si="88"/>
        <v>0.39999999999999858</v>
      </c>
      <c r="L212">
        <f t="shared" si="92"/>
        <v>3.9999999999999982</v>
      </c>
      <c r="M212">
        <f t="shared" si="84"/>
        <v>0.60655737704918022</v>
      </c>
      <c r="N212">
        <v>10</v>
      </c>
      <c r="O212">
        <f t="shared" si="89"/>
        <v>3.75</v>
      </c>
      <c r="P212">
        <f t="shared" si="90"/>
        <v>262.5</v>
      </c>
      <c r="Q212">
        <f t="shared" si="91"/>
        <v>0.37344262295081976</v>
      </c>
      <c r="R212">
        <f t="shared" si="93"/>
        <v>2.0003278688524584</v>
      </c>
    </row>
    <row r="213" spans="1:18" x14ac:dyDescent="0.3">
      <c r="A213" t="s">
        <v>4</v>
      </c>
      <c r="B213" s="1">
        <v>45083</v>
      </c>
      <c r="C213" t="s">
        <v>7</v>
      </c>
      <c r="D213" t="s">
        <v>11</v>
      </c>
      <c r="E213">
        <v>6</v>
      </c>
      <c r="F213">
        <v>14.3</v>
      </c>
      <c r="G213">
        <v>0.25</v>
      </c>
      <c r="H213">
        <f t="shared" si="94"/>
        <v>0.14999999999999858</v>
      </c>
      <c r="I213">
        <f t="shared" si="86"/>
        <v>0.39999999999999858</v>
      </c>
      <c r="J213">
        <f t="shared" si="87"/>
        <v>14.7</v>
      </c>
      <c r="K213">
        <f t="shared" si="88"/>
        <v>0.59999999999999964</v>
      </c>
      <c r="L213">
        <f t="shared" si="92"/>
        <v>4.5999999999999979</v>
      </c>
      <c r="M213">
        <f t="shared" si="84"/>
        <v>0.60655737704918022</v>
      </c>
      <c r="N213">
        <v>11</v>
      </c>
      <c r="O213">
        <f t="shared" si="89"/>
        <v>4</v>
      </c>
      <c r="P213">
        <f t="shared" si="90"/>
        <v>280</v>
      </c>
      <c r="Q213">
        <f t="shared" si="91"/>
        <v>0.37344262295081976</v>
      </c>
      <c r="R213">
        <f t="shared" si="93"/>
        <v>2.373770491803278</v>
      </c>
    </row>
    <row r="214" spans="1:18" x14ac:dyDescent="0.3">
      <c r="A214" t="s">
        <v>5</v>
      </c>
      <c r="B214" s="1">
        <v>45084</v>
      </c>
      <c r="C214" t="s">
        <v>7</v>
      </c>
      <c r="D214" t="s">
        <v>11</v>
      </c>
      <c r="E214">
        <v>6</v>
      </c>
      <c r="F214">
        <v>14.1</v>
      </c>
      <c r="G214">
        <v>0</v>
      </c>
      <c r="H214">
        <f t="shared" si="94"/>
        <v>0.59999999999999964</v>
      </c>
      <c r="I214">
        <f t="shared" si="86"/>
        <v>0.59999999999999964</v>
      </c>
      <c r="J214">
        <f t="shared" si="87"/>
        <v>14.7</v>
      </c>
      <c r="K214">
        <f t="shared" si="88"/>
        <v>0.5</v>
      </c>
      <c r="L214">
        <f t="shared" si="92"/>
        <v>5.0999999999999979</v>
      </c>
      <c r="M214">
        <f t="shared" si="84"/>
        <v>0.60655737704918022</v>
      </c>
      <c r="N214">
        <v>12</v>
      </c>
      <c r="O214">
        <f t="shared" si="89"/>
        <v>4</v>
      </c>
      <c r="P214">
        <f t="shared" si="90"/>
        <v>280</v>
      </c>
      <c r="Q214">
        <f t="shared" si="91"/>
        <v>0.37344262295081976</v>
      </c>
      <c r="R214">
        <f t="shared" si="93"/>
        <v>2.7472131147540977</v>
      </c>
    </row>
    <row r="215" spans="1:18" x14ac:dyDescent="0.3">
      <c r="A215" t="s">
        <v>6</v>
      </c>
      <c r="B215" s="1">
        <v>45085</v>
      </c>
      <c r="C215" t="s">
        <v>7</v>
      </c>
      <c r="D215" t="s">
        <v>11</v>
      </c>
      <c r="E215">
        <v>6</v>
      </c>
      <c r="F215">
        <v>14.2</v>
      </c>
      <c r="G215">
        <v>0.25</v>
      </c>
      <c r="H215">
        <f t="shared" si="94"/>
        <v>0.25</v>
      </c>
      <c r="I215">
        <f t="shared" si="86"/>
        <v>0.5</v>
      </c>
      <c r="J215">
        <f t="shared" si="87"/>
        <v>14.7</v>
      </c>
      <c r="K215">
        <f t="shared" si="88"/>
        <v>0.5</v>
      </c>
      <c r="L215">
        <f t="shared" si="92"/>
        <v>5.5999999999999979</v>
      </c>
      <c r="M215">
        <f t="shared" si="84"/>
        <v>0.60655737704918022</v>
      </c>
      <c r="N215">
        <v>13</v>
      </c>
      <c r="O215">
        <f t="shared" si="89"/>
        <v>4.25</v>
      </c>
      <c r="P215">
        <f t="shared" si="90"/>
        <v>297.5</v>
      </c>
      <c r="Q215">
        <f t="shared" si="91"/>
        <v>0.37344262295081976</v>
      </c>
      <c r="R215">
        <f t="shared" si="93"/>
        <v>3.1206557377049173</v>
      </c>
    </row>
    <row r="216" spans="1:18" x14ac:dyDescent="0.3">
      <c r="A216" t="s">
        <v>0</v>
      </c>
      <c r="B216" s="1">
        <v>45086</v>
      </c>
      <c r="C216" t="s">
        <v>7</v>
      </c>
      <c r="D216" t="s">
        <v>11</v>
      </c>
      <c r="E216">
        <v>6</v>
      </c>
      <c r="F216">
        <v>14.2</v>
      </c>
      <c r="G216">
        <v>0.25</v>
      </c>
      <c r="H216">
        <f t="shared" si="94"/>
        <v>0.25</v>
      </c>
      <c r="I216">
        <f t="shared" si="86"/>
        <v>0.5</v>
      </c>
      <c r="J216">
        <f t="shared" si="87"/>
        <v>14.7</v>
      </c>
      <c r="K216">
        <f t="shared" si="88"/>
        <v>0.89999999999999858</v>
      </c>
      <c r="L216">
        <f t="shared" si="92"/>
        <v>6.4999999999999964</v>
      </c>
      <c r="M216">
        <f t="shared" si="84"/>
        <v>0.60655737704918022</v>
      </c>
      <c r="N216">
        <v>14</v>
      </c>
      <c r="O216">
        <f t="shared" si="89"/>
        <v>4.5</v>
      </c>
      <c r="P216">
        <f t="shared" si="90"/>
        <v>315</v>
      </c>
      <c r="Q216">
        <f t="shared" si="91"/>
        <v>0.37344262295081976</v>
      </c>
      <c r="R216">
        <f t="shared" si="93"/>
        <v>3.494098360655737</v>
      </c>
    </row>
    <row r="217" spans="1:18" x14ac:dyDescent="0.3">
      <c r="A217" t="s">
        <v>1</v>
      </c>
      <c r="B217" s="1">
        <v>45087</v>
      </c>
      <c r="C217" t="s">
        <v>7</v>
      </c>
      <c r="D217" t="s">
        <v>11</v>
      </c>
      <c r="E217">
        <v>6</v>
      </c>
      <c r="F217">
        <v>13.8</v>
      </c>
      <c r="G217">
        <v>0</v>
      </c>
      <c r="H217">
        <f t="shared" si="94"/>
        <v>0.89999999999999858</v>
      </c>
      <c r="I217">
        <f t="shared" si="86"/>
        <v>0.89999999999999858</v>
      </c>
      <c r="J217">
        <f t="shared" si="87"/>
        <v>14.7</v>
      </c>
      <c r="K217">
        <f t="shared" si="88"/>
        <v>0.89999999999999858</v>
      </c>
      <c r="L217">
        <f t="shared" si="92"/>
        <v>7.399999999999995</v>
      </c>
      <c r="M217">
        <f t="shared" si="84"/>
        <v>0.60655737704918022</v>
      </c>
      <c r="N217">
        <v>15</v>
      </c>
      <c r="O217">
        <f t="shared" si="89"/>
        <v>4.5</v>
      </c>
      <c r="P217">
        <f t="shared" si="90"/>
        <v>315</v>
      </c>
      <c r="Q217">
        <f t="shared" si="91"/>
        <v>0.37344262295081976</v>
      </c>
      <c r="R217">
        <f t="shared" si="93"/>
        <v>3.8675409836065566</v>
      </c>
    </row>
    <row r="218" spans="1:18" x14ac:dyDescent="0.3">
      <c r="A218" t="s">
        <v>2</v>
      </c>
      <c r="B218" s="1">
        <v>45088</v>
      </c>
      <c r="C218" t="s">
        <v>7</v>
      </c>
      <c r="D218" t="s">
        <v>11</v>
      </c>
      <c r="E218">
        <v>6</v>
      </c>
      <c r="F218">
        <v>13.8</v>
      </c>
      <c r="G218">
        <v>0</v>
      </c>
      <c r="H218">
        <f>14.5-F218-G218</f>
        <v>0.69999999999999929</v>
      </c>
      <c r="I218">
        <f t="shared" si="86"/>
        <v>0.69999999999999929</v>
      </c>
      <c r="J218">
        <f t="shared" si="87"/>
        <v>14.5</v>
      </c>
      <c r="K218">
        <f t="shared" si="88"/>
        <v>0.59999999999999964</v>
      </c>
      <c r="L218">
        <f t="shared" si="92"/>
        <v>7.9999999999999947</v>
      </c>
      <c r="M218">
        <f t="shared" si="84"/>
        <v>0.57377049180327877</v>
      </c>
      <c r="N218">
        <v>16</v>
      </c>
      <c r="O218">
        <f t="shared" si="89"/>
        <v>4.5</v>
      </c>
      <c r="P218">
        <f t="shared" si="90"/>
        <v>315</v>
      </c>
      <c r="Q218">
        <f t="shared" si="91"/>
        <v>0.40622950819672121</v>
      </c>
      <c r="R218">
        <f t="shared" si="93"/>
        <v>4.2737704918032779</v>
      </c>
    </row>
    <row r="219" spans="1:18" x14ac:dyDescent="0.3">
      <c r="A219" t="s">
        <v>3</v>
      </c>
      <c r="B219" s="1">
        <v>45089</v>
      </c>
      <c r="C219" t="s">
        <v>7</v>
      </c>
      <c r="D219" t="s">
        <v>11</v>
      </c>
      <c r="E219">
        <v>6</v>
      </c>
      <c r="F219">
        <v>13.9</v>
      </c>
      <c r="G219">
        <v>0.5</v>
      </c>
      <c r="H219">
        <f t="shared" ref="H219" si="95">14.5-F219-G219</f>
        <v>9.9999999999999645E-2</v>
      </c>
      <c r="I219">
        <f t="shared" si="86"/>
        <v>0.59999999999999964</v>
      </c>
      <c r="J219">
        <f t="shared" si="87"/>
        <v>14.5</v>
      </c>
      <c r="K219">
        <f t="shared" si="88"/>
        <v>0.19999999999999929</v>
      </c>
      <c r="L219">
        <f t="shared" si="92"/>
        <v>8.199999999999994</v>
      </c>
      <c r="M219">
        <f t="shared" si="84"/>
        <v>0.57377049180327877</v>
      </c>
      <c r="N219">
        <v>17</v>
      </c>
      <c r="O219">
        <f t="shared" si="89"/>
        <v>5</v>
      </c>
      <c r="P219">
        <f t="shared" si="90"/>
        <v>350</v>
      </c>
      <c r="Q219">
        <f t="shared" si="91"/>
        <v>0.40622950819672121</v>
      </c>
      <c r="R219">
        <f t="shared" si="93"/>
        <v>4.6799999999999988</v>
      </c>
    </row>
    <row r="220" spans="1:18" x14ac:dyDescent="0.3">
      <c r="A220" t="s">
        <v>4</v>
      </c>
      <c r="B220" s="1">
        <v>45090</v>
      </c>
      <c r="C220" t="s">
        <v>7</v>
      </c>
      <c r="D220" t="s">
        <v>11</v>
      </c>
      <c r="E220">
        <v>6</v>
      </c>
      <c r="F220">
        <v>14.3</v>
      </c>
      <c r="G220">
        <v>0</v>
      </c>
      <c r="H220">
        <f>14.4-F220-G220</f>
        <v>9.9999999999999645E-2</v>
      </c>
      <c r="I220">
        <f t="shared" si="86"/>
        <v>9.9999999999999645E-2</v>
      </c>
      <c r="J220">
        <f t="shared" si="87"/>
        <v>14.4</v>
      </c>
      <c r="K220">
        <f t="shared" si="88"/>
        <v>0.59999999999999964</v>
      </c>
      <c r="L220">
        <f t="shared" si="92"/>
        <v>8.7999999999999936</v>
      </c>
      <c r="M220">
        <f t="shared" si="84"/>
        <v>0.55737704918032793</v>
      </c>
      <c r="N220">
        <v>18</v>
      </c>
      <c r="O220">
        <f t="shared" si="89"/>
        <v>5</v>
      </c>
      <c r="P220">
        <f t="shared" si="90"/>
        <v>350</v>
      </c>
      <c r="Q220">
        <f t="shared" si="91"/>
        <v>0.42262295081967205</v>
      </c>
      <c r="R220">
        <f t="shared" si="93"/>
        <v>5.1026229508196712</v>
      </c>
    </row>
    <row r="221" spans="1:18" x14ac:dyDescent="0.3">
      <c r="A221" t="s">
        <v>5</v>
      </c>
      <c r="B221" s="1">
        <v>45091</v>
      </c>
      <c r="C221" t="s">
        <v>7</v>
      </c>
      <c r="D221" t="s">
        <v>11</v>
      </c>
      <c r="E221">
        <v>6</v>
      </c>
      <c r="F221">
        <v>13.8</v>
      </c>
      <c r="G221">
        <v>0</v>
      </c>
      <c r="H221">
        <f>14.4-F221-G221</f>
        <v>0.59999999999999964</v>
      </c>
      <c r="I221">
        <f t="shared" si="86"/>
        <v>0.59999999999999964</v>
      </c>
      <c r="J221">
        <f t="shared" si="87"/>
        <v>14.4</v>
      </c>
      <c r="K221">
        <f t="shared" si="88"/>
        <v>0.59999999999999964</v>
      </c>
      <c r="L221">
        <f t="shared" si="92"/>
        <v>9.3999999999999932</v>
      </c>
      <c r="M221">
        <f t="shared" si="84"/>
        <v>0.55737704918032793</v>
      </c>
      <c r="N221">
        <v>19</v>
      </c>
      <c r="O221">
        <f t="shared" si="89"/>
        <v>5</v>
      </c>
      <c r="P221">
        <f t="shared" si="90"/>
        <v>350</v>
      </c>
      <c r="Q221">
        <f t="shared" si="91"/>
        <v>0.42262295081967205</v>
      </c>
      <c r="R221">
        <f t="shared" si="93"/>
        <v>5.5252459016393436</v>
      </c>
    </row>
    <row r="222" spans="1:18" x14ac:dyDescent="0.3">
      <c r="A222" t="s">
        <v>6</v>
      </c>
      <c r="B222" s="1">
        <v>45092</v>
      </c>
      <c r="C222" t="s">
        <v>7</v>
      </c>
      <c r="D222" t="s">
        <v>11</v>
      </c>
      <c r="E222">
        <v>6</v>
      </c>
      <c r="F222">
        <v>13.8</v>
      </c>
      <c r="G222">
        <v>0.5</v>
      </c>
      <c r="H222">
        <v>0</v>
      </c>
      <c r="I222">
        <f t="shared" si="86"/>
        <v>0.5</v>
      </c>
      <c r="J222">
        <f t="shared" si="87"/>
        <v>14.3</v>
      </c>
      <c r="K222">
        <f t="shared" si="88"/>
        <v>0.70000000000000107</v>
      </c>
      <c r="L222">
        <f t="shared" si="92"/>
        <v>10.099999999999994</v>
      </c>
      <c r="M222">
        <f t="shared" si="84"/>
        <v>0.54098360655737721</v>
      </c>
      <c r="N222">
        <v>20</v>
      </c>
      <c r="O222">
        <f t="shared" si="89"/>
        <v>5.5</v>
      </c>
      <c r="P222">
        <f t="shared" si="90"/>
        <v>385</v>
      </c>
      <c r="Q222">
        <f t="shared" si="91"/>
        <v>0.43901639344262278</v>
      </c>
      <c r="R222">
        <f t="shared" si="93"/>
        <v>5.9642622950819666</v>
      </c>
    </row>
    <row r="223" spans="1:18" x14ac:dyDescent="0.3">
      <c r="A223" t="s">
        <v>0</v>
      </c>
      <c r="B223" s="1">
        <v>45093</v>
      </c>
      <c r="C223" t="s">
        <v>7</v>
      </c>
      <c r="D223" t="s">
        <v>11</v>
      </c>
      <c r="E223">
        <v>6</v>
      </c>
      <c r="F223">
        <v>13.6</v>
      </c>
      <c r="G223">
        <v>0</v>
      </c>
      <c r="H223">
        <f>14-F223-G223</f>
        <v>0.40000000000000036</v>
      </c>
      <c r="I223">
        <f t="shared" si="86"/>
        <v>0.40000000000000036</v>
      </c>
      <c r="J223">
        <f t="shared" si="87"/>
        <v>14</v>
      </c>
      <c r="K223">
        <f t="shared" si="88"/>
        <v>0.80000000000000071</v>
      </c>
      <c r="L223">
        <f t="shared" si="92"/>
        <v>10.899999999999995</v>
      </c>
      <c r="M223">
        <f t="shared" si="84"/>
        <v>0.49180327868852464</v>
      </c>
      <c r="N223">
        <v>21</v>
      </c>
      <c r="O223">
        <f t="shared" si="89"/>
        <v>5.5</v>
      </c>
      <c r="P223">
        <f t="shared" si="90"/>
        <v>385</v>
      </c>
      <c r="Q223">
        <f t="shared" si="91"/>
        <v>0.48819672131147535</v>
      </c>
      <c r="R223">
        <f t="shared" si="93"/>
        <v>6.4524590163934423</v>
      </c>
    </row>
    <row r="224" spans="1:18" x14ac:dyDescent="0.3">
      <c r="A224" t="s">
        <v>1</v>
      </c>
      <c r="B224" s="1">
        <v>45094</v>
      </c>
      <c r="C224" t="s">
        <v>7</v>
      </c>
      <c r="D224" t="s">
        <v>11</v>
      </c>
      <c r="E224">
        <v>6</v>
      </c>
      <c r="F224">
        <v>13.2</v>
      </c>
      <c r="G224">
        <v>0</v>
      </c>
      <c r="H224">
        <f>14-F224-G224</f>
        <v>0.80000000000000071</v>
      </c>
      <c r="I224">
        <f t="shared" si="86"/>
        <v>0.80000000000000071</v>
      </c>
      <c r="J224">
        <f t="shared" si="87"/>
        <v>14</v>
      </c>
      <c r="K224">
        <f t="shared" si="88"/>
        <v>0.59999999999999964</v>
      </c>
      <c r="L224">
        <f t="shared" si="92"/>
        <v>11.499999999999995</v>
      </c>
      <c r="M224">
        <f t="shared" si="84"/>
        <v>0.49180327868852464</v>
      </c>
      <c r="N224">
        <v>22</v>
      </c>
      <c r="O224">
        <f t="shared" si="89"/>
        <v>5.5</v>
      </c>
      <c r="P224">
        <f t="shared" si="90"/>
        <v>385</v>
      </c>
      <c r="Q224">
        <f t="shared" si="91"/>
        <v>0.48819672131147535</v>
      </c>
      <c r="R224">
        <f t="shared" si="93"/>
        <v>6.9406557377049181</v>
      </c>
    </row>
    <row r="225" spans="1:18" x14ac:dyDescent="0.3">
      <c r="A225" t="s">
        <v>2</v>
      </c>
      <c r="B225" s="1">
        <v>45095</v>
      </c>
      <c r="C225" t="s">
        <v>7</v>
      </c>
      <c r="D225" t="s">
        <v>11</v>
      </c>
      <c r="E225">
        <v>6</v>
      </c>
      <c r="F225">
        <v>13.4</v>
      </c>
      <c r="G225">
        <v>0</v>
      </c>
      <c r="H225">
        <f>14-F225-G225</f>
        <v>0.59999999999999964</v>
      </c>
      <c r="I225">
        <f t="shared" si="86"/>
        <v>0.59999999999999964</v>
      </c>
      <c r="J225">
        <f t="shared" si="87"/>
        <v>14</v>
      </c>
      <c r="K225">
        <f t="shared" si="88"/>
        <v>0.69999999999999929</v>
      </c>
      <c r="L225">
        <f t="shared" si="92"/>
        <v>12.199999999999994</v>
      </c>
      <c r="M225">
        <f t="shared" si="84"/>
        <v>0.49180327868852464</v>
      </c>
      <c r="N225">
        <v>23</v>
      </c>
      <c r="O225">
        <f t="shared" si="89"/>
        <v>5.5</v>
      </c>
      <c r="P225">
        <f t="shared" si="90"/>
        <v>385</v>
      </c>
      <c r="Q225">
        <f t="shared" si="91"/>
        <v>0.48819672131147535</v>
      </c>
      <c r="R225">
        <f t="shared" si="93"/>
        <v>7.4288524590163938</v>
      </c>
    </row>
    <row r="226" spans="1:18" x14ac:dyDescent="0.3">
      <c r="A226" t="s">
        <v>3</v>
      </c>
      <c r="B226" s="1">
        <v>45096</v>
      </c>
      <c r="C226" t="s">
        <v>7</v>
      </c>
      <c r="D226" t="s">
        <v>11</v>
      </c>
      <c r="E226">
        <v>6</v>
      </c>
      <c r="F226">
        <v>13.3</v>
      </c>
      <c r="G226">
        <v>0.5</v>
      </c>
      <c r="H226">
        <f t="shared" ref="H226" si="96">14-F226-G226</f>
        <v>0.19999999999999929</v>
      </c>
      <c r="I226">
        <f t="shared" si="86"/>
        <v>0.69999999999999929</v>
      </c>
      <c r="J226">
        <f t="shared" si="87"/>
        <v>14</v>
      </c>
      <c r="K226">
        <f t="shared" si="88"/>
        <v>0.80000000000000071</v>
      </c>
      <c r="L226">
        <f t="shared" si="92"/>
        <v>12.999999999999995</v>
      </c>
      <c r="M226">
        <f t="shared" si="84"/>
        <v>0.49180327868852464</v>
      </c>
      <c r="N226">
        <v>24</v>
      </c>
      <c r="O226">
        <f t="shared" si="89"/>
        <v>6</v>
      </c>
      <c r="P226">
        <f t="shared" si="90"/>
        <v>420</v>
      </c>
      <c r="Q226">
        <f t="shared" si="91"/>
        <v>0.48819672131147535</v>
      </c>
      <c r="R226">
        <f t="shared" si="93"/>
        <v>7.9170491803278695</v>
      </c>
    </row>
    <row r="227" spans="1:18" x14ac:dyDescent="0.3">
      <c r="A227" t="s">
        <v>4</v>
      </c>
      <c r="B227" s="1">
        <v>45097</v>
      </c>
      <c r="C227" t="s">
        <v>7</v>
      </c>
      <c r="D227" t="s">
        <v>11</v>
      </c>
      <c r="E227">
        <v>6</v>
      </c>
      <c r="F227">
        <v>13.2</v>
      </c>
      <c r="G227">
        <v>0</v>
      </c>
      <c r="H227">
        <f>13.8-F227-G227</f>
        <v>0.60000000000000142</v>
      </c>
      <c r="I227">
        <f t="shared" si="86"/>
        <v>0.60000000000000142</v>
      </c>
      <c r="J227">
        <f t="shared" si="87"/>
        <v>13.8</v>
      </c>
      <c r="K227">
        <f t="shared" si="88"/>
        <v>0.70000000000000107</v>
      </c>
      <c r="L227">
        <f>L226+K227</f>
        <v>13.699999999999996</v>
      </c>
      <c r="M227">
        <f t="shared" si="84"/>
        <v>0.45901639344262307</v>
      </c>
      <c r="N227">
        <v>25</v>
      </c>
      <c r="O227">
        <f t="shared" si="89"/>
        <v>6</v>
      </c>
      <c r="P227">
        <f t="shared" si="90"/>
        <v>420</v>
      </c>
      <c r="Q227">
        <f t="shared" si="91"/>
        <v>0.52098360655737697</v>
      </c>
      <c r="R227">
        <f t="shared" si="93"/>
        <v>8.4380327868852465</v>
      </c>
    </row>
    <row r="228" spans="1:18" x14ac:dyDescent="0.3">
      <c r="A228" t="s">
        <v>5</v>
      </c>
      <c r="B228" s="1">
        <v>45098</v>
      </c>
      <c r="C228" t="s">
        <v>7</v>
      </c>
      <c r="D228" t="s">
        <v>11</v>
      </c>
      <c r="E228">
        <v>6</v>
      </c>
      <c r="F228">
        <v>13.1</v>
      </c>
      <c r="G228">
        <v>0</v>
      </c>
      <c r="H228">
        <f>13.8-F228-G228</f>
        <v>0.70000000000000107</v>
      </c>
      <c r="I228">
        <f t="shared" si="86"/>
        <v>0.70000000000000107</v>
      </c>
      <c r="J228">
        <f t="shared" si="87"/>
        <v>13.8</v>
      </c>
      <c r="K228">
        <f t="shared" si="88"/>
        <v>0.80000000000000071</v>
      </c>
      <c r="L228">
        <f t="shared" ref="L228:L240" si="97">L227+K228</f>
        <v>14.499999999999996</v>
      </c>
      <c r="M228">
        <f t="shared" si="84"/>
        <v>0.45901639344262307</v>
      </c>
      <c r="N228">
        <v>26</v>
      </c>
      <c r="O228">
        <f t="shared" si="89"/>
        <v>6</v>
      </c>
      <c r="P228">
        <f t="shared" si="90"/>
        <v>420</v>
      </c>
      <c r="Q228">
        <f t="shared" si="91"/>
        <v>0.52098360655737697</v>
      </c>
      <c r="R228">
        <f t="shared" si="93"/>
        <v>8.9590163934426243</v>
      </c>
    </row>
    <row r="229" spans="1:18" x14ac:dyDescent="0.3">
      <c r="A229" t="s">
        <v>6</v>
      </c>
      <c r="B229" s="1">
        <v>45099</v>
      </c>
      <c r="C229" t="s">
        <v>7</v>
      </c>
      <c r="D229" t="s">
        <v>11</v>
      </c>
      <c r="E229">
        <v>6</v>
      </c>
      <c r="F229">
        <v>13</v>
      </c>
      <c r="G229">
        <v>0.5</v>
      </c>
      <c r="H229">
        <f>13.8-F229-G229</f>
        <v>0.30000000000000071</v>
      </c>
      <c r="I229">
        <f t="shared" si="86"/>
        <v>0.80000000000000071</v>
      </c>
      <c r="J229">
        <f t="shared" si="87"/>
        <v>13.8</v>
      </c>
      <c r="K229">
        <f t="shared" si="88"/>
        <v>0.80000000000000071</v>
      </c>
      <c r="L229">
        <f t="shared" si="97"/>
        <v>15.299999999999997</v>
      </c>
      <c r="M229">
        <f t="shared" si="84"/>
        <v>0.45901639344262307</v>
      </c>
      <c r="N229">
        <v>27</v>
      </c>
      <c r="O229">
        <f t="shared" si="89"/>
        <v>6.5</v>
      </c>
      <c r="P229">
        <f t="shared" si="90"/>
        <v>455</v>
      </c>
      <c r="Q229">
        <f t="shared" si="91"/>
        <v>0.52098360655737697</v>
      </c>
      <c r="R229">
        <f t="shared" si="93"/>
        <v>9.48</v>
      </c>
    </row>
    <row r="230" spans="1:18" x14ac:dyDescent="0.3">
      <c r="A230" t="s">
        <v>0</v>
      </c>
      <c r="B230" s="1">
        <v>45100</v>
      </c>
      <c r="C230" t="s">
        <v>7</v>
      </c>
      <c r="D230" t="s">
        <v>11</v>
      </c>
      <c r="E230">
        <v>6</v>
      </c>
      <c r="F230">
        <v>13</v>
      </c>
      <c r="G230">
        <v>0</v>
      </c>
      <c r="H230">
        <f>13.8-F230-G230</f>
        <v>0.80000000000000071</v>
      </c>
      <c r="I230">
        <f t="shared" si="86"/>
        <v>0.80000000000000071</v>
      </c>
      <c r="J230">
        <f t="shared" si="87"/>
        <v>13.8</v>
      </c>
      <c r="K230">
        <f t="shared" si="88"/>
        <v>0.60000000000000142</v>
      </c>
      <c r="L230">
        <f t="shared" si="97"/>
        <v>15.899999999999999</v>
      </c>
      <c r="M230">
        <f t="shared" si="84"/>
        <v>0.45901639344262307</v>
      </c>
      <c r="N230">
        <v>28</v>
      </c>
      <c r="O230">
        <f t="shared" si="89"/>
        <v>6.5</v>
      </c>
      <c r="P230">
        <f t="shared" si="90"/>
        <v>455</v>
      </c>
      <c r="Q230">
        <f t="shared" si="91"/>
        <v>0.52098360655737697</v>
      </c>
      <c r="R230">
        <f>R229+Q230</f>
        <v>10.000983606557377</v>
      </c>
    </row>
    <row r="231" spans="1:18" x14ac:dyDescent="0.3">
      <c r="A231" t="s">
        <v>1</v>
      </c>
      <c r="B231" s="1">
        <v>45101</v>
      </c>
      <c r="C231" t="s">
        <v>7</v>
      </c>
      <c r="D231" t="s">
        <v>11</v>
      </c>
      <c r="E231">
        <v>6</v>
      </c>
      <c r="F231">
        <v>13.2</v>
      </c>
      <c r="G231">
        <v>0</v>
      </c>
      <c r="H231">
        <f>13.5-F231-G231</f>
        <v>0.30000000000000071</v>
      </c>
      <c r="I231">
        <f t="shared" si="86"/>
        <v>0.30000000000000071</v>
      </c>
      <c r="J231">
        <f t="shared" si="87"/>
        <v>13.5</v>
      </c>
      <c r="K231">
        <f t="shared" si="88"/>
        <v>0.40000000000000036</v>
      </c>
      <c r="L231">
        <f t="shared" si="97"/>
        <v>16.299999999999997</v>
      </c>
      <c r="M231">
        <f t="shared" si="84"/>
        <v>0.4098360655737705</v>
      </c>
      <c r="N231">
        <v>29</v>
      </c>
      <c r="O231">
        <f t="shared" si="89"/>
        <v>6.5</v>
      </c>
      <c r="P231">
        <f t="shared" si="90"/>
        <v>455</v>
      </c>
      <c r="Q231">
        <f t="shared" si="91"/>
        <v>0.57016393442622948</v>
      </c>
      <c r="R231">
        <f t="shared" ref="R231:R240" si="98">R230+Q231</f>
        <v>10.571147540983606</v>
      </c>
    </row>
    <row r="232" spans="1:18" x14ac:dyDescent="0.3">
      <c r="A232" t="s">
        <v>2</v>
      </c>
      <c r="B232" s="1">
        <v>45102</v>
      </c>
      <c r="C232" t="s">
        <v>7</v>
      </c>
      <c r="D232" t="s">
        <v>11</v>
      </c>
      <c r="E232">
        <v>6</v>
      </c>
      <c r="F232">
        <v>13.1</v>
      </c>
      <c r="G232">
        <v>0</v>
      </c>
      <c r="H232">
        <f>13.5-F232-G232</f>
        <v>0.40000000000000036</v>
      </c>
      <c r="I232">
        <f t="shared" si="86"/>
        <v>0.40000000000000036</v>
      </c>
      <c r="J232">
        <f t="shared" si="87"/>
        <v>13.5</v>
      </c>
      <c r="K232">
        <f t="shared" si="88"/>
        <v>0.59999999999999964</v>
      </c>
      <c r="L232">
        <f t="shared" si="97"/>
        <v>16.899999999999999</v>
      </c>
      <c r="M232">
        <f t="shared" si="84"/>
        <v>0.4098360655737705</v>
      </c>
      <c r="N232">
        <v>30</v>
      </c>
      <c r="O232">
        <f t="shared" si="89"/>
        <v>6.5</v>
      </c>
      <c r="P232">
        <f t="shared" si="90"/>
        <v>455</v>
      </c>
      <c r="Q232">
        <f t="shared" si="91"/>
        <v>0.57016393442622948</v>
      </c>
      <c r="R232">
        <f t="shared" si="98"/>
        <v>11.141311475409836</v>
      </c>
    </row>
    <row r="233" spans="1:18" x14ac:dyDescent="0.3">
      <c r="A233" t="s">
        <v>3</v>
      </c>
      <c r="B233" s="1">
        <v>45103</v>
      </c>
      <c r="C233" t="s">
        <v>7</v>
      </c>
      <c r="D233" t="s">
        <v>11</v>
      </c>
      <c r="E233">
        <v>6</v>
      </c>
      <c r="F233">
        <v>12.9</v>
      </c>
      <c r="G233">
        <v>0.5</v>
      </c>
      <c r="H233">
        <f>13.5-F233-G233</f>
        <v>9.9999999999999645E-2</v>
      </c>
      <c r="I233">
        <f t="shared" si="86"/>
        <v>0.59999999999999964</v>
      </c>
      <c r="J233">
        <f t="shared" si="87"/>
        <v>13.5</v>
      </c>
      <c r="K233">
        <f t="shared" si="88"/>
        <v>0.5</v>
      </c>
      <c r="L233">
        <f t="shared" si="97"/>
        <v>17.399999999999999</v>
      </c>
      <c r="M233">
        <f t="shared" si="84"/>
        <v>0.4098360655737705</v>
      </c>
      <c r="N233">
        <v>31</v>
      </c>
      <c r="O233">
        <f t="shared" si="89"/>
        <v>7</v>
      </c>
      <c r="P233">
        <f t="shared" si="90"/>
        <v>490</v>
      </c>
      <c r="Q233">
        <f t="shared" si="91"/>
        <v>0.57016393442622948</v>
      </c>
      <c r="R233">
        <f t="shared" si="98"/>
        <v>11.711475409836066</v>
      </c>
    </row>
    <row r="234" spans="1:18" x14ac:dyDescent="0.3">
      <c r="A234" t="s">
        <v>4</v>
      </c>
      <c r="B234" s="1">
        <v>45104</v>
      </c>
      <c r="C234" t="s">
        <v>7</v>
      </c>
      <c r="D234" t="s">
        <v>11</v>
      </c>
      <c r="E234">
        <v>6</v>
      </c>
      <c r="F234">
        <v>13</v>
      </c>
      <c r="G234">
        <v>0</v>
      </c>
      <c r="H234">
        <f>13.5-F234-G234</f>
        <v>0.5</v>
      </c>
      <c r="I234">
        <f t="shared" si="86"/>
        <v>0.5</v>
      </c>
      <c r="J234">
        <f t="shared" si="87"/>
        <v>13.5</v>
      </c>
      <c r="K234">
        <f t="shared" si="88"/>
        <v>0.69999999999999929</v>
      </c>
      <c r="L234">
        <f t="shared" si="97"/>
        <v>18.099999999999998</v>
      </c>
      <c r="M234">
        <f t="shared" si="84"/>
        <v>0.4098360655737705</v>
      </c>
      <c r="N234">
        <v>32</v>
      </c>
      <c r="O234">
        <f t="shared" si="89"/>
        <v>7</v>
      </c>
      <c r="P234">
        <f t="shared" si="90"/>
        <v>490</v>
      </c>
      <c r="Q234">
        <f t="shared" si="91"/>
        <v>0.57016393442622948</v>
      </c>
      <c r="R234">
        <f t="shared" si="98"/>
        <v>12.281639344262295</v>
      </c>
    </row>
    <row r="235" spans="1:18" x14ac:dyDescent="0.3">
      <c r="A235" t="s">
        <v>5</v>
      </c>
      <c r="B235" s="1">
        <v>45105</v>
      </c>
      <c r="C235" t="s">
        <v>7</v>
      </c>
      <c r="D235" t="s">
        <v>11</v>
      </c>
      <c r="E235">
        <v>6</v>
      </c>
      <c r="F235">
        <v>12.8</v>
      </c>
      <c r="G235">
        <v>0</v>
      </c>
      <c r="H235">
        <f>13.5-F235-G235</f>
        <v>0.69999999999999929</v>
      </c>
      <c r="I235">
        <f t="shared" si="86"/>
        <v>0.69999999999999929</v>
      </c>
      <c r="J235">
        <f t="shared" si="87"/>
        <v>13.5</v>
      </c>
      <c r="K235">
        <f t="shared" si="88"/>
        <v>0.80000000000000071</v>
      </c>
      <c r="L235">
        <f t="shared" si="97"/>
        <v>18.899999999999999</v>
      </c>
      <c r="M235">
        <f t="shared" si="84"/>
        <v>0.4098360655737705</v>
      </c>
      <c r="N235">
        <v>33</v>
      </c>
      <c r="O235">
        <f t="shared" si="89"/>
        <v>7</v>
      </c>
      <c r="P235">
        <f t="shared" si="90"/>
        <v>490</v>
      </c>
      <c r="Q235">
        <f t="shared" si="91"/>
        <v>0.57016393442622948</v>
      </c>
      <c r="R235">
        <f t="shared" si="98"/>
        <v>12.851803278688525</v>
      </c>
    </row>
    <row r="236" spans="1:18" x14ac:dyDescent="0.3">
      <c r="A236" t="s">
        <v>6</v>
      </c>
      <c r="B236" s="1">
        <v>45106</v>
      </c>
      <c r="C236" t="s">
        <v>7</v>
      </c>
      <c r="D236" t="s">
        <v>11</v>
      </c>
      <c r="E236">
        <v>6</v>
      </c>
      <c r="F236">
        <v>12.7</v>
      </c>
      <c r="G236">
        <v>0.5</v>
      </c>
      <c r="H236">
        <f t="shared" ref="H236" si="99">13.5-F236-G236</f>
        <v>0.30000000000000071</v>
      </c>
      <c r="I236">
        <f t="shared" si="86"/>
        <v>0.80000000000000071</v>
      </c>
      <c r="J236">
        <f t="shared" si="87"/>
        <v>13.5</v>
      </c>
      <c r="K236">
        <f t="shared" si="88"/>
        <v>0.69999999999999929</v>
      </c>
      <c r="L236">
        <f t="shared" si="97"/>
        <v>19.599999999999998</v>
      </c>
      <c r="M236">
        <f t="shared" si="84"/>
        <v>0.4098360655737705</v>
      </c>
      <c r="N236">
        <v>34</v>
      </c>
      <c r="O236">
        <f t="shared" si="89"/>
        <v>7.5</v>
      </c>
      <c r="P236">
        <f t="shared" si="90"/>
        <v>525</v>
      </c>
      <c r="Q236">
        <f t="shared" si="91"/>
        <v>0.57016393442622948</v>
      </c>
      <c r="R236">
        <f t="shared" si="98"/>
        <v>13.421967213114755</v>
      </c>
    </row>
    <row r="237" spans="1:18" x14ac:dyDescent="0.3">
      <c r="A237" t="s">
        <v>0</v>
      </c>
      <c r="B237" s="1">
        <v>45107</v>
      </c>
      <c r="C237" t="s">
        <v>7</v>
      </c>
      <c r="D237" t="s">
        <v>11</v>
      </c>
      <c r="E237">
        <v>6</v>
      </c>
      <c r="F237">
        <v>12.8</v>
      </c>
      <c r="G237">
        <v>0</v>
      </c>
      <c r="H237">
        <f t="shared" ref="H237:H239" si="100">13.5-F237-G237</f>
        <v>0.69999999999999929</v>
      </c>
      <c r="I237">
        <f t="shared" si="86"/>
        <v>0.69999999999999929</v>
      </c>
      <c r="J237">
        <f t="shared" si="87"/>
        <v>13.5</v>
      </c>
      <c r="K237">
        <f t="shared" si="88"/>
        <v>0.30000000000000071</v>
      </c>
      <c r="L237">
        <f t="shared" si="97"/>
        <v>19.899999999999999</v>
      </c>
      <c r="M237">
        <f t="shared" si="84"/>
        <v>0.4098360655737705</v>
      </c>
      <c r="N237">
        <v>35</v>
      </c>
      <c r="O237">
        <f t="shared" si="89"/>
        <v>7.5</v>
      </c>
      <c r="P237">
        <f t="shared" si="90"/>
        <v>525</v>
      </c>
      <c r="Q237">
        <f t="shared" si="91"/>
        <v>0.57016393442622948</v>
      </c>
      <c r="R237">
        <f t="shared" si="98"/>
        <v>13.992131147540984</v>
      </c>
    </row>
    <row r="238" spans="1:18" x14ac:dyDescent="0.3">
      <c r="A238" t="s">
        <v>1</v>
      </c>
      <c r="B238" s="1">
        <v>45108</v>
      </c>
      <c r="C238" t="s">
        <v>7</v>
      </c>
      <c r="D238" t="s">
        <v>11</v>
      </c>
      <c r="E238">
        <v>6</v>
      </c>
      <c r="F238">
        <v>13.2</v>
      </c>
      <c r="G238">
        <v>0</v>
      </c>
      <c r="H238">
        <f t="shared" si="100"/>
        <v>0.30000000000000071</v>
      </c>
      <c r="I238">
        <f t="shared" si="86"/>
        <v>0.30000000000000071</v>
      </c>
      <c r="J238">
        <f t="shared" si="87"/>
        <v>13.5</v>
      </c>
      <c r="K238">
        <f t="shared" si="88"/>
        <v>0.5</v>
      </c>
      <c r="L238">
        <f t="shared" si="97"/>
        <v>20.399999999999999</v>
      </c>
      <c r="M238">
        <f t="shared" si="84"/>
        <v>0.4098360655737705</v>
      </c>
      <c r="N238">
        <v>36</v>
      </c>
      <c r="O238">
        <f t="shared" si="89"/>
        <v>7.5</v>
      </c>
      <c r="P238">
        <f t="shared" si="90"/>
        <v>525</v>
      </c>
      <c r="Q238">
        <f t="shared" si="91"/>
        <v>0.57016393442622948</v>
      </c>
      <c r="R238">
        <f t="shared" si="98"/>
        <v>14.562295081967214</v>
      </c>
    </row>
    <row r="239" spans="1:18" x14ac:dyDescent="0.3">
      <c r="A239" t="s">
        <v>2</v>
      </c>
      <c r="B239" s="1">
        <v>45109</v>
      </c>
      <c r="C239" t="s">
        <v>7</v>
      </c>
      <c r="D239" t="s">
        <v>11</v>
      </c>
      <c r="E239">
        <v>6</v>
      </c>
      <c r="F239">
        <v>13</v>
      </c>
      <c r="G239">
        <v>0</v>
      </c>
      <c r="H239">
        <f t="shared" si="100"/>
        <v>0.5</v>
      </c>
      <c r="I239">
        <f t="shared" si="86"/>
        <v>0.5</v>
      </c>
      <c r="J239">
        <f t="shared" si="87"/>
        <v>13.5</v>
      </c>
      <c r="K239">
        <f t="shared" si="88"/>
        <v>1</v>
      </c>
      <c r="L239">
        <f t="shared" si="97"/>
        <v>21.4</v>
      </c>
      <c r="M239">
        <f t="shared" si="84"/>
        <v>0.4098360655737705</v>
      </c>
      <c r="N239">
        <v>37</v>
      </c>
      <c r="O239">
        <f t="shared" si="89"/>
        <v>7.5</v>
      </c>
      <c r="P239">
        <f t="shared" si="90"/>
        <v>525</v>
      </c>
      <c r="Q239">
        <f t="shared" si="91"/>
        <v>0.57016393442622948</v>
      </c>
      <c r="R239">
        <f t="shared" si="98"/>
        <v>15.132459016393444</v>
      </c>
    </row>
    <row r="240" spans="1:18" x14ac:dyDescent="0.3">
      <c r="A240" t="s">
        <v>3</v>
      </c>
      <c r="B240" s="1">
        <v>45110</v>
      </c>
      <c r="C240" t="s">
        <v>7</v>
      </c>
      <c r="D240" t="s">
        <v>11</v>
      </c>
      <c r="E240">
        <v>6</v>
      </c>
      <c r="F240">
        <v>12.5</v>
      </c>
      <c r="G240">
        <v>0</v>
      </c>
      <c r="H240">
        <f>13.1-F240-G240</f>
        <v>0.59999999999999964</v>
      </c>
      <c r="I240">
        <f t="shared" si="86"/>
        <v>0.59999999999999964</v>
      </c>
      <c r="J240">
        <f t="shared" si="87"/>
        <v>13.1</v>
      </c>
      <c r="K240">
        <f t="shared" si="88"/>
        <v>0.59999999999999964</v>
      </c>
      <c r="L240">
        <f t="shared" si="97"/>
        <v>22</v>
      </c>
      <c r="M240">
        <f t="shared" si="84"/>
        <v>0.34426229508196715</v>
      </c>
      <c r="N240">
        <v>38</v>
      </c>
      <c r="O240">
        <f t="shared" si="89"/>
        <v>7.5</v>
      </c>
      <c r="P240">
        <f t="shared" si="90"/>
        <v>525</v>
      </c>
      <c r="Q240">
        <f t="shared" si="91"/>
        <v>0.63573770491803283</v>
      </c>
      <c r="R240">
        <f t="shared" si="98"/>
        <v>15.768196721311476</v>
      </c>
    </row>
    <row r="241" spans="1:18" x14ac:dyDescent="0.3">
      <c r="A241" t="s">
        <v>4</v>
      </c>
      <c r="B241" s="1">
        <v>45111</v>
      </c>
      <c r="C241" t="s">
        <v>7</v>
      </c>
      <c r="D241" t="s">
        <v>11</v>
      </c>
      <c r="E241">
        <v>6</v>
      </c>
      <c r="F241">
        <v>12.5</v>
      </c>
      <c r="G241">
        <v>0</v>
      </c>
      <c r="H241">
        <f>13.1-F241-G241</f>
        <v>0.59999999999999964</v>
      </c>
      <c r="I241">
        <f t="shared" si="86"/>
        <v>0.59999999999999964</v>
      </c>
      <c r="J241">
        <f t="shared" si="87"/>
        <v>13.1</v>
      </c>
    </row>
    <row r="242" spans="1:18" x14ac:dyDescent="0.3">
      <c r="A242" t="s">
        <v>1</v>
      </c>
      <c r="B242" s="1">
        <v>45073</v>
      </c>
      <c r="C242" t="s">
        <v>7</v>
      </c>
      <c r="D242" t="s">
        <v>11</v>
      </c>
      <c r="E242">
        <v>7</v>
      </c>
      <c r="F242">
        <v>17</v>
      </c>
      <c r="G242">
        <v>0</v>
      </c>
      <c r="H242">
        <v>0</v>
      </c>
      <c r="I242">
        <f>H242+G242</f>
        <v>0</v>
      </c>
      <c r="J242">
        <f>I242+F242</f>
        <v>17</v>
      </c>
      <c r="K242">
        <f>J242-F243</f>
        <v>0.30000000000000071</v>
      </c>
      <c r="M242">
        <f t="shared" si="84"/>
        <v>0.98360655737704927</v>
      </c>
      <c r="N242">
        <v>1</v>
      </c>
      <c r="O242">
        <v>2.5</v>
      </c>
      <c r="P242">
        <f>O242*70</f>
        <v>175</v>
      </c>
    </row>
    <row r="243" spans="1:18" x14ac:dyDescent="0.3">
      <c r="A243" t="s">
        <v>2</v>
      </c>
      <c r="B243" s="1">
        <v>45074</v>
      </c>
      <c r="C243" t="s">
        <v>7</v>
      </c>
      <c r="D243" t="s">
        <v>11</v>
      </c>
      <c r="E243">
        <v>7</v>
      </c>
      <c r="F243">
        <v>16.7</v>
      </c>
      <c r="G243">
        <v>0</v>
      </c>
      <c r="H243">
        <v>0</v>
      </c>
      <c r="I243">
        <f t="shared" ref="I243:I282" si="101">H243+G243</f>
        <v>0</v>
      </c>
      <c r="J243">
        <f t="shared" ref="J243:J282" si="102">I243+F243</f>
        <v>16.7</v>
      </c>
      <c r="K243">
        <f t="shared" ref="K243:K279" si="103">J243-F244</f>
        <v>0.30000000000000071</v>
      </c>
      <c r="L243">
        <f>K242+K243</f>
        <v>0.60000000000000142</v>
      </c>
      <c r="M243">
        <f t="shared" si="84"/>
        <v>0.93442622950819665</v>
      </c>
      <c r="N243">
        <v>2</v>
      </c>
      <c r="O243">
        <f t="shared" ref="O243:O282" si="104">O242+G243</f>
        <v>2.5</v>
      </c>
      <c r="P243">
        <f t="shared" ref="P243:P282" si="105">O243*70</f>
        <v>175</v>
      </c>
      <c r="Q243">
        <f t="shared" ref="Q243:Q282" si="106">0.98-M243</f>
        <v>4.5573770491803334E-2</v>
      </c>
      <c r="R243">
        <f>Q242+Q243</f>
        <v>4.5573770491803334E-2</v>
      </c>
    </row>
    <row r="244" spans="1:18" x14ac:dyDescent="0.3">
      <c r="A244" t="s">
        <v>3</v>
      </c>
      <c r="B244" s="1">
        <v>45075</v>
      </c>
      <c r="C244" t="s">
        <v>7</v>
      </c>
      <c r="D244" t="s">
        <v>11</v>
      </c>
      <c r="E244">
        <v>7</v>
      </c>
      <c r="F244">
        <v>16.399999999999999</v>
      </c>
      <c r="G244">
        <v>0.25</v>
      </c>
      <c r="H244">
        <v>0</v>
      </c>
      <c r="I244">
        <f t="shared" si="101"/>
        <v>0.25</v>
      </c>
      <c r="J244">
        <f t="shared" si="102"/>
        <v>16.649999999999999</v>
      </c>
      <c r="K244">
        <f t="shared" si="103"/>
        <v>0.44999999999999929</v>
      </c>
      <c r="L244">
        <f>L243+K244</f>
        <v>1.0500000000000007</v>
      </c>
      <c r="M244">
        <f t="shared" si="84"/>
        <v>0.92622950819672112</v>
      </c>
      <c r="N244">
        <v>3</v>
      </c>
      <c r="O244">
        <f t="shared" si="104"/>
        <v>2.75</v>
      </c>
      <c r="P244">
        <f t="shared" si="105"/>
        <v>192.5</v>
      </c>
      <c r="Q244">
        <f t="shared" si="106"/>
        <v>5.3770491803278864E-2</v>
      </c>
      <c r="R244">
        <f>R243+Q244</f>
        <v>9.9344262295082197E-2</v>
      </c>
    </row>
    <row r="245" spans="1:18" x14ac:dyDescent="0.3">
      <c r="A245" t="s">
        <v>4</v>
      </c>
      <c r="B245" s="1">
        <v>45076</v>
      </c>
      <c r="C245" t="s">
        <v>7</v>
      </c>
      <c r="D245" t="s">
        <v>11</v>
      </c>
      <c r="E245">
        <v>7</v>
      </c>
      <c r="F245">
        <v>16.2</v>
      </c>
      <c r="G245">
        <v>0.25</v>
      </c>
      <c r="H245">
        <v>0</v>
      </c>
      <c r="I245">
        <f t="shared" si="101"/>
        <v>0.25</v>
      </c>
      <c r="J245">
        <f t="shared" si="102"/>
        <v>16.45</v>
      </c>
      <c r="K245">
        <f t="shared" si="103"/>
        <v>0.44999999999999929</v>
      </c>
      <c r="L245">
        <f t="shared" ref="L245:L265" si="107">L244+K245</f>
        <v>1.5</v>
      </c>
      <c r="M245">
        <f t="shared" si="84"/>
        <v>0.89344262295081955</v>
      </c>
      <c r="N245">
        <v>4</v>
      </c>
      <c r="O245">
        <f t="shared" si="104"/>
        <v>3</v>
      </c>
      <c r="P245">
        <f t="shared" si="105"/>
        <v>210</v>
      </c>
      <c r="Q245">
        <f t="shared" si="106"/>
        <v>8.6557377049180428E-2</v>
      </c>
      <c r="R245">
        <f t="shared" ref="R245:R268" si="108">R244+Q245</f>
        <v>0.18590163934426263</v>
      </c>
    </row>
    <row r="246" spans="1:18" x14ac:dyDescent="0.3">
      <c r="A246" t="s">
        <v>5</v>
      </c>
      <c r="B246" s="1">
        <v>45077</v>
      </c>
      <c r="C246" t="s">
        <v>7</v>
      </c>
      <c r="D246" t="s">
        <v>11</v>
      </c>
      <c r="E246">
        <v>7</v>
      </c>
      <c r="F246">
        <v>16</v>
      </c>
      <c r="G246">
        <v>0</v>
      </c>
      <c r="H246">
        <v>0</v>
      </c>
      <c r="I246">
        <f t="shared" si="101"/>
        <v>0</v>
      </c>
      <c r="J246">
        <f t="shared" si="102"/>
        <v>16</v>
      </c>
      <c r="K246">
        <f t="shared" si="103"/>
        <v>0.40000000000000036</v>
      </c>
      <c r="L246">
        <f t="shared" si="107"/>
        <v>1.9000000000000004</v>
      </c>
      <c r="M246">
        <f t="shared" si="84"/>
        <v>0.81967213114754101</v>
      </c>
      <c r="N246">
        <v>5</v>
      </c>
      <c r="O246">
        <f t="shared" si="104"/>
        <v>3</v>
      </c>
      <c r="P246">
        <f t="shared" si="105"/>
        <v>210</v>
      </c>
      <c r="Q246">
        <f t="shared" si="106"/>
        <v>0.16032786885245898</v>
      </c>
      <c r="R246">
        <f t="shared" si="108"/>
        <v>0.3462295081967216</v>
      </c>
    </row>
    <row r="247" spans="1:18" x14ac:dyDescent="0.3">
      <c r="A247" t="s">
        <v>6</v>
      </c>
      <c r="B247" s="1">
        <v>45078</v>
      </c>
      <c r="C247" t="s">
        <v>7</v>
      </c>
      <c r="D247" t="s">
        <v>11</v>
      </c>
      <c r="E247">
        <v>7</v>
      </c>
      <c r="F247">
        <v>15.6</v>
      </c>
      <c r="G247">
        <v>0.25</v>
      </c>
      <c r="H247">
        <v>0</v>
      </c>
      <c r="I247">
        <f t="shared" si="101"/>
        <v>0.25</v>
      </c>
      <c r="J247">
        <f t="shared" si="102"/>
        <v>15.85</v>
      </c>
      <c r="K247">
        <f t="shared" si="103"/>
        <v>0.25</v>
      </c>
      <c r="L247">
        <f t="shared" si="107"/>
        <v>2.1500000000000004</v>
      </c>
      <c r="M247">
        <f t="shared" si="84"/>
        <v>0.79508196721311475</v>
      </c>
      <c r="N247">
        <v>6</v>
      </c>
      <c r="O247">
        <f t="shared" si="104"/>
        <v>3.25</v>
      </c>
      <c r="P247">
        <f t="shared" si="105"/>
        <v>227.5</v>
      </c>
      <c r="Q247">
        <f t="shared" si="106"/>
        <v>0.18491803278688523</v>
      </c>
      <c r="R247">
        <f t="shared" si="108"/>
        <v>0.53114754098360684</v>
      </c>
    </row>
    <row r="248" spans="1:18" x14ac:dyDescent="0.3">
      <c r="A248" t="s">
        <v>0</v>
      </c>
      <c r="B248" s="1">
        <v>45079</v>
      </c>
      <c r="C248" t="s">
        <v>7</v>
      </c>
      <c r="D248" t="s">
        <v>11</v>
      </c>
      <c r="E248">
        <v>7</v>
      </c>
      <c r="F248">
        <v>15.6</v>
      </c>
      <c r="G248">
        <v>0.25</v>
      </c>
      <c r="H248">
        <v>0</v>
      </c>
      <c r="I248">
        <f t="shared" si="101"/>
        <v>0.25</v>
      </c>
      <c r="J248">
        <f t="shared" si="102"/>
        <v>15.85</v>
      </c>
      <c r="K248">
        <f t="shared" si="103"/>
        <v>4.9999999999998934E-2</v>
      </c>
      <c r="L248">
        <f t="shared" si="107"/>
        <v>2.1999999999999993</v>
      </c>
      <c r="M248">
        <f t="shared" si="84"/>
        <v>0.79508196721311475</v>
      </c>
      <c r="N248">
        <v>7</v>
      </c>
      <c r="O248">
        <f t="shared" si="104"/>
        <v>3.5</v>
      </c>
      <c r="P248">
        <f t="shared" si="105"/>
        <v>245</v>
      </c>
      <c r="Q248">
        <f t="shared" si="106"/>
        <v>0.18491803278688523</v>
      </c>
      <c r="R248">
        <f t="shared" si="108"/>
        <v>0.71606557377049207</v>
      </c>
    </row>
    <row r="249" spans="1:18" x14ac:dyDescent="0.3">
      <c r="A249" t="s">
        <v>1</v>
      </c>
      <c r="B249" s="1">
        <v>45080</v>
      </c>
      <c r="C249" t="s">
        <v>7</v>
      </c>
      <c r="D249" t="s">
        <v>11</v>
      </c>
      <c r="E249">
        <v>7</v>
      </c>
      <c r="F249">
        <v>15.8</v>
      </c>
      <c r="G249">
        <v>0</v>
      </c>
      <c r="H249">
        <v>0</v>
      </c>
      <c r="I249">
        <f t="shared" si="101"/>
        <v>0</v>
      </c>
      <c r="J249">
        <f t="shared" si="102"/>
        <v>15.8</v>
      </c>
      <c r="K249">
        <f t="shared" si="103"/>
        <v>0.40000000000000036</v>
      </c>
      <c r="L249">
        <f t="shared" si="107"/>
        <v>2.5999999999999996</v>
      </c>
      <c r="M249">
        <f t="shared" si="84"/>
        <v>0.78688524590163955</v>
      </c>
      <c r="N249">
        <v>8</v>
      </c>
      <c r="O249">
        <f t="shared" si="104"/>
        <v>3.5</v>
      </c>
      <c r="P249">
        <f t="shared" si="105"/>
        <v>245</v>
      </c>
      <c r="Q249">
        <f t="shared" si="106"/>
        <v>0.19311475409836043</v>
      </c>
      <c r="R249">
        <f t="shared" si="108"/>
        <v>0.9091803278688525</v>
      </c>
    </row>
    <row r="250" spans="1:18" x14ac:dyDescent="0.3">
      <c r="A250" t="s">
        <v>2</v>
      </c>
      <c r="B250" s="1">
        <v>45081</v>
      </c>
      <c r="C250" t="s">
        <v>7</v>
      </c>
      <c r="D250" t="s">
        <v>11</v>
      </c>
      <c r="E250">
        <v>7</v>
      </c>
      <c r="F250">
        <v>15.4</v>
      </c>
      <c r="G250">
        <v>0</v>
      </c>
      <c r="H250">
        <v>0</v>
      </c>
      <c r="I250">
        <f t="shared" si="101"/>
        <v>0</v>
      </c>
      <c r="J250">
        <f t="shared" si="102"/>
        <v>15.4</v>
      </c>
      <c r="K250">
        <f t="shared" si="103"/>
        <v>0.30000000000000071</v>
      </c>
      <c r="L250">
        <f t="shared" si="107"/>
        <v>2.9000000000000004</v>
      </c>
      <c r="M250">
        <f t="shared" si="84"/>
        <v>0.7213114754098362</v>
      </c>
      <c r="N250">
        <v>9</v>
      </c>
      <c r="O250">
        <f t="shared" si="104"/>
        <v>3.5</v>
      </c>
      <c r="P250">
        <f t="shared" si="105"/>
        <v>245</v>
      </c>
      <c r="Q250">
        <f t="shared" si="106"/>
        <v>0.25868852459016378</v>
      </c>
      <c r="R250">
        <f t="shared" si="108"/>
        <v>1.1678688524590162</v>
      </c>
    </row>
    <row r="251" spans="1:18" x14ac:dyDescent="0.3">
      <c r="A251" t="s">
        <v>3</v>
      </c>
      <c r="B251" s="1">
        <v>45082</v>
      </c>
      <c r="C251" t="s">
        <v>7</v>
      </c>
      <c r="D251" t="s">
        <v>11</v>
      </c>
      <c r="E251">
        <v>7</v>
      </c>
      <c r="F251">
        <v>15.1</v>
      </c>
      <c r="G251">
        <v>0.25</v>
      </c>
      <c r="H251">
        <v>0</v>
      </c>
      <c r="I251">
        <f t="shared" si="101"/>
        <v>0.25</v>
      </c>
      <c r="J251">
        <f t="shared" si="102"/>
        <v>15.35</v>
      </c>
      <c r="K251">
        <f t="shared" si="103"/>
        <v>0.25</v>
      </c>
      <c r="L251">
        <f t="shared" si="107"/>
        <v>3.1500000000000004</v>
      </c>
      <c r="M251">
        <f t="shared" si="84"/>
        <v>0.71311475409836067</v>
      </c>
      <c r="N251">
        <v>10</v>
      </c>
      <c r="O251">
        <f t="shared" si="104"/>
        <v>3.75</v>
      </c>
      <c r="P251">
        <f t="shared" si="105"/>
        <v>262.5</v>
      </c>
      <c r="Q251">
        <f t="shared" si="106"/>
        <v>0.26688524590163931</v>
      </c>
      <c r="R251">
        <f t="shared" si="108"/>
        <v>1.4347540983606555</v>
      </c>
    </row>
    <row r="252" spans="1:18" x14ac:dyDescent="0.3">
      <c r="A252" t="s">
        <v>4</v>
      </c>
      <c r="B252" s="1">
        <v>45083</v>
      </c>
      <c r="C252" t="s">
        <v>7</v>
      </c>
      <c r="D252" t="s">
        <v>11</v>
      </c>
      <c r="E252">
        <v>7</v>
      </c>
      <c r="F252">
        <v>15.1</v>
      </c>
      <c r="G252">
        <v>0.25</v>
      </c>
      <c r="H252">
        <v>0</v>
      </c>
      <c r="I252">
        <f t="shared" si="101"/>
        <v>0.25</v>
      </c>
      <c r="J252">
        <f t="shared" si="102"/>
        <v>15.35</v>
      </c>
      <c r="K252">
        <f t="shared" si="103"/>
        <v>0.44999999999999929</v>
      </c>
      <c r="L252">
        <f t="shared" si="107"/>
        <v>3.5999999999999996</v>
      </c>
      <c r="M252">
        <f t="shared" si="84"/>
        <v>0.71311475409836067</v>
      </c>
      <c r="N252">
        <v>11</v>
      </c>
      <c r="O252">
        <f t="shared" si="104"/>
        <v>4</v>
      </c>
      <c r="P252">
        <f t="shared" si="105"/>
        <v>280</v>
      </c>
      <c r="Q252">
        <f t="shared" si="106"/>
        <v>0.26688524590163931</v>
      </c>
      <c r="R252">
        <f t="shared" si="108"/>
        <v>1.7016393442622948</v>
      </c>
    </row>
    <row r="253" spans="1:18" x14ac:dyDescent="0.3">
      <c r="A253" t="s">
        <v>5</v>
      </c>
      <c r="B253" s="1">
        <v>45084</v>
      </c>
      <c r="C253" t="s">
        <v>7</v>
      </c>
      <c r="D253" t="s">
        <v>11</v>
      </c>
      <c r="E253">
        <v>7</v>
      </c>
      <c r="F253">
        <v>14.9</v>
      </c>
      <c r="G253">
        <v>0</v>
      </c>
      <c r="H253">
        <v>0</v>
      </c>
      <c r="I253">
        <f t="shared" si="101"/>
        <v>0</v>
      </c>
      <c r="J253">
        <f t="shared" si="102"/>
        <v>14.9</v>
      </c>
      <c r="K253">
        <f t="shared" si="103"/>
        <v>0.30000000000000071</v>
      </c>
      <c r="L253">
        <f t="shared" si="107"/>
        <v>3.9000000000000004</v>
      </c>
      <c r="M253">
        <f t="shared" si="84"/>
        <v>0.63934426229508201</v>
      </c>
      <c r="N253">
        <v>12</v>
      </c>
      <c r="O253">
        <f t="shared" si="104"/>
        <v>4</v>
      </c>
      <c r="P253">
        <f t="shared" si="105"/>
        <v>280</v>
      </c>
      <c r="Q253">
        <f t="shared" si="106"/>
        <v>0.34065573770491797</v>
      </c>
      <c r="R253">
        <f t="shared" si="108"/>
        <v>2.0422950819672128</v>
      </c>
    </row>
    <row r="254" spans="1:18" x14ac:dyDescent="0.3">
      <c r="A254" t="s">
        <v>6</v>
      </c>
      <c r="B254" s="1">
        <v>45085</v>
      </c>
      <c r="C254" t="s">
        <v>7</v>
      </c>
      <c r="D254" t="s">
        <v>11</v>
      </c>
      <c r="E254">
        <v>7</v>
      </c>
      <c r="F254">
        <v>14.6</v>
      </c>
      <c r="G254">
        <v>0.25</v>
      </c>
      <c r="H254">
        <v>0</v>
      </c>
      <c r="I254">
        <f t="shared" si="101"/>
        <v>0.25</v>
      </c>
      <c r="J254">
        <f t="shared" si="102"/>
        <v>14.85</v>
      </c>
      <c r="K254">
        <f t="shared" si="103"/>
        <v>0.44999999999999929</v>
      </c>
      <c r="L254">
        <f t="shared" si="107"/>
        <v>4.3499999999999996</v>
      </c>
      <c r="M254">
        <f t="shared" si="84"/>
        <v>0.63114754098360648</v>
      </c>
      <c r="N254">
        <v>13</v>
      </c>
      <c r="O254">
        <f t="shared" si="104"/>
        <v>4.25</v>
      </c>
      <c r="P254">
        <f t="shared" si="105"/>
        <v>297.5</v>
      </c>
      <c r="Q254">
        <f t="shared" si="106"/>
        <v>0.3488524590163935</v>
      </c>
      <c r="R254">
        <f t="shared" si="108"/>
        <v>2.3911475409836065</v>
      </c>
    </row>
    <row r="255" spans="1:18" x14ac:dyDescent="0.3">
      <c r="A255" t="s">
        <v>0</v>
      </c>
      <c r="B255" s="1">
        <v>45086</v>
      </c>
      <c r="C255" t="s">
        <v>7</v>
      </c>
      <c r="D255" t="s">
        <v>11</v>
      </c>
      <c r="E255">
        <v>7</v>
      </c>
      <c r="F255">
        <v>14.4</v>
      </c>
      <c r="G255">
        <v>0.25</v>
      </c>
      <c r="H255">
        <f t="shared" ref="H255:H260" si="109">14.7-F255-G255</f>
        <v>4.9999999999998934E-2</v>
      </c>
      <c r="I255">
        <f t="shared" si="101"/>
        <v>0.29999999999999893</v>
      </c>
      <c r="J255">
        <f t="shared" si="102"/>
        <v>14.7</v>
      </c>
      <c r="K255">
        <f t="shared" si="103"/>
        <v>0.5</v>
      </c>
      <c r="L255">
        <f t="shared" si="107"/>
        <v>4.8499999999999996</v>
      </c>
      <c r="M255">
        <f t="shared" si="84"/>
        <v>0.60655737704918022</v>
      </c>
      <c r="N255">
        <v>14</v>
      </c>
      <c r="O255">
        <f t="shared" si="104"/>
        <v>4.5</v>
      </c>
      <c r="P255">
        <f t="shared" si="105"/>
        <v>315</v>
      </c>
      <c r="Q255">
        <f t="shared" si="106"/>
        <v>0.37344262295081976</v>
      </c>
      <c r="R255">
        <f t="shared" si="108"/>
        <v>2.7645901639344261</v>
      </c>
    </row>
    <row r="256" spans="1:18" x14ac:dyDescent="0.3">
      <c r="A256" t="s">
        <v>1</v>
      </c>
      <c r="B256" s="1">
        <v>45087</v>
      </c>
      <c r="C256" t="s">
        <v>7</v>
      </c>
      <c r="D256" t="s">
        <v>11</v>
      </c>
      <c r="E256">
        <v>7</v>
      </c>
      <c r="F256">
        <v>14.2</v>
      </c>
      <c r="G256">
        <v>0</v>
      </c>
      <c r="H256">
        <f t="shared" si="109"/>
        <v>0.5</v>
      </c>
      <c r="I256">
        <f t="shared" si="101"/>
        <v>0.5</v>
      </c>
      <c r="J256">
        <f t="shared" si="102"/>
        <v>14.7</v>
      </c>
      <c r="K256">
        <f t="shared" si="103"/>
        <v>0.5</v>
      </c>
      <c r="L256">
        <f t="shared" si="107"/>
        <v>5.35</v>
      </c>
      <c r="M256">
        <f t="shared" si="84"/>
        <v>0.60655737704918022</v>
      </c>
      <c r="N256">
        <v>15</v>
      </c>
      <c r="O256">
        <f t="shared" si="104"/>
        <v>4.5</v>
      </c>
      <c r="P256">
        <f t="shared" si="105"/>
        <v>315</v>
      </c>
      <c r="Q256">
        <f t="shared" si="106"/>
        <v>0.37344262295081976</v>
      </c>
      <c r="R256">
        <f t="shared" si="108"/>
        <v>3.1380327868852458</v>
      </c>
    </row>
    <row r="257" spans="1:18" x14ac:dyDescent="0.3">
      <c r="A257" t="s">
        <v>2</v>
      </c>
      <c r="B257" s="1">
        <v>45088</v>
      </c>
      <c r="C257" t="s">
        <v>7</v>
      </c>
      <c r="D257" t="s">
        <v>11</v>
      </c>
      <c r="E257">
        <v>7</v>
      </c>
      <c r="F257">
        <v>14.2</v>
      </c>
      <c r="G257">
        <v>0</v>
      </c>
      <c r="H257">
        <f t="shared" si="109"/>
        <v>0.5</v>
      </c>
      <c r="I257">
        <f t="shared" si="101"/>
        <v>0.5</v>
      </c>
      <c r="J257">
        <f t="shared" si="102"/>
        <v>14.7</v>
      </c>
      <c r="K257">
        <f t="shared" si="103"/>
        <v>0.59999999999999964</v>
      </c>
      <c r="L257">
        <f t="shared" si="107"/>
        <v>5.9499999999999993</v>
      </c>
      <c r="M257">
        <f t="shared" si="84"/>
        <v>0.60655737704918022</v>
      </c>
      <c r="N257">
        <v>16</v>
      </c>
      <c r="O257">
        <f t="shared" si="104"/>
        <v>4.5</v>
      </c>
      <c r="P257">
        <f t="shared" si="105"/>
        <v>315</v>
      </c>
      <c r="Q257">
        <f t="shared" si="106"/>
        <v>0.37344262295081976</v>
      </c>
      <c r="R257">
        <f t="shared" si="108"/>
        <v>3.5114754098360654</v>
      </c>
    </row>
    <row r="258" spans="1:18" x14ac:dyDescent="0.3">
      <c r="A258" t="s">
        <v>3</v>
      </c>
      <c r="B258" s="1">
        <v>45089</v>
      </c>
      <c r="C258" t="s">
        <v>7</v>
      </c>
      <c r="D258" t="s">
        <v>11</v>
      </c>
      <c r="E258">
        <v>7</v>
      </c>
      <c r="F258">
        <v>14.1</v>
      </c>
      <c r="G258">
        <v>0.5</v>
      </c>
      <c r="H258">
        <f t="shared" si="109"/>
        <v>9.9999999999999645E-2</v>
      </c>
      <c r="I258">
        <f t="shared" si="101"/>
        <v>0.59999999999999964</v>
      </c>
      <c r="J258">
        <f t="shared" si="102"/>
        <v>14.7</v>
      </c>
      <c r="K258">
        <f t="shared" si="103"/>
        <v>0.59999999999999964</v>
      </c>
      <c r="L258">
        <f t="shared" si="107"/>
        <v>6.5499999999999989</v>
      </c>
      <c r="M258">
        <f t="shared" si="84"/>
        <v>0.60655737704918022</v>
      </c>
      <c r="N258">
        <v>17</v>
      </c>
      <c r="O258">
        <f t="shared" si="104"/>
        <v>5</v>
      </c>
      <c r="P258">
        <f t="shared" si="105"/>
        <v>350</v>
      </c>
      <c r="Q258">
        <f t="shared" si="106"/>
        <v>0.37344262295081976</v>
      </c>
      <c r="R258">
        <f t="shared" si="108"/>
        <v>3.8849180327868851</v>
      </c>
    </row>
    <row r="259" spans="1:18" x14ac:dyDescent="0.3">
      <c r="A259" t="s">
        <v>4</v>
      </c>
      <c r="B259" s="1">
        <v>45090</v>
      </c>
      <c r="C259" t="s">
        <v>7</v>
      </c>
      <c r="D259" t="s">
        <v>11</v>
      </c>
      <c r="E259">
        <v>7</v>
      </c>
      <c r="F259">
        <v>14.1</v>
      </c>
      <c r="G259">
        <v>0</v>
      </c>
      <c r="H259">
        <f t="shared" si="109"/>
        <v>0.59999999999999964</v>
      </c>
      <c r="I259">
        <f t="shared" si="101"/>
        <v>0.59999999999999964</v>
      </c>
      <c r="J259">
        <f t="shared" si="102"/>
        <v>14.7</v>
      </c>
      <c r="K259">
        <f t="shared" si="103"/>
        <v>0.59999999999999964</v>
      </c>
      <c r="L259">
        <f t="shared" si="107"/>
        <v>7.1499999999999986</v>
      </c>
      <c r="M259">
        <f t="shared" ref="M259:M321" si="110">(J259-11)/6.1</f>
        <v>0.60655737704918022</v>
      </c>
      <c r="N259">
        <v>18</v>
      </c>
      <c r="O259">
        <f t="shared" si="104"/>
        <v>5</v>
      </c>
      <c r="P259">
        <f t="shared" si="105"/>
        <v>350</v>
      </c>
      <c r="Q259">
        <f t="shared" si="106"/>
        <v>0.37344262295081976</v>
      </c>
      <c r="R259">
        <f t="shared" si="108"/>
        <v>4.2583606557377047</v>
      </c>
    </row>
    <row r="260" spans="1:18" x14ac:dyDescent="0.3">
      <c r="A260" t="s">
        <v>5</v>
      </c>
      <c r="B260" s="1">
        <v>45091</v>
      </c>
      <c r="C260" t="s">
        <v>7</v>
      </c>
      <c r="D260" t="s">
        <v>11</v>
      </c>
      <c r="E260">
        <v>7</v>
      </c>
      <c r="F260">
        <v>14.1</v>
      </c>
      <c r="G260">
        <v>0</v>
      </c>
      <c r="H260">
        <f t="shared" si="109"/>
        <v>0.59999999999999964</v>
      </c>
      <c r="I260">
        <f t="shared" si="101"/>
        <v>0.59999999999999964</v>
      </c>
      <c r="J260">
        <f t="shared" si="102"/>
        <v>14.7</v>
      </c>
      <c r="K260">
        <f t="shared" si="103"/>
        <v>0.89999999999999858</v>
      </c>
      <c r="L260">
        <f t="shared" si="107"/>
        <v>8.0499999999999972</v>
      </c>
      <c r="M260">
        <f t="shared" si="110"/>
        <v>0.60655737704918022</v>
      </c>
      <c r="N260">
        <v>19</v>
      </c>
      <c r="O260">
        <f t="shared" si="104"/>
        <v>5</v>
      </c>
      <c r="P260">
        <f t="shared" si="105"/>
        <v>350</v>
      </c>
      <c r="Q260">
        <f t="shared" si="106"/>
        <v>0.37344262295081976</v>
      </c>
      <c r="R260">
        <f t="shared" si="108"/>
        <v>4.6318032786885244</v>
      </c>
    </row>
    <row r="261" spans="1:18" x14ac:dyDescent="0.3">
      <c r="A261" t="s">
        <v>6</v>
      </c>
      <c r="B261" s="1">
        <v>45092</v>
      </c>
      <c r="C261" t="s">
        <v>7</v>
      </c>
      <c r="D261" t="s">
        <v>11</v>
      </c>
      <c r="E261">
        <v>7</v>
      </c>
      <c r="F261">
        <v>13.8</v>
      </c>
      <c r="G261">
        <v>0.5</v>
      </c>
      <c r="H261">
        <f>14.4-F261-G261</f>
        <v>9.9999999999999645E-2</v>
      </c>
      <c r="I261">
        <f t="shared" si="101"/>
        <v>0.59999999999999964</v>
      </c>
      <c r="J261">
        <f t="shared" si="102"/>
        <v>14.4</v>
      </c>
      <c r="K261">
        <f t="shared" si="103"/>
        <v>0.30000000000000071</v>
      </c>
      <c r="L261">
        <f t="shared" si="107"/>
        <v>8.3499999999999979</v>
      </c>
      <c r="M261">
        <f t="shared" si="110"/>
        <v>0.55737704918032793</v>
      </c>
      <c r="N261">
        <v>20</v>
      </c>
      <c r="O261">
        <f t="shared" si="104"/>
        <v>5.5</v>
      </c>
      <c r="P261">
        <f t="shared" si="105"/>
        <v>385</v>
      </c>
      <c r="Q261">
        <f t="shared" si="106"/>
        <v>0.42262295081967205</v>
      </c>
      <c r="R261">
        <f t="shared" si="108"/>
        <v>5.0544262295081968</v>
      </c>
    </row>
    <row r="262" spans="1:18" x14ac:dyDescent="0.3">
      <c r="A262" t="s">
        <v>0</v>
      </c>
      <c r="B262" s="1">
        <v>45093</v>
      </c>
      <c r="C262" t="s">
        <v>7</v>
      </c>
      <c r="D262" t="s">
        <v>11</v>
      </c>
      <c r="E262">
        <v>7</v>
      </c>
      <c r="F262">
        <v>14.1</v>
      </c>
      <c r="G262">
        <v>0</v>
      </c>
      <c r="H262">
        <f>14.4-F262-G262</f>
        <v>0.30000000000000071</v>
      </c>
      <c r="I262">
        <f t="shared" si="101"/>
        <v>0.30000000000000071</v>
      </c>
      <c r="J262">
        <f t="shared" si="102"/>
        <v>14.4</v>
      </c>
      <c r="K262">
        <f t="shared" si="103"/>
        <v>0.40000000000000036</v>
      </c>
      <c r="L262">
        <f t="shared" si="107"/>
        <v>8.7499999999999982</v>
      </c>
      <c r="M262">
        <f t="shared" si="110"/>
        <v>0.55737704918032793</v>
      </c>
      <c r="N262">
        <v>21</v>
      </c>
      <c r="O262">
        <f t="shared" si="104"/>
        <v>5.5</v>
      </c>
      <c r="P262">
        <f t="shared" si="105"/>
        <v>385</v>
      </c>
      <c r="Q262">
        <f t="shared" si="106"/>
        <v>0.42262295081967205</v>
      </c>
      <c r="R262">
        <f t="shared" si="108"/>
        <v>5.4770491803278691</v>
      </c>
    </row>
    <row r="263" spans="1:18" x14ac:dyDescent="0.3">
      <c r="A263" t="s">
        <v>1</v>
      </c>
      <c r="B263" s="1">
        <v>45094</v>
      </c>
      <c r="C263" t="s">
        <v>7</v>
      </c>
      <c r="D263" t="s">
        <v>11</v>
      </c>
      <c r="E263">
        <v>7</v>
      </c>
      <c r="F263">
        <v>14</v>
      </c>
      <c r="G263">
        <v>0</v>
      </c>
      <c r="H263">
        <f>14.4-F263-G263</f>
        <v>0.40000000000000036</v>
      </c>
      <c r="I263">
        <f t="shared" si="101"/>
        <v>0.40000000000000036</v>
      </c>
      <c r="J263">
        <f t="shared" si="102"/>
        <v>14.4</v>
      </c>
      <c r="K263">
        <f t="shared" si="103"/>
        <v>0.20000000000000107</v>
      </c>
      <c r="L263">
        <f t="shared" si="107"/>
        <v>8.9499999999999993</v>
      </c>
      <c r="M263">
        <f t="shared" si="110"/>
        <v>0.55737704918032793</v>
      </c>
      <c r="N263">
        <v>22</v>
      </c>
      <c r="O263">
        <f t="shared" si="104"/>
        <v>5.5</v>
      </c>
      <c r="P263">
        <f t="shared" si="105"/>
        <v>385</v>
      </c>
      <c r="Q263">
        <f t="shared" si="106"/>
        <v>0.42262295081967205</v>
      </c>
      <c r="R263">
        <f t="shared" si="108"/>
        <v>5.8996721311475415</v>
      </c>
    </row>
    <row r="264" spans="1:18" x14ac:dyDescent="0.3">
      <c r="A264" t="s">
        <v>2</v>
      </c>
      <c r="B264" s="1">
        <v>45095</v>
      </c>
      <c r="C264" t="s">
        <v>7</v>
      </c>
      <c r="D264" t="s">
        <v>11</v>
      </c>
      <c r="E264">
        <v>7</v>
      </c>
      <c r="F264">
        <v>14.2</v>
      </c>
      <c r="G264">
        <v>0</v>
      </c>
      <c r="H264">
        <f>14.4-F264-G264</f>
        <v>0.20000000000000107</v>
      </c>
      <c r="I264">
        <f t="shared" si="101"/>
        <v>0.20000000000000107</v>
      </c>
      <c r="J264">
        <f t="shared" si="102"/>
        <v>14.4</v>
      </c>
      <c r="K264">
        <f t="shared" si="103"/>
        <v>0.40000000000000036</v>
      </c>
      <c r="L264">
        <f t="shared" si="107"/>
        <v>9.35</v>
      </c>
      <c r="M264">
        <f t="shared" si="110"/>
        <v>0.55737704918032793</v>
      </c>
      <c r="N264">
        <v>23</v>
      </c>
      <c r="O264">
        <f t="shared" si="104"/>
        <v>5.5</v>
      </c>
      <c r="P264">
        <f t="shared" si="105"/>
        <v>385</v>
      </c>
      <c r="Q264">
        <f t="shared" si="106"/>
        <v>0.42262295081967205</v>
      </c>
      <c r="R264">
        <f t="shared" si="108"/>
        <v>6.3222950819672139</v>
      </c>
    </row>
    <row r="265" spans="1:18" x14ac:dyDescent="0.3">
      <c r="A265" t="s">
        <v>3</v>
      </c>
      <c r="B265" s="1">
        <v>45096</v>
      </c>
      <c r="C265" t="s">
        <v>7</v>
      </c>
      <c r="D265" t="s">
        <v>11</v>
      </c>
      <c r="E265">
        <v>7</v>
      </c>
      <c r="F265">
        <v>14</v>
      </c>
      <c r="G265">
        <v>0.5</v>
      </c>
      <c r="H265">
        <f t="shared" ref="H265" si="111">14.5-F265-G265</f>
        <v>0</v>
      </c>
      <c r="I265">
        <f t="shared" si="101"/>
        <v>0.5</v>
      </c>
      <c r="J265">
        <f t="shared" si="102"/>
        <v>14.5</v>
      </c>
      <c r="K265">
        <f t="shared" si="103"/>
        <v>0.40000000000000036</v>
      </c>
      <c r="L265">
        <f t="shared" si="107"/>
        <v>9.75</v>
      </c>
      <c r="M265">
        <f t="shared" si="110"/>
        <v>0.57377049180327877</v>
      </c>
      <c r="N265">
        <v>24</v>
      </c>
      <c r="O265">
        <f t="shared" si="104"/>
        <v>6</v>
      </c>
      <c r="P265">
        <f t="shared" si="105"/>
        <v>420</v>
      </c>
      <c r="Q265">
        <f t="shared" si="106"/>
        <v>0.40622950819672121</v>
      </c>
      <c r="R265">
        <f t="shared" si="108"/>
        <v>6.7285245901639348</v>
      </c>
    </row>
    <row r="266" spans="1:18" x14ac:dyDescent="0.3">
      <c r="A266" t="s">
        <v>4</v>
      </c>
      <c r="B266" s="1">
        <v>45097</v>
      </c>
      <c r="C266" t="s">
        <v>7</v>
      </c>
      <c r="D266" t="s">
        <v>11</v>
      </c>
      <c r="E266">
        <v>7</v>
      </c>
      <c r="F266">
        <v>14.1</v>
      </c>
      <c r="G266">
        <v>0</v>
      </c>
      <c r="H266">
        <v>0</v>
      </c>
      <c r="I266">
        <f t="shared" si="101"/>
        <v>0</v>
      </c>
      <c r="J266">
        <f t="shared" si="102"/>
        <v>14.1</v>
      </c>
      <c r="K266">
        <f t="shared" si="103"/>
        <v>0.29999999999999893</v>
      </c>
      <c r="L266">
        <f>L265+K266</f>
        <v>10.049999999999999</v>
      </c>
      <c r="M266">
        <f t="shared" si="110"/>
        <v>0.50819672131147542</v>
      </c>
      <c r="N266">
        <v>25</v>
      </c>
      <c r="O266">
        <f t="shared" si="104"/>
        <v>6</v>
      </c>
      <c r="P266">
        <f t="shared" si="105"/>
        <v>420</v>
      </c>
      <c r="Q266">
        <f t="shared" si="106"/>
        <v>0.47180327868852456</v>
      </c>
      <c r="R266">
        <f t="shared" si="108"/>
        <v>7.200327868852459</v>
      </c>
    </row>
    <row r="267" spans="1:18" x14ac:dyDescent="0.3">
      <c r="A267" t="s">
        <v>5</v>
      </c>
      <c r="B267" s="1">
        <v>45098</v>
      </c>
      <c r="C267" t="s">
        <v>7</v>
      </c>
      <c r="D267" t="s">
        <v>11</v>
      </c>
      <c r="E267">
        <v>7</v>
      </c>
      <c r="F267">
        <v>13.8</v>
      </c>
      <c r="G267">
        <v>0</v>
      </c>
      <c r="H267">
        <f>13.8-F267-G267</f>
        <v>0</v>
      </c>
      <c r="I267">
        <f t="shared" si="101"/>
        <v>0</v>
      </c>
      <c r="J267">
        <f t="shared" si="102"/>
        <v>13.8</v>
      </c>
      <c r="K267">
        <f t="shared" si="103"/>
        <v>0.5</v>
      </c>
      <c r="L267">
        <f t="shared" ref="L267:L279" si="112">L266+K267</f>
        <v>10.549999999999999</v>
      </c>
      <c r="M267">
        <f t="shared" si="110"/>
        <v>0.45901639344262307</v>
      </c>
      <c r="N267">
        <v>26</v>
      </c>
      <c r="O267">
        <f t="shared" si="104"/>
        <v>6</v>
      </c>
      <c r="P267">
        <f t="shared" si="105"/>
        <v>420</v>
      </c>
      <c r="Q267">
        <f t="shared" si="106"/>
        <v>0.52098360655737697</v>
      </c>
      <c r="R267">
        <f t="shared" si="108"/>
        <v>7.721311475409836</v>
      </c>
    </row>
    <row r="268" spans="1:18" x14ac:dyDescent="0.3">
      <c r="A268" t="s">
        <v>6</v>
      </c>
      <c r="B268" s="1">
        <v>45099</v>
      </c>
      <c r="C268" t="s">
        <v>7</v>
      </c>
      <c r="D268" t="s">
        <v>11</v>
      </c>
      <c r="E268">
        <v>7</v>
      </c>
      <c r="F268">
        <v>13.3</v>
      </c>
      <c r="G268">
        <v>0.5</v>
      </c>
      <c r="H268">
        <f>13.8-F268-G268</f>
        <v>0</v>
      </c>
      <c r="I268">
        <f t="shared" si="101"/>
        <v>0.5</v>
      </c>
      <c r="J268">
        <f t="shared" si="102"/>
        <v>13.8</v>
      </c>
      <c r="K268">
        <f t="shared" si="103"/>
        <v>0.40000000000000036</v>
      </c>
      <c r="L268">
        <f t="shared" si="112"/>
        <v>10.95</v>
      </c>
      <c r="M268">
        <f t="shared" si="110"/>
        <v>0.45901639344262307</v>
      </c>
      <c r="N268">
        <v>27</v>
      </c>
      <c r="O268">
        <f t="shared" si="104"/>
        <v>6.5</v>
      </c>
      <c r="P268">
        <f t="shared" si="105"/>
        <v>455</v>
      </c>
      <c r="Q268">
        <f t="shared" si="106"/>
        <v>0.52098360655737697</v>
      </c>
      <c r="R268">
        <f t="shared" si="108"/>
        <v>8.2422950819672138</v>
      </c>
    </row>
    <row r="269" spans="1:18" x14ac:dyDescent="0.3">
      <c r="A269" t="s">
        <v>0</v>
      </c>
      <c r="B269" s="1">
        <v>45100</v>
      </c>
      <c r="C269" t="s">
        <v>7</v>
      </c>
      <c r="D269" t="s">
        <v>11</v>
      </c>
      <c r="E269">
        <v>7</v>
      </c>
      <c r="F269">
        <v>13.4</v>
      </c>
      <c r="G269">
        <v>0</v>
      </c>
      <c r="H269">
        <f>13.8-F269-G269</f>
        <v>0.40000000000000036</v>
      </c>
      <c r="I269">
        <f t="shared" si="101"/>
        <v>0.40000000000000036</v>
      </c>
      <c r="J269">
        <f t="shared" si="102"/>
        <v>13.8</v>
      </c>
      <c r="K269">
        <f t="shared" si="103"/>
        <v>0.30000000000000071</v>
      </c>
      <c r="L269">
        <f t="shared" si="112"/>
        <v>11.25</v>
      </c>
      <c r="M269">
        <f t="shared" si="110"/>
        <v>0.45901639344262307</v>
      </c>
      <c r="N269">
        <v>28</v>
      </c>
      <c r="O269">
        <f t="shared" si="104"/>
        <v>6.5</v>
      </c>
      <c r="P269">
        <f t="shared" si="105"/>
        <v>455</v>
      </c>
      <c r="Q269">
        <f t="shared" si="106"/>
        <v>0.52098360655737697</v>
      </c>
      <c r="R269">
        <f>R268+Q269</f>
        <v>8.7632786885245899</v>
      </c>
    </row>
    <row r="270" spans="1:18" x14ac:dyDescent="0.3">
      <c r="A270" t="s">
        <v>1</v>
      </c>
      <c r="B270" s="1">
        <v>45101</v>
      </c>
      <c r="C270" t="s">
        <v>7</v>
      </c>
      <c r="D270" t="s">
        <v>11</v>
      </c>
      <c r="E270">
        <v>7</v>
      </c>
      <c r="F270">
        <v>13.5</v>
      </c>
      <c r="G270">
        <v>0</v>
      </c>
      <c r="H270">
        <f>13.5-F270-G270</f>
        <v>0</v>
      </c>
      <c r="I270">
        <f t="shared" si="101"/>
        <v>0</v>
      </c>
      <c r="J270">
        <f t="shared" si="102"/>
        <v>13.5</v>
      </c>
      <c r="K270">
        <f t="shared" si="103"/>
        <v>0.19999999999999929</v>
      </c>
      <c r="L270">
        <f t="shared" si="112"/>
        <v>11.45</v>
      </c>
      <c r="M270">
        <f t="shared" si="110"/>
        <v>0.4098360655737705</v>
      </c>
      <c r="N270">
        <v>29</v>
      </c>
      <c r="O270">
        <f t="shared" si="104"/>
        <v>6.5</v>
      </c>
      <c r="P270">
        <f t="shared" si="105"/>
        <v>455</v>
      </c>
      <c r="Q270">
        <f t="shared" si="106"/>
        <v>0.57016393442622948</v>
      </c>
      <c r="R270">
        <f t="shared" ref="R270:R279" si="113">R269+Q270</f>
        <v>9.3334426229508196</v>
      </c>
    </row>
    <row r="271" spans="1:18" x14ac:dyDescent="0.3">
      <c r="A271" t="s">
        <v>2</v>
      </c>
      <c r="B271" s="1">
        <v>45102</v>
      </c>
      <c r="C271" t="s">
        <v>7</v>
      </c>
      <c r="D271" t="s">
        <v>11</v>
      </c>
      <c r="E271">
        <v>7</v>
      </c>
      <c r="F271">
        <v>13.3</v>
      </c>
      <c r="G271">
        <v>0</v>
      </c>
      <c r="H271">
        <f>13.5-F271-G271</f>
        <v>0.19999999999999929</v>
      </c>
      <c r="I271">
        <f t="shared" si="101"/>
        <v>0.19999999999999929</v>
      </c>
      <c r="J271">
        <f t="shared" si="102"/>
        <v>13.5</v>
      </c>
      <c r="K271">
        <f t="shared" si="103"/>
        <v>0.40000000000000036</v>
      </c>
      <c r="L271">
        <f t="shared" si="112"/>
        <v>11.85</v>
      </c>
      <c r="M271">
        <f t="shared" si="110"/>
        <v>0.4098360655737705</v>
      </c>
      <c r="N271">
        <v>30</v>
      </c>
      <c r="O271">
        <f t="shared" si="104"/>
        <v>6.5</v>
      </c>
      <c r="P271">
        <f t="shared" si="105"/>
        <v>455</v>
      </c>
      <c r="Q271">
        <f t="shared" si="106"/>
        <v>0.57016393442622948</v>
      </c>
      <c r="R271">
        <f t="shared" si="113"/>
        <v>9.9036065573770493</v>
      </c>
    </row>
    <row r="272" spans="1:18" x14ac:dyDescent="0.3">
      <c r="A272" t="s">
        <v>3</v>
      </c>
      <c r="B272" s="1">
        <v>45103</v>
      </c>
      <c r="C272" t="s">
        <v>7</v>
      </c>
      <c r="D272" t="s">
        <v>11</v>
      </c>
      <c r="E272">
        <v>7</v>
      </c>
      <c r="F272">
        <v>13.1</v>
      </c>
      <c r="G272">
        <v>0.5</v>
      </c>
      <c r="H272">
        <v>0</v>
      </c>
      <c r="I272">
        <f t="shared" si="101"/>
        <v>0.5</v>
      </c>
      <c r="J272">
        <f t="shared" si="102"/>
        <v>13.6</v>
      </c>
      <c r="K272">
        <f t="shared" si="103"/>
        <v>0.29999999999999893</v>
      </c>
      <c r="L272">
        <f t="shared" si="112"/>
        <v>12.149999999999999</v>
      </c>
      <c r="M272">
        <f t="shared" si="110"/>
        <v>0.42622950819672129</v>
      </c>
      <c r="N272">
        <v>31</v>
      </c>
      <c r="O272">
        <f t="shared" si="104"/>
        <v>7</v>
      </c>
      <c r="P272">
        <f t="shared" si="105"/>
        <v>490</v>
      </c>
      <c r="Q272">
        <f t="shared" si="106"/>
        <v>0.55377049180327864</v>
      </c>
      <c r="R272">
        <f t="shared" si="113"/>
        <v>10.457377049180328</v>
      </c>
    </row>
    <row r="273" spans="1:18" x14ac:dyDescent="0.3">
      <c r="A273" t="s">
        <v>4</v>
      </c>
      <c r="B273" s="1">
        <v>45104</v>
      </c>
      <c r="C273" t="s">
        <v>7</v>
      </c>
      <c r="D273" t="s">
        <v>11</v>
      </c>
      <c r="E273">
        <v>7</v>
      </c>
      <c r="F273">
        <v>13.3</v>
      </c>
      <c r="G273">
        <v>0</v>
      </c>
      <c r="H273">
        <f>13.5-F273-G273</f>
        <v>0.19999999999999929</v>
      </c>
      <c r="I273">
        <f t="shared" si="101"/>
        <v>0.19999999999999929</v>
      </c>
      <c r="J273">
        <f t="shared" si="102"/>
        <v>13.5</v>
      </c>
      <c r="K273">
        <f t="shared" si="103"/>
        <v>0.5</v>
      </c>
      <c r="L273">
        <f t="shared" si="112"/>
        <v>12.649999999999999</v>
      </c>
      <c r="M273">
        <f t="shared" si="110"/>
        <v>0.4098360655737705</v>
      </c>
      <c r="N273">
        <v>32</v>
      </c>
      <c r="O273">
        <f t="shared" si="104"/>
        <v>7</v>
      </c>
      <c r="P273">
        <f t="shared" si="105"/>
        <v>490</v>
      </c>
      <c r="Q273">
        <f t="shared" si="106"/>
        <v>0.57016393442622948</v>
      </c>
      <c r="R273">
        <f t="shared" si="113"/>
        <v>11.027540983606558</v>
      </c>
    </row>
    <row r="274" spans="1:18" x14ac:dyDescent="0.3">
      <c r="A274" t="s">
        <v>5</v>
      </c>
      <c r="B274" s="1">
        <v>45105</v>
      </c>
      <c r="C274" t="s">
        <v>7</v>
      </c>
      <c r="D274" t="s">
        <v>11</v>
      </c>
      <c r="E274">
        <v>7</v>
      </c>
      <c r="F274">
        <v>13</v>
      </c>
      <c r="G274">
        <v>0</v>
      </c>
      <c r="H274">
        <f>13.5-F274-G274</f>
        <v>0.5</v>
      </c>
      <c r="I274">
        <f t="shared" si="101"/>
        <v>0.5</v>
      </c>
      <c r="J274">
        <f t="shared" si="102"/>
        <v>13.5</v>
      </c>
      <c r="K274">
        <f t="shared" si="103"/>
        <v>0.19999999999999929</v>
      </c>
      <c r="L274">
        <f t="shared" si="112"/>
        <v>12.849999999999998</v>
      </c>
      <c r="M274">
        <f t="shared" si="110"/>
        <v>0.4098360655737705</v>
      </c>
      <c r="N274">
        <v>33</v>
      </c>
      <c r="O274">
        <f t="shared" si="104"/>
        <v>7</v>
      </c>
      <c r="P274">
        <f t="shared" si="105"/>
        <v>490</v>
      </c>
      <c r="Q274">
        <f t="shared" si="106"/>
        <v>0.57016393442622948</v>
      </c>
      <c r="R274">
        <f t="shared" si="113"/>
        <v>11.597704918032788</v>
      </c>
    </row>
    <row r="275" spans="1:18" x14ac:dyDescent="0.3">
      <c r="A275" t="s">
        <v>6</v>
      </c>
      <c r="B275" s="1">
        <v>45106</v>
      </c>
      <c r="C275" t="s">
        <v>7</v>
      </c>
      <c r="D275" t="s">
        <v>11</v>
      </c>
      <c r="E275">
        <v>7</v>
      </c>
      <c r="F275">
        <v>13.3</v>
      </c>
      <c r="G275">
        <v>0.5</v>
      </c>
      <c r="H275">
        <f t="shared" ref="H275:H278" si="114">13.5-F275-G275</f>
        <v>-0.30000000000000071</v>
      </c>
      <c r="I275">
        <f t="shared" si="101"/>
        <v>0.19999999999999929</v>
      </c>
      <c r="J275">
        <f t="shared" si="102"/>
        <v>13.5</v>
      </c>
      <c r="K275">
        <f t="shared" si="103"/>
        <v>9.9999999999999645E-2</v>
      </c>
      <c r="L275">
        <f t="shared" si="112"/>
        <v>12.949999999999998</v>
      </c>
      <c r="M275">
        <f t="shared" si="110"/>
        <v>0.4098360655737705</v>
      </c>
      <c r="N275">
        <v>34</v>
      </c>
      <c r="O275">
        <f t="shared" si="104"/>
        <v>7.5</v>
      </c>
      <c r="P275">
        <f t="shared" si="105"/>
        <v>525</v>
      </c>
      <c r="Q275">
        <f t="shared" si="106"/>
        <v>0.57016393442622948</v>
      </c>
      <c r="R275">
        <f t="shared" si="113"/>
        <v>12.167868852459018</v>
      </c>
    </row>
    <row r="276" spans="1:18" x14ac:dyDescent="0.3">
      <c r="A276" t="s">
        <v>0</v>
      </c>
      <c r="B276" s="1">
        <v>45107</v>
      </c>
      <c r="C276" t="s">
        <v>7</v>
      </c>
      <c r="D276" t="s">
        <v>11</v>
      </c>
      <c r="E276">
        <v>7</v>
      </c>
      <c r="F276">
        <v>13.4</v>
      </c>
      <c r="G276">
        <v>0</v>
      </c>
      <c r="H276">
        <f t="shared" si="114"/>
        <v>9.9999999999999645E-2</v>
      </c>
      <c r="I276">
        <f t="shared" si="101"/>
        <v>9.9999999999999645E-2</v>
      </c>
      <c r="J276">
        <f t="shared" si="102"/>
        <v>13.5</v>
      </c>
      <c r="K276">
        <f t="shared" si="103"/>
        <v>0.30000000000000071</v>
      </c>
      <c r="L276">
        <f t="shared" si="112"/>
        <v>13.249999999999998</v>
      </c>
      <c r="M276">
        <f t="shared" si="110"/>
        <v>0.4098360655737705</v>
      </c>
      <c r="N276">
        <v>35</v>
      </c>
      <c r="O276">
        <f t="shared" si="104"/>
        <v>7.5</v>
      </c>
      <c r="P276">
        <f t="shared" si="105"/>
        <v>525</v>
      </c>
      <c r="Q276">
        <f t="shared" si="106"/>
        <v>0.57016393442622948</v>
      </c>
      <c r="R276">
        <f t="shared" si="113"/>
        <v>12.738032786885247</v>
      </c>
    </row>
    <row r="277" spans="1:18" x14ac:dyDescent="0.3">
      <c r="A277" t="s">
        <v>1</v>
      </c>
      <c r="B277" s="1">
        <v>45108</v>
      </c>
      <c r="C277" t="s">
        <v>7</v>
      </c>
      <c r="D277" t="s">
        <v>11</v>
      </c>
      <c r="E277">
        <v>7</v>
      </c>
      <c r="F277">
        <v>13.2</v>
      </c>
      <c r="G277">
        <v>0</v>
      </c>
      <c r="H277">
        <f t="shared" si="114"/>
        <v>0.30000000000000071</v>
      </c>
      <c r="I277">
        <f t="shared" si="101"/>
        <v>0.30000000000000071</v>
      </c>
      <c r="J277">
        <f t="shared" si="102"/>
        <v>13.5</v>
      </c>
      <c r="K277">
        <f t="shared" si="103"/>
        <v>0.40000000000000036</v>
      </c>
      <c r="L277">
        <f t="shared" si="112"/>
        <v>13.649999999999999</v>
      </c>
      <c r="M277">
        <f t="shared" si="110"/>
        <v>0.4098360655737705</v>
      </c>
      <c r="N277">
        <v>36</v>
      </c>
      <c r="O277">
        <f t="shared" si="104"/>
        <v>7.5</v>
      </c>
      <c r="P277">
        <f t="shared" si="105"/>
        <v>525</v>
      </c>
      <c r="Q277">
        <f t="shared" si="106"/>
        <v>0.57016393442622948</v>
      </c>
      <c r="R277">
        <f t="shared" si="113"/>
        <v>13.308196721311477</v>
      </c>
    </row>
    <row r="278" spans="1:18" x14ac:dyDescent="0.3">
      <c r="A278" t="s">
        <v>2</v>
      </c>
      <c r="B278" s="1">
        <v>45109</v>
      </c>
      <c r="C278" t="s">
        <v>7</v>
      </c>
      <c r="D278" t="s">
        <v>11</v>
      </c>
      <c r="E278">
        <v>7</v>
      </c>
      <c r="F278">
        <v>13.1</v>
      </c>
      <c r="G278">
        <v>0</v>
      </c>
      <c r="H278">
        <f t="shared" si="114"/>
        <v>0.40000000000000036</v>
      </c>
      <c r="I278">
        <f t="shared" si="101"/>
        <v>0.40000000000000036</v>
      </c>
      <c r="J278">
        <f t="shared" si="102"/>
        <v>13.5</v>
      </c>
      <c r="K278">
        <f t="shared" si="103"/>
        <v>0.59999999999999964</v>
      </c>
      <c r="L278">
        <f t="shared" si="112"/>
        <v>14.249999999999998</v>
      </c>
      <c r="M278">
        <f t="shared" si="110"/>
        <v>0.4098360655737705</v>
      </c>
      <c r="N278">
        <v>37</v>
      </c>
      <c r="O278">
        <f t="shared" si="104"/>
        <v>7.5</v>
      </c>
      <c r="P278">
        <f t="shared" si="105"/>
        <v>525</v>
      </c>
      <c r="Q278">
        <f t="shared" si="106"/>
        <v>0.57016393442622948</v>
      </c>
      <c r="R278">
        <f t="shared" si="113"/>
        <v>13.878360655737707</v>
      </c>
    </row>
    <row r="279" spans="1:18" x14ac:dyDescent="0.3">
      <c r="A279" t="s">
        <v>3</v>
      </c>
      <c r="B279" s="1">
        <v>45110</v>
      </c>
      <c r="C279" t="s">
        <v>7</v>
      </c>
      <c r="D279" t="s">
        <v>11</v>
      </c>
      <c r="E279">
        <v>7</v>
      </c>
      <c r="F279">
        <v>12.9</v>
      </c>
      <c r="G279">
        <v>0.5</v>
      </c>
      <c r="H279">
        <f>13.5-F279-G279</f>
        <v>9.9999999999999645E-2</v>
      </c>
      <c r="I279">
        <f t="shared" si="101"/>
        <v>0.59999999999999964</v>
      </c>
      <c r="J279">
        <f t="shared" si="102"/>
        <v>13.5</v>
      </c>
      <c r="K279">
        <f t="shared" si="103"/>
        <v>0.59999999999999964</v>
      </c>
      <c r="L279">
        <f t="shared" si="112"/>
        <v>14.849999999999998</v>
      </c>
      <c r="M279">
        <f t="shared" si="110"/>
        <v>0.4098360655737705</v>
      </c>
      <c r="N279">
        <v>38</v>
      </c>
      <c r="O279">
        <f t="shared" si="104"/>
        <v>8</v>
      </c>
      <c r="P279">
        <f t="shared" si="105"/>
        <v>560</v>
      </c>
      <c r="Q279">
        <f t="shared" si="106"/>
        <v>0.57016393442622948</v>
      </c>
      <c r="R279">
        <f t="shared" si="113"/>
        <v>14.448524590163936</v>
      </c>
    </row>
    <row r="280" spans="1:18" x14ac:dyDescent="0.3">
      <c r="A280" t="s">
        <v>4</v>
      </c>
      <c r="B280" s="1">
        <v>45111</v>
      </c>
      <c r="C280" t="s">
        <v>7</v>
      </c>
      <c r="D280" t="s">
        <v>11</v>
      </c>
      <c r="E280">
        <v>7</v>
      </c>
      <c r="F280">
        <v>12.9</v>
      </c>
      <c r="G280">
        <v>0</v>
      </c>
      <c r="H280">
        <f>13.5-F280-G280</f>
        <v>0.59999999999999964</v>
      </c>
      <c r="I280">
        <f t="shared" si="101"/>
        <v>0.59999999999999964</v>
      </c>
      <c r="J280">
        <f t="shared" si="102"/>
        <v>13.5</v>
      </c>
      <c r="K280">
        <f t="shared" ref="K280:K282" si="115">J280-F281</f>
        <v>0.69999999999999929</v>
      </c>
      <c r="L280">
        <f t="shared" ref="L280:L282" si="116">L279+K280</f>
        <v>15.549999999999997</v>
      </c>
      <c r="M280">
        <f t="shared" si="110"/>
        <v>0.4098360655737705</v>
      </c>
      <c r="N280">
        <v>39</v>
      </c>
      <c r="O280">
        <f t="shared" si="104"/>
        <v>8</v>
      </c>
      <c r="P280">
        <f t="shared" si="105"/>
        <v>560</v>
      </c>
      <c r="Q280">
        <f t="shared" si="106"/>
        <v>0.57016393442622948</v>
      </c>
      <c r="R280">
        <f t="shared" ref="R280:R282" si="117">R279+Q280</f>
        <v>15.018688524590166</v>
      </c>
    </row>
    <row r="281" spans="1:18" x14ac:dyDescent="0.3">
      <c r="A281" t="s">
        <v>5</v>
      </c>
      <c r="B281" s="1">
        <v>45112</v>
      </c>
      <c r="C281" t="s">
        <v>7</v>
      </c>
      <c r="D281" t="s">
        <v>11</v>
      </c>
      <c r="E281">
        <v>7</v>
      </c>
      <c r="F281">
        <v>12.8</v>
      </c>
      <c r="G281">
        <v>0</v>
      </c>
      <c r="H281">
        <f>13.1-F281-G281</f>
        <v>0.29999999999999893</v>
      </c>
      <c r="I281">
        <f t="shared" si="101"/>
        <v>0.29999999999999893</v>
      </c>
      <c r="J281">
        <f t="shared" si="102"/>
        <v>13.1</v>
      </c>
      <c r="K281">
        <f t="shared" si="115"/>
        <v>0.59999999999999964</v>
      </c>
      <c r="L281">
        <f t="shared" si="116"/>
        <v>16.149999999999999</v>
      </c>
      <c r="M281">
        <f t="shared" si="110"/>
        <v>0.34426229508196715</v>
      </c>
      <c r="N281">
        <v>40</v>
      </c>
      <c r="O281">
        <f t="shared" si="104"/>
        <v>8</v>
      </c>
      <c r="P281">
        <f t="shared" si="105"/>
        <v>560</v>
      </c>
      <c r="Q281">
        <f t="shared" si="106"/>
        <v>0.63573770491803283</v>
      </c>
      <c r="R281">
        <f t="shared" si="117"/>
        <v>15.654426229508198</v>
      </c>
    </row>
    <row r="282" spans="1:18" x14ac:dyDescent="0.3">
      <c r="A282" t="s">
        <v>6</v>
      </c>
      <c r="B282" s="1">
        <v>45113</v>
      </c>
      <c r="C282" t="s">
        <v>7</v>
      </c>
      <c r="D282" t="s">
        <v>11</v>
      </c>
      <c r="E282">
        <v>7</v>
      </c>
      <c r="F282">
        <v>12.5</v>
      </c>
      <c r="G282">
        <v>0</v>
      </c>
      <c r="H282">
        <f>13.1-F282-G282</f>
        <v>0.59999999999999964</v>
      </c>
      <c r="I282">
        <f t="shared" si="101"/>
        <v>0.59999999999999964</v>
      </c>
      <c r="J282">
        <f t="shared" si="102"/>
        <v>13.1</v>
      </c>
      <c r="K282">
        <f t="shared" si="115"/>
        <v>1</v>
      </c>
      <c r="L282">
        <f t="shared" si="116"/>
        <v>17.149999999999999</v>
      </c>
      <c r="M282">
        <f t="shared" si="110"/>
        <v>0.34426229508196715</v>
      </c>
      <c r="N282">
        <v>41</v>
      </c>
      <c r="O282">
        <f t="shared" si="104"/>
        <v>8</v>
      </c>
      <c r="P282">
        <f t="shared" si="105"/>
        <v>560</v>
      </c>
      <c r="Q282">
        <f t="shared" si="106"/>
        <v>0.63573770491803283</v>
      </c>
      <c r="R282">
        <f t="shared" si="117"/>
        <v>16.290163934426232</v>
      </c>
    </row>
    <row r="283" spans="1:18" x14ac:dyDescent="0.3">
      <c r="A283" t="s">
        <v>0</v>
      </c>
      <c r="B283" s="1">
        <v>45114</v>
      </c>
      <c r="C283" t="s">
        <v>7</v>
      </c>
      <c r="D283" t="s">
        <v>11</v>
      </c>
      <c r="E283">
        <v>7</v>
      </c>
      <c r="F283">
        <v>12.1</v>
      </c>
    </row>
    <row r="284" spans="1:18" x14ac:dyDescent="0.3">
      <c r="A284" t="s">
        <v>1</v>
      </c>
      <c r="B284" s="1">
        <v>45073</v>
      </c>
      <c r="C284" t="s">
        <v>7</v>
      </c>
      <c r="D284" t="s">
        <v>11</v>
      </c>
      <c r="E284">
        <v>8</v>
      </c>
      <c r="F284">
        <v>17</v>
      </c>
      <c r="G284">
        <v>0</v>
      </c>
      <c r="H284">
        <v>0</v>
      </c>
      <c r="I284">
        <f>H284+G284</f>
        <v>0</v>
      </c>
      <c r="J284">
        <f>I284+F284</f>
        <v>17</v>
      </c>
      <c r="K284">
        <f>J284-F285</f>
        <v>0.5</v>
      </c>
      <c r="M284">
        <f t="shared" si="110"/>
        <v>0.98360655737704927</v>
      </c>
      <c r="N284">
        <v>1</v>
      </c>
      <c r="O284">
        <v>2.5</v>
      </c>
      <c r="P284">
        <f>O284*70</f>
        <v>175</v>
      </c>
    </row>
    <row r="285" spans="1:18" x14ac:dyDescent="0.3">
      <c r="A285" t="s">
        <v>2</v>
      </c>
      <c r="B285" s="1">
        <v>45074</v>
      </c>
      <c r="C285" t="s">
        <v>7</v>
      </c>
      <c r="D285" t="s">
        <v>11</v>
      </c>
      <c r="E285">
        <v>8</v>
      </c>
      <c r="F285">
        <v>16.5</v>
      </c>
      <c r="G285">
        <v>0</v>
      </c>
      <c r="H285">
        <v>0</v>
      </c>
      <c r="I285">
        <f t="shared" ref="I285:I322" si="118">H285+G285</f>
        <v>0</v>
      </c>
      <c r="J285">
        <f t="shared" ref="J285:J322" si="119">I285+F285</f>
        <v>16.5</v>
      </c>
      <c r="K285">
        <f t="shared" ref="K285:K321" si="120">J285-F286</f>
        <v>0.39999999999999858</v>
      </c>
      <c r="L285">
        <f>K284+K285</f>
        <v>0.89999999999999858</v>
      </c>
      <c r="M285">
        <f t="shared" si="110"/>
        <v>0.90163934426229508</v>
      </c>
      <c r="N285">
        <v>2</v>
      </c>
      <c r="O285">
        <f t="shared" ref="O285:O321" si="121">O284+G285</f>
        <v>2.5</v>
      </c>
      <c r="P285">
        <f t="shared" ref="P285:P321" si="122">O285*70</f>
        <v>175</v>
      </c>
      <c r="Q285">
        <f t="shared" ref="Q285:Q321" si="123">0.98-M285</f>
        <v>7.8360655737704898E-2</v>
      </c>
      <c r="R285">
        <f>Q284+Q285</f>
        <v>7.8360655737704898E-2</v>
      </c>
    </row>
    <row r="286" spans="1:18" x14ac:dyDescent="0.3">
      <c r="A286" t="s">
        <v>3</v>
      </c>
      <c r="B286" s="1">
        <v>45075</v>
      </c>
      <c r="C286" t="s">
        <v>7</v>
      </c>
      <c r="D286" t="s">
        <v>11</v>
      </c>
      <c r="E286">
        <v>8</v>
      </c>
      <c r="F286">
        <v>16.100000000000001</v>
      </c>
      <c r="G286">
        <v>0.25</v>
      </c>
      <c r="H286">
        <v>0</v>
      </c>
      <c r="I286">
        <f t="shared" si="118"/>
        <v>0.25</v>
      </c>
      <c r="J286">
        <f t="shared" si="119"/>
        <v>16.350000000000001</v>
      </c>
      <c r="K286">
        <f t="shared" si="120"/>
        <v>0.55000000000000071</v>
      </c>
      <c r="L286">
        <f>L285+K286</f>
        <v>1.4499999999999993</v>
      </c>
      <c r="M286">
        <f t="shared" si="110"/>
        <v>0.87704918032786916</v>
      </c>
      <c r="N286">
        <v>3</v>
      </c>
      <c r="O286">
        <f t="shared" si="121"/>
        <v>2.75</v>
      </c>
      <c r="P286">
        <f t="shared" si="122"/>
        <v>192.5</v>
      </c>
      <c r="Q286">
        <f t="shared" si="123"/>
        <v>0.10295081967213082</v>
      </c>
      <c r="R286">
        <f>R285+Q286</f>
        <v>0.18131147540983572</v>
      </c>
    </row>
    <row r="287" spans="1:18" x14ac:dyDescent="0.3">
      <c r="A287" t="s">
        <v>4</v>
      </c>
      <c r="B287" s="1">
        <v>45076</v>
      </c>
      <c r="C287" t="s">
        <v>7</v>
      </c>
      <c r="D287" t="s">
        <v>11</v>
      </c>
      <c r="E287">
        <v>8</v>
      </c>
      <c r="F287">
        <v>15.8</v>
      </c>
      <c r="G287">
        <v>0.25</v>
      </c>
      <c r="H287">
        <v>0</v>
      </c>
      <c r="I287">
        <f t="shared" si="118"/>
        <v>0.25</v>
      </c>
      <c r="J287">
        <f t="shared" si="119"/>
        <v>16.05</v>
      </c>
      <c r="K287">
        <f t="shared" si="120"/>
        <v>0.75</v>
      </c>
      <c r="L287">
        <f t="shared" ref="L287:L307" si="124">L286+K287</f>
        <v>2.1999999999999993</v>
      </c>
      <c r="M287">
        <f t="shared" si="110"/>
        <v>0.82786885245901654</v>
      </c>
      <c r="N287">
        <v>4</v>
      </c>
      <c r="O287">
        <f t="shared" si="121"/>
        <v>3</v>
      </c>
      <c r="P287">
        <f t="shared" si="122"/>
        <v>210</v>
      </c>
      <c r="Q287">
        <f t="shared" si="123"/>
        <v>0.15213114754098345</v>
      </c>
      <c r="R287">
        <f t="shared" ref="R287:R310" si="125">R286+Q287</f>
        <v>0.33344262295081917</v>
      </c>
    </row>
    <row r="288" spans="1:18" x14ac:dyDescent="0.3">
      <c r="A288" t="s">
        <v>5</v>
      </c>
      <c r="B288" s="1">
        <v>45077</v>
      </c>
      <c r="C288" t="s">
        <v>7</v>
      </c>
      <c r="D288" t="s">
        <v>11</v>
      </c>
      <c r="E288">
        <v>8</v>
      </c>
      <c r="F288">
        <v>15.3</v>
      </c>
      <c r="G288">
        <v>0</v>
      </c>
      <c r="H288">
        <v>0</v>
      </c>
      <c r="I288">
        <f t="shared" si="118"/>
        <v>0</v>
      </c>
      <c r="J288">
        <f t="shared" si="119"/>
        <v>15.3</v>
      </c>
      <c r="K288">
        <f t="shared" si="120"/>
        <v>0.40000000000000036</v>
      </c>
      <c r="L288">
        <f t="shared" si="124"/>
        <v>2.5999999999999996</v>
      </c>
      <c r="M288">
        <f t="shared" si="110"/>
        <v>0.70491803278688536</v>
      </c>
      <c r="N288">
        <v>5</v>
      </c>
      <c r="O288">
        <f t="shared" si="121"/>
        <v>3</v>
      </c>
      <c r="P288">
        <f t="shared" si="122"/>
        <v>210</v>
      </c>
      <c r="Q288">
        <f t="shared" si="123"/>
        <v>0.27508196721311462</v>
      </c>
      <c r="R288">
        <f t="shared" si="125"/>
        <v>0.60852459016393379</v>
      </c>
    </row>
    <row r="289" spans="1:18" x14ac:dyDescent="0.3">
      <c r="A289" t="s">
        <v>6</v>
      </c>
      <c r="B289" s="1">
        <v>45078</v>
      </c>
      <c r="C289" t="s">
        <v>7</v>
      </c>
      <c r="D289" t="s">
        <v>11</v>
      </c>
      <c r="E289">
        <v>8</v>
      </c>
      <c r="F289">
        <v>14.9</v>
      </c>
      <c r="G289">
        <v>0.25</v>
      </c>
      <c r="H289">
        <v>0</v>
      </c>
      <c r="I289">
        <f t="shared" si="118"/>
        <v>0.25</v>
      </c>
      <c r="J289">
        <f t="shared" si="119"/>
        <v>15.15</v>
      </c>
      <c r="K289">
        <f t="shared" si="120"/>
        <v>0.34999999999999964</v>
      </c>
      <c r="L289">
        <f t="shared" si="124"/>
        <v>2.9499999999999993</v>
      </c>
      <c r="M289">
        <f t="shared" si="110"/>
        <v>0.68032786885245911</v>
      </c>
      <c r="N289">
        <v>6</v>
      </c>
      <c r="O289">
        <f t="shared" si="121"/>
        <v>3.25</v>
      </c>
      <c r="P289">
        <f t="shared" si="122"/>
        <v>227.5</v>
      </c>
      <c r="Q289">
        <f t="shared" si="123"/>
        <v>0.29967213114754088</v>
      </c>
      <c r="R289">
        <f t="shared" si="125"/>
        <v>0.90819672131147466</v>
      </c>
    </row>
    <row r="290" spans="1:18" x14ac:dyDescent="0.3">
      <c r="A290" t="s">
        <v>0</v>
      </c>
      <c r="B290" s="1">
        <v>45079</v>
      </c>
      <c r="C290" t="s">
        <v>7</v>
      </c>
      <c r="D290" t="s">
        <v>11</v>
      </c>
      <c r="E290">
        <v>8</v>
      </c>
      <c r="F290">
        <v>14.8</v>
      </c>
      <c r="G290">
        <v>0.25</v>
      </c>
      <c r="H290">
        <v>0</v>
      </c>
      <c r="I290">
        <f t="shared" si="118"/>
        <v>0.25</v>
      </c>
      <c r="J290">
        <f t="shared" si="119"/>
        <v>15.05</v>
      </c>
      <c r="K290">
        <f t="shared" si="120"/>
        <v>0.25</v>
      </c>
      <c r="L290">
        <f t="shared" si="124"/>
        <v>3.1999999999999993</v>
      </c>
      <c r="M290">
        <f t="shared" si="110"/>
        <v>0.66393442622950838</v>
      </c>
      <c r="N290">
        <v>7</v>
      </c>
      <c r="O290">
        <f t="shared" si="121"/>
        <v>3.5</v>
      </c>
      <c r="P290">
        <f t="shared" si="122"/>
        <v>245</v>
      </c>
      <c r="Q290">
        <f t="shared" si="123"/>
        <v>0.3160655737704916</v>
      </c>
      <c r="R290">
        <f t="shared" si="125"/>
        <v>1.2242622950819664</v>
      </c>
    </row>
    <row r="291" spans="1:18" x14ac:dyDescent="0.3">
      <c r="A291" t="s">
        <v>1</v>
      </c>
      <c r="B291" s="1">
        <v>45080</v>
      </c>
      <c r="C291" t="s">
        <v>7</v>
      </c>
      <c r="D291" t="s">
        <v>11</v>
      </c>
      <c r="E291">
        <v>8</v>
      </c>
      <c r="F291">
        <v>14.8</v>
      </c>
      <c r="G291">
        <v>0</v>
      </c>
      <c r="H291">
        <v>0</v>
      </c>
      <c r="I291">
        <f t="shared" si="118"/>
        <v>0</v>
      </c>
      <c r="J291">
        <f t="shared" si="119"/>
        <v>14.8</v>
      </c>
      <c r="K291">
        <f t="shared" si="120"/>
        <v>0.5</v>
      </c>
      <c r="L291">
        <f t="shared" si="124"/>
        <v>3.6999999999999993</v>
      </c>
      <c r="M291">
        <f t="shared" si="110"/>
        <v>0.62295081967213128</v>
      </c>
      <c r="N291">
        <v>8</v>
      </c>
      <c r="O291">
        <f t="shared" si="121"/>
        <v>3.5</v>
      </c>
      <c r="P291">
        <f t="shared" si="122"/>
        <v>245</v>
      </c>
      <c r="Q291">
        <f t="shared" si="123"/>
        <v>0.3570491803278687</v>
      </c>
      <c r="R291">
        <f t="shared" si="125"/>
        <v>1.581311475409835</v>
      </c>
    </row>
    <row r="292" spans="1:18" x14ac:dyDescent="0.3">
      <c r="A292" t="s">
        <v>2</v>
      </c>
      <c r="B292" s="1">
        <v>45081</v>
      </c>
      <c r="C292" t="s">
        <v>7</v>
      </c>
      <c r="D292" t="s">
        <v>11</v>
      </c>
      <c r="E292">
        <v>8</v>
      </c>
      <c r="F292">
        <v>14.3</v>
      </c>
      <c r="G292">
        <v>0</v>
      </c>
      <c r="H292">
        <f t="shared" ref="H292:H298" si="126">14.7-F292-G292</f>
        <v>0.39999999999999858</v>
      </c>
      <c r="I292">
        <f t="shared" si="118"/>
        <v>0.39999999999999858</v>
      </c>
      <c r="J292">
        <f t="shared" si="119"/>
        <v>14.7</v>
      </c>
      <c r="K292">
        <f t="shared" si="120"/>
        <v>0.5</v>
      </c>
      <c r="L292">
        <f t="shared" si="124"/>
        <v>4.1999999999999993</v>
      </c>
      <c r="M292">
        <f t="shared" si="110"/>
        <v>0.60655737704918022</v>
      </c>
      <c r="N292">
        <v>9</v>
      </c>
      <c r="O292">
        <f t="shared" si="121"/>
        <v>3.5</v>
      </c>
      <c r="P292">
        <f t="shared" si="122"/>
        <v>245</v>
      </c>
      <c r="Q292">
        <f t="shared" si="123"/>
        <v>0.37344262295081976</v>
      </c>
      <c r="R292">
        <f t="shared" si="125"/>
        <v>1.9547540983606546</v>
      </c>
    </row>
    <row r="293" spans="1:18" x14ac:dyDescent="0.3">
      <c r="A293" t="s">
        <v>3</v>
      </c>
      <c r="B293" s="1">
        <v>45082</v>
      </c>
      <c r="C293" t="s">
        <v>7</v>
      </c>
      <c r="D293" t="s">
        <v>11</v>
      </c>
      <c r="E293">
        <v>8</v>
      </c>
      <c r="F293">
        <v>14.2</v>
      </c>
      <c r="G293">
        <v>0.25</v>
      </c>
      <c r="H293">
        <f t="shared" si="126"/>
        <v>0.25</v>
      </c>
      <c r="I293">
        <f t="shared" si="118"/>
        <v>0.5</v>
      </c>
      <c r="J293">
        <f t="shared" si="119"/>
        <v>14.7</v>
      </c>
      <c r="K293">
        <f t="shared" si="120"/>
        <v>0.29999999999999893</v>
      </c>
      <c r="L293">
        <f t="shared" si="124"/>
        <v>4.4999999999999982</v>
      </c>
      <c r="M293">
        <f t="shared" si="110"/>
        <v>0.60655737704918022</v>
      </c>
      <c r="N293">
        <v>10</v>
      </c>
      <c r="O293">
        <f t="shared" si="121"/>
        <v>3.75</v>
      </c>
      <c r="P293">
        <f t="shared" si="122"/>
        <v>262.5</v>
      </c>
      <c r="Q293">
        <f t="shared" si="123"/>
        <v>0.37344262295081976</v>
      </c>
      <c r="R293">
        <f t="shared" si="125"/>
        <v>2.3281967213114743</v>
      </c>
    </row>
    <row r="294" spans="1:18" x14ac:dyDescent="0.3">
      <c r="A294" t="s">
        <v>4</v>
      </c>
      <c r="B294" s="1">
        <v>45083</v>
      </c>
      <c r="C294" t="s">
        <v>7</v>
      </c>
      <c r="D294" t="s">
        <v>11</v>
      </c>
      <c r="E294">
        <v>8</v>
      </c>
      <c r="F294">
        <v>14.4</v>
      </c>
      <c r="G294">
        <v>0.25</v>
      </c>
      <c r="H294">
        <f t="shared" si="126"/>
        <v>4.9999999999998934E-2</v>
      </c>
      <c r="I294">
        <f t="shared" si="118"/>
        <v>0.29999999999999893</v>
      </c>
      <c r="J294">
        <f t="shared" si="119"/>
        <v>14.7</v>
      </c>
      <c r="K294">
        <f t="shared" si="120"/>
        <v>0.59999999999999964</v>
      </c>
      <c r="L294">
        <f t="shared" si="124"/>
        <v>5.0999999999999979</v>
      </c>
      <c r="M294">
        <f t="shared" si="110"/>
        <v>0.60655737704918022</v>
      </c>
      <c r="N294">
        <v>11</v>
      </c>
      <c r="O294">
        <f t="shared" si="121"/>
        <v>4</v>
      </c>
      <c r="P294">
        <f t="shared" si="122"/>
        <v>280</v>
      </c>
      <c r="Q294">
        <f t="shared" si="123"/>
        <v>0.37344262295081976</v>
      </c>
      <c r="R294">
        <f t="shared" si="125"/>
        <v>2.7016393442622939</v>
      </c>
    </row>
    <row r="295" spans="1:18" x14ac:dyDescent="0.3">
      <c r="A295" t="s">
        <v>5</v>
      </c>
      <c r="B295" s="1">
        <v>45084</v>
      </c>
      <c r="C295" t="s">
        <v>7</v>
      </c>
      <c r="D295" t="s">
        <v>11</v>
      </c>
      <c r="E295">
        <v>8</v>
      </c>
      <c r="F295">
        <v>14.1</v>
      </c>
      <c r="G295">
        <v>0</v>
      </c>
      <c r="H295">
        <f t="shared" si="126"/>
        <v>0.59999999999999964</v>
      </c>
      <c r="I295">
        <f t="shared" si="118"/>
        <v>0.59999999999999964</v>
      </c>
      <c r="J295">
        <f t="shared" si="119"/>
        <v>14.7</v>
      </c>
      <c r="K295">
        <f t="shared" si="120"/>
        <v>0.59999999999999964</v>
      </c>
      <c r="L295">
        <f t="shared" si="124"/>
        <v>5.6999999999999975</v>
      </c>
      <c r="M295">
        <f t="shared" si="110"/>
        <v>0.60655737704918022</v>
      </c>
      <c r="N295">
        <v>12</v>
      </c>
      <c r="O295">
        <f t="shared" si="121"/>
        <v>4</v>
      </c>
      <c r="P295">
        <f t="shared" si="122"/>
        <v>280</v>
      </c>
      <c r="Q295">
        <f t="shared" si="123"/>
        <v>0.37344262295081976</v>
      </c>
      <c r="R295">
        <f t="shared" si="125"/>
        <v>3.0750819672131136</v>
      </c>
    </row>
    <row r="296" spans="1:18" x14ac:dyDescent="0.3">
      <c r="A296" t="s">
        <v>6</v>
      </c>
      <c r="B296" s="1">
        <v>45085</v>
      </c>
      <c r="C296" t="s">
        <v>7</v>
      </c>
      <c r="D296" t="s">
        <v>11</v>
      </c>
      <c r="E296">
        <v>8</v>
      </c>
      <c r="F296">
        <v>14.1</v>
      </c>
      <c r="G296">
        <v>0.25</v>
      </c>
      <c r="H296">
        <f t="shared" si="126"/>
        <v>0.34999999999999964</v>
      </c>
      <c r="I296">
        <f t="shared" si="118"/>
        <v>0.59999999999999964</v>
      </c>
      <c r="J296">
        <f t="shared" si="119"/>
        <v>14.7</v>
      </c>
      <c r="K296">
        <f t="shared" si="120"/>
        <v>0.5</v>
      </c>
      <c r="L296">
        <f t="shared" si="124"/>
        <v>6.1999999999999975</v>
      </c>
      <c r="M296">
        <f t="shared" si="110"/>
        <v>0.60655737704918022</v>
      </c>
      <c r="N296">
        <v>13</v>
      </c>
      <c r="O296">
        <f t="shared" si="121"/>
        <v>4.25</v>
      </c>
      <c r="P296">
        <f t="shared" si="122"/>
        <v>297.5</v>
      </c>
      <c r="Q296">
        <f t="shared" si="123"/>
        <v>0.37344262295081976</v>
      </c>
      <c r="R296">
        <f t="shared" si="125"/>
        <v>3.4485245901639332</v>
      </c>
    </row>
    <row r="297" spans="1:18" x14ac:dyDescent="0.3">
      <c r="A297" t="s">
        <v>0</v>
      </c>
      <c r="B297" s="1">
        <v>45086</v>
      </c>
      <c r="C297" t="s">
        <v>7</v>
      </c>
      <c r="D297" t="s">
        <v>11</v>
      </c>
      <c r="E297">
        <v>8</v>
      </c>
      <c r="F297">
        <v>14.2</v>
      </c>
      <c r="G297">
        <v>0.25</v>
      </c>
      <c r="H297">
        <f t="shared" si="126"/>
        <v>0.25</v>
      </c>
      <c r="I297">
        <f t="shared" si="118"/>
        <v>0.5</v>
      </c>
      <c r="J297">
        <f t="shared" si="119"/>
        <v>14.7</v>
      </c>
      <c r="K297">
        <f t="shared" si="120"/>
        <v>0.89999999999999858</v>
      </c>
      <c r="L297">
        <f t="shared" si="124"/>
        <v>7.0999999999999961</v>
      </c>
      <c r="M297">
        <f t="shared" si="110"/>
        <v>0.60655737704918022</v>
      </c>
      <c r="N297">
        <v>14</v>
      </c>
      <c r="O297">
        <f t="shared" si="121"/>
        <v>4.5</v>
      </c>
      <c r="P297">
        <f t="shared" si="122"/>
        <v>315</v>
      </c>
      <c r="Q297">
        <f t="shared" si="123"/>
        <v>0.37344262295081976</v>
      </c>
      <c r="R297">
        <f t="shared" si="125"/>
        <v>3.8219672131147528</v>
      </c>
    </row>
    <row r="298" spans="1:18" x14ac:dyDescent="0.3">
      <c r="A298" t="s">
        <v>1</v>
      </c>
      <c r="B298" s="1">
        <v>45087</v>
      </c>
      <c r="C298" t="s">
        <v>7</v>
      </c>
      <c r="D298" t="s">
        <v>11</v>
      </c>
      <c r="E298">
        <v>8</v>
      </c>
      <c r="F298">
        <v>13.8</v>
      </c>
      <c r="G298">
        <v>0</v>
      </c>
      <c r="H298">
        <f t="shared" si="126"/>
        <v>0.89999999999999858</v>
      </c>
      <c r="I298">
        <f t="shared" si="118"/>
        <v>0.89999999999999858</v>
      </c>
      <c r="J298">
        <f t="shared" si="119"/>
        <v>14.7</v>
      </c>
      <c r="K298">
        <f t="shared" si="120"/>
        <v>1</v>
      </c>
      <c r="L298">
        <f t="shared" si="124"/>
        <v>8.0999999999999961</v>
      </c>
      <c r="M298">
        <f t="shared" si="110"/>
        <v>0.60655737704918022</v>
      </c>
      <c r="N298">
        <v>15</v>
      </c>
      <c r="O298">
        <f t="shared" si="121"/>
        <v>4.5</v>
      </c>
      <c r="P298">
        <f t="shared" si="122"/>
        <v>315</v>
      </c>
      <c r="Q298">
        <f t="shared" si="123"/>
        <v>0.37344262295081976</v>
      </c>
      <c r="R298">
        <f t="shared" si="125"/>
        <v>4.1954098360655729</v>
      </c>
    </row>
    <row r="299" spans="1:18" x14ac:dyDescent="0.3">
      <c r="A299" t="s">
        <v>2</v>
      </c>
      <c r="B299" s="1">
        <v>45088</v>
      </c>
      <c r="C299" t="s">
        <v>7</v>
      </c>
      <c r="D299" t="s">
        <v>11</v>
      </c>
      <c r="E299">
        <v>8</v>
      </c>
      <c r="F299">
        <v>13.7</v>
      </c>
      <c r="G299">
        <v>0</v>
      </c>
      <c r="H299">
        <f>14.5-F299-G299</f>
        <v>0.80000000000000071</v>
      </c>
      <c r="I299">
        <f t="shared" si="118"/>
        <v>0.80000000000000071</v>
      </c>
      <c r="J299">
        <f t="shared" si="119"/>
        <v>14.5</v>
      </c>
      <c r="K299">
        <f t="shared" si="120"/>
        <v>0.69999999999999929</v>
      </c>
      <c r="L299">
        <f t="shared" si="124"/>
        <v>8.7999999999999954</v>
      </c>
      <c r="M299">
        <f t="shared" si="110"/>
        <v>0.57377049180327877</v>
      </c>
      <c r="N299">
        <v>16</v>
      </c>
      <c r="O299">
        <f t="shared" si="121"/>
        <v>4.5</v>
      </c>
      <c r="P299">
        <f t="shared" si="122"/>
        <v>315</v>
      </c>
      <c r="Q299">
        <f t="shared" si="123"/>
        <v>0.40622950819672121</v>
      </c>
      <c r="R299">
        <f t="shared" si="125"/>
        <v>4.6016393442622938</v>
      </c>
    </row>
    <row r="300" spans="1:18" x14ac:dyDescent="0.3">
      <c r="A300" t="s">
        <v>3</v>
      </c>
      <c r="B300" s="1">
        <v>45089</v>
      </c>
      <c r="C300" t="s">
        <v>7</v>
      </c>
      <c r="D300" t="s">
        <v>11</v>
      </c>
      <c r="E300">
        <v>8</v>
      </c>
      <c r="F300">
        <v>13.8</v>
      </c>
      <c r="G300">
        <v>0.5</v>
      </c>
      <c r="H300">
        <f t="shared" ref="H300" si="127">14.5-F300-G300</f>
        <v>0.19999999999999929</v>
      </c>
      <c r="I300">
        <f t="shared" si="118"/>
        <v>0.69999999999999929</v>
      </c>
      <c r="J300">
        <f t="shared" si="119"/>
        <v>14.5</v>
      </c>
      <c r="K300">
        <f t="shared" si="120"/>
        <v>0.30000000000000071</v>
      </c>
      <c r="L300">
        <f t="shared" si="124"/>
        <v>9.0999999999999961</v>
      </c>
      <c r="M300">
        <f t="shared" si="110"/>
        <v>0.57377049180327877</v>
      </c>
      <c r="N300">
        <v>17</v>
      </c>
      <c r="O300">
        <f t="shared" si="121"/>
        <v>5</v>
      </c>
      <c r="P300">
        <f t="shared" si="122"/>
        <v>350</v>
      </c>
      <c r="Q300">
        <f t="shared" si="123"/>
        <v>0.40622950819672121</v>
      </c>
      <c r="R300">
        <f t="shared" si="125"/>
        <v>5.0078688524590147</v>
      </c>
    </row>
    <row r="301" spans="1:18" x14ac:dyDescent="0.3">
      <c r="A301" t="s">
        <v>4</v>
      </c>
      <c r="B301" s="1">
        <v>45090</v>
      </c>
      <c r="C301" t="s">
        <v>7</v>
      </c>
      <c r="D301" t="s">
        <v>11</v>
      </c>
      <c r="E301">
        <v>8</v>
      </c>
      <c r="F301">
        <v>14.2</v>
      </c>
      <c r="G301">
        <v>0</v>
      </c>
      <c r="H301">
        <f>14.4-F301-G301</f>
        <v>0.20000000000000107</v>
      </c>
      <c r="I301">
        <f t="shared" si="118"/>
        <v>0.20000000000000107</v>
      </c>
      <c r="J301">
        <f t="shared" si="119"/>
        <v>14.4</v>
      </c>
      <c r="K301">
        <f t="shared" si="120"/>
        <v>0.70000000000000107</v>
      </c>
      <c r="L301">
        <f t="shared" si="124"/>
        <v>9.7999999999999972</v>
      </c>
      <c r="M301">
        <f t="shared" si="110"/>
        <v>0.55737704918032793</v>
      </c>
      <c r="N301">
        <v>18</v>
      </c>
      <c r="O301">
        <f t="shared" si="121"/>
        <v>5</v>
      </c>
      <c r="P301">
        <f t="shared" si="122"/>
        <v>350</v>
      </c>
      <c r="Q301">
        <f t="shared" si="123"/>
        <v>0.42262295081967205</v>
      </c>
      <c r="R301">
        <f t="shared" si="125"/>
        <v>5.4304918032786871</v>
      </c>
    </row>
    <row r="302" spans="1:18" x14ac:dyDescent="0.3">
      <c r="A302" t="s">
        <v>5</v>
      </c>
      <c r="B302" s="1">
        <v>45091</v>
      </c>
      <c r="C302" t="s">
        <v>7</v>
      </c>
      <c r="D302" t="s">
        <v>11</v>
      </c>
      <c r="E302">
        <v>8</v>
      </c>
      <c r="F302">
        <v>13.7</v>
      </c>
      <c r="G302">
        <v>0</v>
      </c>
      <c r="H302">
        <f>14.4-F302-G302</f>
        <v>0.70000000000000107</v>
      </c>
      <c r="I302">
        <f t="shared" si="118"/>
        <v>0.70000000000000107</v>
      </c>
      <c r="J302">
        <f t="shared" si="119"/>
        <v>14.4</v>
      </c>
      <c r="K302">
        <f t="shared" si="120"/>
        <v>0.70000000000000107</v>
      </c>
      <c r="L302">
        <f t="shared" si="124"/>
        <v>10.499999999999998</v>
      </c>
      <c r="M302">
        <f t="shared" si="110"/>
        <v>0.55737704918032793</v>
      </c>
      <c r="N302">
        <v>19</v>
      </c>
      <c r="O302">
        <f t="shared" si="121"/>
        <v>5</v>
      </c>
      <c r="P302">
        <f t="shared" si="122"/>
        <v>350</v>
      </c>
      <c r="Q302">
        <f t="shared" si="123"/>
        <v>0.42262295081967205</v>
      </c>
      <c r="R302">
        <f t="shared" si="125"/>
        <v>5.8531147540983595</v>
      </c>
    </row>
    <row r="303" spans="1:18" x14ac:dyDescent="0.3">
      <c r="A303" t="s">
        <v>6</v>
      </c>
      <c r="B303" s="1">
        <v>45092</v>
      </c>
      <c r="C303" t="s">
        <v>7</v>
      </c>
      <c r="D303" t="s">
        <v>11</v>
      </c>
      <c r="E303">
        <v>8</v>
      </c>
      <c r="F303">
        <v>13.7</v>
      </c>
      <c r="G303">
        <v>0.5</v>
      </c>
      <c r="H303">
        <f>14.2-F303-G303</f>
        <v>0</v>
      </c>
      <c r="I303">
        <f t="shared" si="118"/>
        <v>0.5</v>
      </c>
      <c r="J303">
        <f t="shared" si="119"/>
        <v>14.2</v>
      </c>
      <c r="K303">
        <f t="shared" si="120"/>
        <v>1.2999999999999989</v>
      </c>
      <c r="L303">
        <f t="shared" si="124"/>
        <v>11.799999999999997</v>
      </c>
      <c r="M303">
        <f t="shared" si="110"/>
        <v>0.52459016393442615</v>
      </c>
      <c r="N303">
        <v>20</v>
      </c>
      <c r="O303">
        <f t="shared" si="121"/>
        <v>5.5</v>
      </c>
      <c r="P303">
        <f t="shared" si="122"/>
        <v>385</v>
      </c>
      <c r="Q303">
        <f t="shared" si="123"/>
        <v>0.45540983606557384</v>
      </c>
      <c r="R303">
        <f t="shared" si="125"/>
        <v>6.3085245901639331</v>
      </c>
    </row>
    <row r="304" spans="1:18" x14ac:dyDescent="0.3">
      <c r="A304" t="s">
        <v>0</v>
      </c>
      <c r="B304" s="1">
        <v>45093</v>
      </c>
      <c r="C304" t="s">
        <v>7</v>
      </c>
      <c r="D304" t="s">
        <v>11</v>
      </c>
      <c r="E304">
        <v>8</v>
      </c>
      <c r="F304">
        <v>12.9</v>
      </c>
      <c r="G304">
        <v>0</v>
      </c>
      <c r="H304">
        <f>14-F304-G304</f>
        <v>1.0999999999999996</v>
      </c>
      <c r="I304">
        <f t="shared" si="118"/>
        <v>1.0999999999999996</v>
      </c>
      <c r="J304">
        <f t="shared" si="119"/>
        <v>14</v>
      </c>
      <c r="K304">
        <f t="shared" si="120"/>
        <v>0.80000000000000071</v>
      </c>
      <c r="L304">
        <f t="shared" si="124"/>
        <v>12.599999999999998</v>
      </c>
      <c r="M304">
        <f t="shared" si="110"/>
        <v>0.49180327868852464</v>
      </c>
      <c r="N304">
        <v>21</v>
      </c>
      <c r="O304">
        <f t="shared" si="121"/>
        <v>5.5</v>
      </c>
      <c r="P304">
        <f t="shared" si="122"/>
        <v>385</v>
      </c>
      <c r="Q304">
        <f t="shared" si="123"/>
        <v>0.48819672131147535</v>
      </c>
      <c r="R304">
        <f t="shared" si="125"/>
        <v>6.7967213114754088</v>
      </c>
    </row>
    <row r="305" spans="1:18" x14ac:dyDescent="0.3">
      <c r="A305" t="s">
        <v>1</v>
      </c>
      <c r="B305" s="1">
        <v>45094</v>
      </c>
      <c r="C305" t="s">
        <v>7</v>
      </c>
      <c r="D305" t="s">
        <v>11</v>
      </c>
      <c r="E305">
        <v>8</v>
      </c>
      <c r="F305">
        <v>13.2</v>
      </c>
      <c r="G305">
        <v>0</v>
      </c>
      <c r="H305">
        <f>14-F305-G305</f>
        <v>0.80000000000000071</v>
      </c>
      <c r="I305">
        <f t="shared" si="118"/>
        <v>0.80000000000000071</v>
      </c>
      <c r="J305">
        <f t="shared" si="119"/>
        <v>14</v>
      </c>
      <c r="K305">
        <f t="shared" si="120"/>
        <v>0.69999999999999929</v>
      </c>
      <c r="L305">
        <f t="shared" si="124"/>
        <v>13.299999999999997</v>
      </c>
      <c r="M305">
        <f t="shared" si="110"/>
        <v>0.49180327868852464</v>
      </c>
      <c r="N305">
        <v>22</v>
      </c>
      <c r="O305">
        <f t="shared" si="121"/>
        <v>5.5</v>
      </c>
      <c r="P305">
        <f t="shared" si="122"/>
        <v>385</v>
      </c>
      <c r="Q305">
        <f t="shared" si="123"/>
        <v>0.48819672131147535</v>
      </c>
      <c r="R305">
        <f t="shared" si="125"/>
        <v>7.2849180327868845</v>
      </c>
    </row>
    <row r="306" spans="1:18" x14ac:dyDescent="0.3">
      <c r="A306" t="s">
        <v>2</v>
      </c>
      <c r="B306" s="1">
        <v>45095</v>
      </c>
      <c r="C306" t="s">
        <v>7</v>
      </c>
      <c r="D306" t="s">
        <v>11</v>
      </c>
      <c r="E306">
        <v>8</v>
      </c>
      <c r="F306">
        <v>13.3</v>
      </c>
      <c r="G306">
        <v>0</v>
      </c>
      <c r="H306">
        <f>14-F306-G306</f>
        <v>0.69999999999999929</v>
      </c>
      <c r="I306">
        <f t="shared" si="118"/>
        <v>0.69999999999999929</v>
      </c>
      <c r="J306">
        <f t="shared" si="119"/>
        <v>14</v>
      </c>
      <c r="K306">
        <f t="shared" si="120"/>
        <v>0.80000000000000071</v>
      </c>
      <c r="L306">
        <f t="shared" si="124"/>
        <v>14.099999999999998</v>
      </c>
      <c r="M306">
        <f t="shared" si="110"/>
        <v>0.49180327868852464</v>
      </c>
      <c r="N306">
        <v>23</v>
      </c>
      <c r="O306">
        <f t="shared" si="121"/>
        <v>5.5</v>
      </c>
      <c r="P306">
        <f t="shared" si="122"/>
        <v>385</v>
      </c>
      <c r="Q306">
        <f t="shared" si="123"/>
        <v>0.48819672131147535</v>
      </c>
      <c r="R306">
        <f t="shared" si="125"/>
        <v>7.7731147540983603</v>
      </c>
    </row>
    <row r="307" spans="1:18" x14ac:dyDescent="0.3">
      <c r="A307" t="s">
        <v>3</v>
      </c>
      <c r="B307" s="1">
        <v>45096</v>
      </c>
      <c r="C307" t="s">
        <v>7</v>
      </c>
      <c r="D307" t="s">
        <v>11</v>
      </c>
      <c r="E307">
        <v>8</v>
      </c>
      <c r="F307">
        <v>13.2</v>
      </c>
      <c r="G307">
        <v>0.5</v>
      </c>
      <c r="H307">
        <f t="shared" ref="H307" si="128">14-F307-G307</f>
        <v>0.30000000000000071</v>
      </c>
      <c r="I307">
        <f t="shared" si="118"/>
        <v>0.80000000000000071</v>
      </c>
      <c r="J307">
        <f t="shared" si="119"/>
        <v>14</v>
      </c>
      <c r="K307">
        <f t="shared" si="120"/>
        <v>0.90000000000000036</v>
      </c>
      <c r="L307">
        <f t="shared" si="124"/>
        <v>14.999999999999998</v>
      </c>
      <c r="M307">
        <f t="shared" si="110"/>
        <v>0.49180327868852464</v>
      </c>
      <c r="N307">
        <v>24</v>
      </c>
      <c r="O307">
        <f t="shared" si="121"/>
        <v>6</v>
      </c>
      <c r="P307">
        <f t="shared" si="122"/>
        <v>420</v>
      </c>
      <c r="Q307">
        <f t="shared" si="123"/>
        <v>0.48819672131147535</v>
      </c>
      <c r="R307">
        <f t="shared" si="125"/>
        <v>8.2613114754098351</v>
      </c>
    </row>
    <row r="308" spans="1:18" x14ac:dyDescent="0.3">
      <c r="A308" t="s">
        <v>4</v>
      </c>
      <c r="B308" s="1">
        <v>45097</v>
      </c>
      <c r="C308" t="s">
        <v>7</v>
      </c>
      <c r="D308" t="s">
        <v>11</v>
      </c>
      <c r="E308">
        <v>8</v>
      </c>
      <c r="F308">
        <v>13.1</v>
      </c>
      <c r="G308">
        <v>0</v>
      </c>
      <c r="H308">
        <f>13.8-F308-G308</f>
        <v>0.70000000000000107</v>
      </c>
      <c r="I308">
        <f t="shared" si="118"/>
        <v>0.70000000000000107</v>
      </c>
      <c r="J308">
        <f t="shared" si="119"/>
        <v>13.8</v>
      </c>
      <c r="K308">
        <f t="shared" si="120"/>
        <v>0.80000000000000071</v>
      </c>
      <c r="L308">
        <f>L307+K308</f>
        <v>15.799999999999999</v>
      </c>
      <c r="M308">
        <f t="shared" si="110"/>
        <v>0.45901639344262307</v>
      </c>
      <c r="N308">
        <v>25</v>
      </c>
      <c r="O308">
        <f t="shared" si="121"/>
        <v>6</v>
      </c>
      <c r="P308">
        <f t="shared" si="122"/>
        <v>420</v>
      </c>
      <c r="Q308">
        <f t="shared" si="123"/>
        <v>0.52098360655737697</v>
      </c>
      <c r="R308">
        <f t="shared" si="125"/>
        <v>8.782295081967213</v>
      </c>
    </row>
    <row r="309" spans="1:18" x14ac:dyDescent="0.3">
      <c r="A309" t="s">
        <v>5</v>
      </c>
      <c r="B309" s="1">
        <v>45098</v>
      </c>
      <c r="C309" t="s">
        <v>7</v>
      </c>
      <c r="D309" t="s">
        <v>11</v>
      </c>
      <c r="E309">
        <v>8</v>
      </c>
      <c r="F309">
        <v>13</v>
      </c>
      <c r="G309">
        <v>0</v>
      </c>
      <c r="H309">
        <f>13.8-F309-G309</f>
        <v>0.80000000000000071</v>
      </c>
      <c r="I309">
        <f t="shared" si="118"/>
        <v>0.80000000000000071</v>
      </c>
      <c r="J309">
        <f t="shared" si="119"/>
        <v>13.8</v>
      </c>
      <c r="K309">
        <f t="shared" si="120"/>
        <v>0.80000000000000071</v>
      </c>
      <c r="L309">
        <f t="shared" ref="L309:L321" si="129">L308+K309</f>
        <v>16.600000000000001</v>
      </c>
      <c r="M309">
        <f t="shared" si="110"/>
        <v>0.45901639344262307</v>
      </c>
      <c r="N309">
        <v>26</v>
      </c>
      <c r="O309">
        <f t="shared" si="121"/>
        <v>6</v>
      </c>
      <c r="P309">
        <f t="shared" si="122"/>
        <v>420</v>
      </c>
      <c r="Q309">
        <f t="shared" si="123"/>
        <v>0.52098360655737697</v>
      </c>
      <c r="R309">
        <f t="shared" si="125"/>
        <v>9.3032786885245891</v>
      </c>
    </row>
    <row r="310" spans="1:18" x14ac:dyDescent="0.3">
      <c r="A310" t="s">
        <v>6</v>
      </c>
      <c r="B310" s="1">
        <v>45099</v>
      </c>
      <c r="C310" t="s">
        <v>7</v>
      </c>
      <c r="D310" t="s">
        <v>11</v>
      </c>
      <c r="E310">
        <v>8</v>
      </c>
      <c r="F310">
        <v>13</v>
      </c>
      <c r="G310">
        <v>0.5</v>
      </c>
      <c r="H310">
        <f>13.8-F310-G310</f>
        <v>0.30000000000000071</v>
      </c>
      <c r="I310">
        <f t="shared" si="118"/>
        <v>0.80000000000000071</v>
      </c>
      <c r="J310">
        <f t="shared" si="119"/>
        <v>13.8</v>
      </c>
      <c r="K310">
        <f t="shared" si="120"/>
        <v>0.80000000000000071</v>
      </c>
      <c r="L310">
        <f t="shared" si="129"/>
        <v>17.400000000000002</v>
      </c>
      <c r="M310">
        <f t="shared" si="110"/>
        <v>0.45901639344262307</v>
      </c>
      <c r="N310">
        <v>27</v>
      </c>
      <c r="O310">
        <f t="shared" si="121"/>
        <v>6.5</v>
      </c>
      <c r="P310">
        <f t="shared" si="122"/>
        <v>455</v>
      </c>
      <c r="Q310">
        <f t="shared" si="123"/>
        <v>0.52098360655737697</v>
      </c>
      <c r="R310">
        <f t="shared" si="125"/>
        <v>9.8242622950819651</v>
      </c>
    </row>
    <row r="311" spans="1:18" x14ac:dyDescent="0.3">
      <c r="A311" t="s">
        <v>0</v>
      </c>
      <c r="B311" s="1">
        <v>45100</v>
      </c>
      <c r="C311" t="s">
        <v>7</v>
      </c>
      <c r="D311" t="s">
        <v>11</v>
      </c>
      <c r="E311">
        <v>8</v>
      </c>
      <c r="F311">
        <v>13</v>
      </c>
      <c r="G311">
        <v>0</v>
      </c>
      <c r="H311">
        <f>13.8-F311-G311</f>
        <v>0.80000000000000071</v>
      </c>
      <c r="I311">
        <f t="shared" si="118"/>
        <v>0.80000000000000071</v>
      </c>
      <c r="J311">
        <f t="shared" si="119"/>
        <v>13.8</v>
      </c>
      <c r="K311">
        <f t="shared" si="120"/>
        <v>0.70000000000000107</v>
      </c>
      <c r="L311">
        <f t="shared" si="129"/>
        <v>18.100000000000001</v>
      </c>
      <c r="M311">
        <f t="shared" si="110"/>
        <v>0.45901639344262307</v>
      </c>
      <c r="N311">
        <v>28</v>
      </c>
      <c r="O311">
        <f t="shared" si="121"/>
        <v>6.5</v>
      </c>
      <c r="P311">
        <f t="shared" si="122"/>
        <v>455</v>
      </c>
      <c r="Q311">
        <f t="shared" si="123"/>
        <v>0.52098360655737697</v>
      </c>
      <c r="R311">
        <f>R310+Q311</f>
        <v>10.345245901639341</v>
      </c>
    </row>
    <row r="312" spans="1:18" x14ac:dyDescent="0.3">
      <c r="A312" t="s">
        <v>1</v>
      </c>
      <c r="B312" s="1">
        <v>45101</v>
      </c>
      <c r="C312" t="s">
        <v>7</v>
      </c>
      <c r="D312" t="s">
        <v>11</v>
      </c>
      <c r="E312">
        <v>8</v>
      </c>
      <c r="F312">
        <v>13.1</v>
      </c>
      <c r="G312">
        <v>0</v>
      </c>
      <c r="H312">
        <f>13.5-F312-G312</f>
        <v>0.40000000000000036</v>
      </c>
      <c r="I312">
        <f t="shared" si="118"/>
        <v>0.40000000000000036</v>
      </c>
      <c r="J312">
        <f t="shared" si="119"/>
        <v>13.5</v>
      </c>
      <c r="K312">
        <f t="shared" si="120"/>
        <v>0.40000000000000036</v>
      </c>
      <c r="L312">
        <f t="shared" si="129"/>
        <v>18.5</v>
      </c>
      <c r="M312">
        <f t="shared" si="110"/>
        <v>0.4098360655737705</v>
      </c>
      <c r="N312">
        <v>29</v>
      </c>
      <c r="O312">
        <f t="shared" si="121"/>
        <v>6.5</v>
      </c>
      <c r="P312">
        <f t="shared" si="122"/>
        <v>455</v>
      </c>
      <c r="Q312">
        <f t="shared" si="123"/>
        <v>0.57016393442622948</v>
      </c>
      <c r="R312">
        <f t="shared" ref="R312:R321" si="130">R311+Q312</f>
        <v>10.915409836065571</v>
      </c>
    </row>
    <row r="313" spans="1:18" x14ac:dyDescent="0.3">
      <c r="A313" t="s">
        <v>2</v>
      </c>
      <c r="B313" s="1">
        <v>45102</v>
      </c>
      <c r="C313" t="s">
        <v>7</v>
      </c>
      <c r="D313" t="s">
        <v>11</v>
      </c>
      <c r="E313">
        <v>8</v>
      </c>
      <c r="F313">
        <v>13.1</v>
      </c>
      <c r="G313">
        <v>0</v>
      </c>
      <c r="H313">
        <f>13.5-F313-G313</f>
        <v>0.40000000000000036</v>
      </c>
      <c r="I313">
        <f t="shared" si="118"/>
        <v>0.40000000000000036</v>
      </c>
      <c r="J313">
        <f t="shared" si="119"/>
        <v>13.5</v>
      </c>
      <c r="K313">
        <f t="shared" si="120"/>
        <v>0.80000000000000071</v>
      </c>
      <c r="L313">
        <f t="shared" si="129"/>
        <v>19.3</v>
      </c>
      <c r="M313">
        <f t="shared" si="110"/>
        <v>0.4098360655737705</v>
      </c>
      <c r="N313">
        <v>30</v>
      </c>
      <c r="O313">
        <f t="shared" si="121"/>
        <v>6.5</v>
      </c>
      <c r="P313">
        <f t="shared" si="122"/>
        <v>455</v>
      </c>
      <c r="Q313">
        <f t="shared" si="123"/>
        <v>0.57016393442622948</v>
      </c>
      <c r="R313">
        <f t="shared" si="130"/>
        <v>11.485573770491801</v>
      </c>
    </row>
    <row r="314" spans="1:18" x14ac:dyDescent="0.3">
      <c r="A314" t="s">
        <v>3</v>
      </c>
      <c r="B314" s="1">
        <v>45103</v>
      </c>
      <c r="C314" t="s">
        <v>7</v>
      </c>
      <c r="D314" t="s">
        <v>11</v>
      </c>
      <c r="E314">
        <v>8</v>
      </c>
      <c r="F314">
        <v>12.7</v>
      </c>
      <c r="G314">
        <v>0.5</v>
      </c>
      <c r="H314">
        <f>13.5-F314-G314</f>
        <v>0.30000000000000071</v>
      </c>
      <c r="I314">
        <f t="shared" si="118"/>
        <v>0.80000000000000071</v>
      </c>
      <c r="J314">
        <f t="shared" si="119"/>
        <v>13.5</v>
      </c>
      <c r="K314">
        <f t="shared" si="120"/>
        <v>0.59999999999999964</v>
      </c>
      <c r="L314">
        <f t="shared" si="129"/>
        <v>19.899999999999999</v>
      </c>
      <c r="M314">
        <f t="shared" si="110"/>
        <v>0.4098360655737705</v>
      </c>
      <c r="N314">
        <v>31</v>
      </c>
      <c r="O314">
        <f t="shared" si="121"/>
        <v>7</v>
      </c>
      <c r="P314">
        <f t="shared" si="122"/>
        <v>490</v>
      </c>
      <c r="Q314">
        <f t="shared" si="123"/>
        <v>0.57016393442622948</v>
      </c>
      <c r="R314">
        <f t="shared" si="130"/>
        <v>12.05573770491803</v>
      </c>
    </row>
    <row r="315" spans="1:18" x14ac:dyDescent="0.3">
      <c r="A315" t="s">
        <v>4</v>
      </c>
      <c r="B315" s="1">
        <v>45104</v>
      </c>
      <c r="C315" t="s">
        <v>7</v>
      </c>
      <c r="D315" t="s">
        <v>11</v>
      </c>
      <c r="E315">
        <v>8</v>
      </c>
      <c r="F315">
        <v>12.9</v>
      </c>
      <c r="G315">
        <v>0</v>
      </c>
      <c r="H315">
        <f>13.5-F315-G315</f>
        <v>0.59999999999999964</v>
      </c>
      <c r="I315">
        <f t="shared" si="118"/>
        <v>0.59999999999999964</v>
      </c>
      <c r="J315">
        <f t="shared" si="119"/>
        <v>13.5</v>
      </c>
      <c r="K315">
        <f t="shared" si="120"/>
        <v>0.90000000000000036</v>
      </c>
      <c r="L315">
        <f t="shared" si="129"/>
        <v>20.799999999999997</v>
      </c>
      <c r="M315">
        <f t="shared" si="110"/>
        <v>0.4098360655737705</v>
      </c>
      <c r="N315">
        <v>32</v>
      </c>
      <c r="O315">
        <f t="shared" si="121"/>
        <v>7</v>
      </c>
      <c r="P315">
        <f t="shared" si="122"/>
        <v>490</v>
      </c>
      <c r="Q315">
        <f t="shared" si="123"/>
        <v>0.57016393442622948</v>
      </c>
      <c r="R315">
        <f t="shared" si="130"/>
        <v>12.62590163934426</v>
      </c>
    </row>
    <row r="316" spans="1:18" x14ac:dyDescent="0.3">
      <c r="A316" t="s">
        <v>5</v>
      </c>
      <c r="B316" s="1">
        <v>45105</v>
      </c>
      <c r="C316" t="s">
        <v>7</v>
      </c>
      <c r="D316" t="s">
        <v>11</v>
      </c>
      <c r="E316">
        <v>8</v>
      </c>
      <c r="F316">
        <v>12.6</v>
      </c>
      <c r="G316">
        <v>0</v>
      </c>
      <c r="H316">
        <f>13.5-F316-G316</f>
        <v>0.90000000000000036</v>
      </c>
      <c r="I316">
        <f t="shared" si="118"/>
        <v>0.90000000000000036</v>
      </c>
      <c r="J316">
        <f t="shared" si="119"/>
        <v>13.5</v>
      </c>
      <c r="K316">
        <f t="shared" si="120"/>
        <v>0.69999999999999929</v>
      </c>
      <c r="L316">
        <f t="shared" si="129"/>
        <v>21.499999999999996</v>
      </c>
      <c r="M316">
        <f t="shared" si="110"/>
        <v>0.4098360655737705</v>
      </c>
      <c r="N316">
        <v>33</v>
      </c>
      <c r="O316">
        <f t="shared" si="121"/>
        <v>7</v>
      </c>
      <c r="P316">
        <f t="shared" si="122"/>
        <v>490</v>
      </c>
      <c r="Q316">
        <f t="shared" si="123"/>
        <v>0.57016393442622948</v>
      </c>
      <c r="R316">
        <f t="shared" si="130"/>
        <v>13.19606557377049</v>
      </c>
    </row>
    <row r="317" spans="1:18" x14ac:dyDescent="0.3">
      <c r="A317" t="s">
        <v>6</v>
      </c>
      <c r="B317" s="1">
        <v>45106</v>
      </c>
      <c r="C317" t="s">
        <v>7</v>
      </c>
      <c r="D317" t="s">
        <v>11</v>
      </c>
      <c r="E317">
        <v>8</v>
      </c>
      <c r="F317">
        <v>12.8</v>
      </c>
      <c r="G317">
        <v>0.5</v>
      </c>
      <c r="H317">
        <f t="shared" ref="H317:H320" si="131">13.5-F317-G317</f>
        <v>0.19999999999999929</v>
      </c>
      <c r="I317">
        <f t="shared" si="118"/>
        <v>0.69999999999999929</v>
      </c>
      <c r="J317">
        <f t="shared" si="119"/>
        <v>13.5</v>
      </c>
      <c r="K317">
        <f t="shared" si="120"/>
        <v>0.80000000000000071</v>
      </c>
      <c r="L317">
        <f t="shared" si="129"/>
        <v>22.299999999999997</v>
      </c>
      <c r="M317">
        <f t="shared" si="110"/>
        <v>0.4098360655737705</v>
      </c>
      <c r="N317">
        <v>34</v>
      </c>
      <c r="O317">
        <f t="shared" si="121"/>
        <v>7.5</v>
      </c>
      <c r="P317">
        <f t="shared" si="122"/>
        <v>525</v>
      </c>
      <c r="Q317">
        <f t="shared" si="123"/>
        <v>0.57016393442622948</v>
      </c>
      <c r="R317">
        <f t="shared" si="130"/>
        <v>13.766229508196719</v>
      </c>
    </row>
    <row r="318" spans="1:18" x14ac:dyDescent="0.3">
      <c r="A318" t="s">
        <v>0</v>
      </c>
      <c r="B318" s="1">
        <v>45107</v>
      </c>
      <c r="C318" t="s">
        <v>7</v>
      </c>
      <c r="D318" t="s">
        <v>11</v>
      </c>
      <c r="E318">
        <v>8</v>
      </c>
      <c r="F318">
        <v>12.7</v>
      </c>
      <c r="G318">
        <v>0</v>
      </c>
      <c r="H318">
        <f t="shared" si="131"/>
        <v>0.80000000000000071</v>
      </c>
      <c r="I318">
        <f t="shared" si="118"/>
        <v>0.80000000000000071</v>
      </c>
      <c r="J318">
        <f t="shared" si="119"/>
        <v>13.5</v>
      </c>
      <c r="K318">
        <f t="shared" si="120"/>
        <v>0.5</v>
      </c>
      <c r="L318">
        <f t="shared" si="129"/>
        <v>22.799999999999997</v>
      </c>
      <c r="M318">
        <f t="shared" si="110"/>
        <v>0.4098360655737705</v>
      </c>
      <c r="N318">
        <v>35</v>
      </c>
      <c r="O318">
        <f t="shared" si="121"/>
        <v>7.5</v>
      </c>
      <c r="P318">
        <f t="shared" si="122"/>
        <v>525</v>
      </c>
      <c r="Q318">
        <f t="shared" si="123"/>
        <v>0.57016393442622948</v>
      </c>
      <c r="R318">
        <f t="shared" si="130"/>
        <v>14.336393442622949</v>
      </c>
    </row>
    <row r="319" spans="1:18" x14ac:dyDescent="0.3">
      <c r="A319" t="s">
        <v>1</v>
      </c>
      <c r="B319" s="1">
        <v>45108</v>
      </c>
      <c r="C319" t="s">
        <v>7</v>
      </c>
      <c r="D319" t="s">
        <v>11</v>
      </c>
      <c r="E319">
        <v>8</v>
      </c>
      <c r="F319">
        <v>13</v>
      </c>
      <c r="G319">
        <v>0</v>
      </c>
      <c r="H319">
        <f t="shared" si="131"/>
        <v>0.5</v>
      </c>
      <c r="I319">
        <f t="shared" si="118"/>
        <v>0.5</v>
      </c>
      <c r="J319">
        <f t="shared" si="119"/>
        <v>13.5</v>
      </c>
      <c r="K319">
        <f t="shared" si="120"/>
        <v>0.59999999999999964</v>
      </c>
      <c r="L319">
        <f t="shared" si="129"/>
        <v>23.4</v>
      </c>
      <c r="M319">
        <f t="shared" si="110"/>
        <v>0.4098360655737705</v>
      </c>
      <c r="N319">
        <v>36</v>
      </c>
      <c r="O319">
        <f t="shared" si="121"/>
        <v>7.5</v>
      </c>
      <c r="P319">
        <f t="shared" si="122"/>
        <v>525</v>
      </c>
      <c r="Q319">
        <f t="shared" si="123"/>
        <v>0.57016393442622948</v>
      </c>
      <c r="R319">
        <f t="shared" si="130"/>
        <v>14.906557377049179</v>
      </c>
    </row>
    <row r="320" spans="1:18" x14ac:dyDescent="0.3">
      <c r="A320" t="s">
        <v>2</v>
      </c>
      <c r="B320" s="1">
        <v>45109</v>
      </c>
      <c r="C320" t="s">
        <v>7</v>
      </c>
      <c r="D320" t="s">
        <v>11</v>
      </c>
      <c r="E320">
        <v>8</v>
      </c>
      <c r="F320">
        <v>12.9</v>
      </c>
      <c r="G320">
        <v>0</v>
      </c>
      <c r="H320">
        <f t="shared" si="131"/>
        <v>0.59999999999999964</v>
      </c>
      <c r="I320">
        <f t="shared" si="118"/>
        <v>0.59999999999999964</v>
      </c>
      <c r="J320">
        <f t="shared" si="119"/>
        <v>13.5</v>
      </c>
      <c r="K320">
        <f t="shared" si="120"/>
        <v>1.1999999999999993</v>
      </c>
      <c r="L320">
        <f t="shared" si="129"/>
        <v>24.599999999999998</v>
      </c>
      <c r="M320">
        <f t="shared" si="110"/>
        <v>0.4098360655737705</v>
      </c>
      <c r="N320">
        <v>37</v>
      </c>
      <c r="O320">
        <f t="shared" si="121"/>
        <v>7.5</v>
      </c>
      <c r="P320">
        <f t="shared" si="122"/>
        <v>525</v>
      </c>
      <c r="Q320">
        <f t="shared" si="123"/>
        <v>0.57016393442622948</v>
      </c>
      <c r="R320">
        <f t="shared" si="130"/>
        <v>15.476721311475409</v>
      </c>
    </row>
    <row r="321" spans="1:18" x14ac:dyDescent="0.3">
      <c r="A321" t="s">
        <v>3</v>
      </c>
      <c r="B321" s="1">
        <v>45110</v>
      </c>
      <c r="C321" t="s">
        <v>7</v>
      </c>
      <c r="D321" t="s">
        <v>11</v>
      </c>
      <c r="E321">
        <v>8</v>
      </c>
      <c r="F321">
        <v>12.3</v>
      </c>
      <c r="G321">
        <v>0</v>
      </c>
      <c r="H321">
        <f>13.1-F321-G321</f>
        <v>0.79999999999999893</v>
      </c>
      <c r="I321">
        <f t="shared" si="118"/>
        <v>0.79999999999999893</v>
      </c>
      <c r="J321">
        <f t="shared" si="119"/>
        <v>13.1</v>
      </c>
      <c r="K321">
        <f t="shared" si="120"/>
        <v>0.90000000000000036</v>
      </c>
      <c r="L321">
        <f t="shared" si="129"/>
        <v>25.5</v>
      </c>
      <c r="M321">
        <f t="shared" si="110"/>
        <v>0.34426229508196715</v>
      </c>
      <c r="N321">
        <v>38</v>
      </c>
      <c r="O321">
        <f t="shared" si="121"/>
        <v>7.5</v>
      </c>
      <c r="P321">
        <f t="shared" si="122"/>
        <v>525</v>
      </c>
      <c r="Q321">
        <f t="shared" si="123"/>
        <v>0.63573770491803283</v>
      </c>
      <c r="R321">
        <f t="shared" si="130"/>
        <v>16.112459016393441</v>
      </c>
    </row>
    <row r="322" spans="1:18" x14ac:dyDescent="0.3">
      <c r="A322" t="s">
        <v>4</v>
      </c>
      <c r="B322" s="1">
        <v>45111</v>
      </c>
      <c r="C322" t="s">
        <v>7</v>
      </c>
      <c r="D322" t="s">
        <v>11</v>
      </c>
      <c r="E322">
        <v>8</v>
      </c>
      <c r="F322">
        <v>12.2</v>
      </c>
      <c r="G322">
        <v>0</v>
      </c>
      <c r="H322">
        <f>13.1-F322-G322</f>
        <v>0.90000000000000036</v>
      </c>
      <c r="I322">
        <f t="shared" si="118"/>
        <v>0.90000000000000036</v>
      </c>
      <c r="J322">
        <f t="shared" si="119"/>
        <v>13.1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425A-6B89-4155-A7E8-BA63A4142B58}">
  <dimension ref="A1:R331"/>
  <sheetViews>
    <sheetView topLeftCell="A310" workbookViewId="0">
      <selection activeCell="A2" sqref="A2:XFD331"/>
    </sheetView>
  </sheetViews>
  <sheetFormatPr defaultRowHeight="14.4" x14ac:dyDescent="0.3"/>
  <cols>
    <col min="1" max="1" width="10.44140625" bestFit="1" customWidth="1"/>
    <col min="2" max="2" width="8.33203125" bestFit="1" customWidth="1"/>
    <col min="3" max="3" width="5" bestFit="1" customWidth="1"/>
    <col min="4" max="4" width="10.5546875" bestFit="1" customWidth="1"/>
    <col min="5" max="5" width="7.5546875" bestFit="1" customWidth="1"/>
    <col min="6" max="6" width="5.44140625" bestFit="1" customWidth="1"/>
    <col min="7" max="7" width="8.5546875" bestFit="1" customWidth="1"/>
    <col min="8" max="8" width="6.88671875" bestFit="1" customWidth="1"/>
    <col min="9" max="9" width="5" bestFit="1" customWidth="1"/>
    <col min="10" max="10" width="6" bestFit="1" customWidth="1"/>
    <col min="11" max="11" width="18.33203125" bestFit="1" customWidth="1"/>
    <col min="12" max="12" width="19.44140625" bestFit="1" customWidth="1"/>
    <col min="13" max="13" width="12" bestFit="1" customWidth="1"/>
    <col min="14" max="14" width="4.5546875" bestFit="1" customWidth="1"/>
    <col min="15" max="15" width="14.44140625" bestFit="1" customWidth="1"/>
    <col min="16" max="16" width="16" bestFit="1" customWidth="1"/>
    <col min="17" max="18" width="12.6640625" bestFit="1" customWidth="1"/>
  </cols>
  <sheetData>
    <row r="1" spans="1:18" s="4" customFormat="1" x14ac:dyDescent="0.3">
      <c r="A1" s="4" t="s">
        <v>12</v>
      </c>
      <c r="B1" s="4" t="s">
        <v>9</v>
      </c>
      <c r="C1" s="4" t="s">
        <v>13</v>
      </c>
      <c r="D1" s="4" t="s">
        <v>17</v>
      </c>
      <c r="E1" s="4" t="s">
        <v>18</v>
      </c>
      <c r="F1" t="s">
        <v>81</v>
      </c>
      <c r="G1" s="5" t="s">
        <v>84</v>
      </c>
      <c r="H1" t="s">
        <v>83</v>
      </c>
      <c r="I1" t="s">
        <v>85</v>
      </c>
      <c r="J1" s="4" t="s">
        <v>19</v>
      </c>
      <c r="K1" s="4" t="s">
        <v>20</v>
      </c>
      <c r="L1" s="4" t="s">
        <v>21</v>
      </c>
      <c r="M1" s="4" t="s">
        <v>35</v>
      </c>
      <c r="N1" s="4" t="s">
        <v>15</v>
      </c>
      <c r="O1" s="4" t="s">
        <v>23</v>
      </c>
      <c r="P1" s="4" t="s">
        <v>16</v>
      </c>
      <c r="Q1" s="4" t="s">
        <v>75</v>
      </c>
      <c r="R1" s="4" t="s">
        <v>76</v>
      </c>
    </row>
    <row r="2" spans="1:18" x14ac:dyDescent="0.3">
      <c r="A2" t="s">
        <v>1</v>
      </c>
      <c r="B2" s="1">
        <v>45073</v>
      </c>
      <c r="C2" t="s">
        <v>7</v>
      </c>
      <c r="D2" t="s">
        <v>10</v>
      </c>
      <c r="E2">
        <v>1</v>
      </c>
      <c r="F2">
        <v>17</v>
      </c>
      <c r="G2">
        <v>0</v>
      </c>
      <c r="H2">
        <v>0</v>
      </c>
      <c r="I2">
        <f>H2+G2</f>
        <v>0</v>
      </c>
      <c r="J2">
        <f>I2+F2</f>
        <v>17</v>
      </c>
      <c r="K2">
        <f>J2-F3</f>
        <v>0.39999999999999858</v>
      </c>
      <c r="M2">
        <f>(J2-11)/6.1</f>
        <v>0.98360655737704927</v>
      </c>
      <c r="N2">
        <v>1</v>
      </c>
      <c r="O2">
        <v>2.5</v>
      </c>
      <c r="P2">
        <f>O2*70</f>
        <v>175</v>
      </c>
    </row>
    <row r="3" spans="1:18" x14ac:dyDescent="0.3">
      <c r="A3" t="s">
        <v>2</v>
      </c>
      <c r="B3" s="1">
        <v>45074</v>
      </c>
      <c r="C3" t="s">
        <v>7</v>
      </c>
      <c r="D3" t="s">
        <v>10</v>
      </c>
      <c r="E3">
        <v>1</v>
      </c>
      <c r="F3">
        <v>16.600000000000001</v>
      </c>
      <c r="G3">
        <v>0</v>
      </c>
      <c r="H3">
        <v>0</v>
      </c>
      <c r="I3">
        <f t="shared" ref="I3:I43" si="0">H3+G3</f>
        <v>0</v>
      </c>
      <c r="J3">
        <f t="shared" ref="J3:J42" si="1">I3+F3</f>
        <v>16.600000000000001</v>
      </c>
      <c r="K3">
        <f t="shared" ref="K3:K42" si="2">J3-F4</f>
        <v>0.20000000000000284</v>
      </c>
      <c r="L3">
        <f>K2+K3</f>
        <v>0.60000000000000142</v>
      </c>
      <c r="M3">
        <f t="shared" ref="M3:M66" si="3">(J3-11)/6.1</f>
        <v>0.91803278688524614</v>
      </c>
      <c r="N3">
        <v>2</v>
      </c>
      <c r="O3">
        <f t="shared" ref="O3:O42" si="4">O2+G3</f>
        <v>2.5</v>
      </c>
      <c r="P3">
        <f t="shared" ref="P3:P42" si="5">O3*70</f>
        <v>175</v>
      </c>
      <c r="Q3">
        <f t="shared" ref="Q3:Q42" si="6">0.98-M3</f>
        <v>6.1967213114753839E-2</v>
      </c>
      <c r="R3">
        <f>Q2+Q3</f>
        <v>6.1967213114753839E-2</v>
      </c>
    </row>
    <row r="4" spans="1:18" x14ac:dyDescent="0.3">
      <c r="A4" t="s">
        <v>3</v>
      </c>
      <c r="B4" s="1">
        <v>45075</v>
      </c>
      <c r="C4" t="s">
        <v>7</v>
      </c>
      <c r="D4" t="s">
        <v>10</v>
      </c>
      <c r="E4">
        <v>1</v>
      </c>
      <c r="F4">
        <v>16.399999999999999</v>
      </c>
      <c r="G4">
        <v>0.25</v>
      </c>
      <c r="H4">
        <v>0</v>
      </c>
      <c r="I4">
        <f t="shared" si="0"/>
        <v>0.25</v>
      </c>
      <c r="J4">
        <f t="shared" si="1"/>
        <v>16.649999999999999</v>
      </c>
      <c r="K4">
        <f t="shared" si="2"/>
        <v>0.74999999999999822</v>
      </c>
      <c r="L4">
        <f>L3+K4</f>
        <v>1.3499999999999996</v>
      </c>
      <c r="M4">
        <f t="shared" si="3"/>
        <v>0.92622950819672112</v>
      </c>
      <c r="N4">
        <v>3</v>
      </c>
      <c r="O4">
        <f t="shared" si="4"/>
        <v>2.75</v>
      </c>
      <c r="P4">
        <f t="shared" si="5"/>
        <v>192.5</v>
      </c>
      <c r="Q4">
        <f t="shared" si="6"/>
        <v>5.3770491803278864E-2</v>
      </c>
      <c r="R4">
        <f>R3+Q4</f>
        <v>0.1157377049180327</v>
      </c>
    </row>
    <row r="5" spans="1:18" x14ac:dyDescent="0.3">
      <c r="A5" t="s">
        <v>4</v>
      </c>
      <c r="B5" s="1">
        <v>45076</v>
      </c>
      <c r="C5" t="s">
        <v>7</v>
      </c>
      <c r="D5" t="s">
        <v>10</v>
      </c>
      <c r="E5">
        <v>1</v>
      </c>
      <c r="F5">
        <v>15.9</v>
      </c>
      <c r="G5">
        <v>0.25</v>
      </c>
      <c r="H5">
        <v>0</v>
      </c>
      <c r="I5">
        <f t="shared" si="0"/>
        <v>0.25</v>
      </c>
      <c r="J5">
        <f t="shared" si="1"/>
        <v>16.149999999999999</v>
      </c>
      <c r="K5">
        <f t="shared" si="2"/>
        <v>0.54999999999999893</v>
      </c>
      <c r="L5">
        <f t="shared" ref="L5:L25" si="7">L4+K5</f>
        <v>1.8999999999999986</v>
      </c>
      <c r="M5">
        <f t="shared" si="3"/>
        <v>0.84426229508196704</v>
      </c>
      <c r="N5">
        <v>4</v>
      </c>
      <c r="O5">
        <f t="shared" si="4"/>
        <v>3</v>
      </c>
      <c r="P5">
        <f t="shared" si="5"/>
        <v>210</v>
      </c>
      <c r="Q5">
        <f t="shared" si="6"/>
        <v>0.13573770491803294</v>
      </c>
      <c r="R5">
        <f t="shared" ref="R5:R28" si="8">R4+Q5</f>
        <v>0.25147540983606564</v>
      </c>
    </row>
    <row r="6" spans="1:18" x14ac:dyDescent="0.3">
      <c r="A6" t="s">
        <v>5</v>
      </c>
      <c r="B6" s="1">
        <v>45077</v>
      </c>
      <c r="C6" t="s">
        <v>7</v>
      </c>
      <c r="D6" t="s">
        <v>10</v>
      </c>
      <c r="E6">
        <v>1</v>
      </c>
      <c r="F6">
        <v>15.6</v>
      </c>
      <c r="G6">
        <v>0</v>
      </c>
      <c r="H6">
        <v>0</v>
      </c>
      <c r="I6">
        <f t="shared" si="0"/>
        <v>0</v>
      </c>
      <c r="J6">
        <f t="shared" si="1"/>
        <v>15.6</v>
      </c>
      <c r="K6">
        <f t="shared" si="2"/>
        <v>0.40000000000000036</v>
      </c>
      <c r="L6">
        <f t="shared" si="7"/>
        <v>2.2999999999999989</v>
      </c>
      <c r="M6">
        <f t="shared" si="3"/>
        <v>0.75409836065573765</v>
      </c>
      <c r="N6">
        <v>5</v>
      </c>
      <c r="O6">
        <f t="shared" si="4"/>
        <v>3</v>
      </c>
      <c r="P6">
        <f t="shared" si="5"/>
        <v>210</v>
      </c>
      <c r="Q6">
        <f t="shared" si="6"/>
        <v>0.22590163934426233</v>
      </c>
      <c r="R6">
        <f t="shared" si="8"/>
        <v>0.47737704918032797</v>
      </c>
    </row>
    <row r="7" spans="1:18" x14ac:dyDescent="0.3">
      <c r="A7" t="s">
        <v>6</v>
      </c>
      <c r="B7" s="1">
        <v>45078</v>
      </c>
      <c r="C7" t="s">
        <v>7</v>
      </c>
      <c r="D7" t="s">
        <v>10</v>
      </c>
      <c r="E7">
        <v>1</v>
      </c>
      <c r="F7">
        <v>15.2</v>
      </c>
      <c r="G7">
        <v>0.25</v>
      </c>
      <c r="H7">
        <v>0</v>
      </c>
      <c r="I7">
        <f t="shared" si="0"/>
        <v>0.25</v>
      </c>
      <c r="J7">
        <f t="shared" si="1"/>
        <v>15.45</v>
      </c>
      <c r="K7">
        <f t="shared" si="2"/>
        <v>0.25</v>
      </c>
      <c r="L7">
        <f t="shared" si="7"/>
        <v>2.5499999999999989</v>
      </c>
      <c r="M7">
        <f t="shared" si="3"/>
        <v>0.7295081967213114</v>
      </c>
      <c r="N7">
        <v>6</v>
      </c>
      <c r="O7">
        <f t="shared" si="4"/>
        <v>3.25</v>
      </c>
      <c r="P7">
        <f t="shared" si="5"/>
        <v>227.5</v>
      </c>
      <c r="Q7">
        <f t="shared" si="6"/>
        <v>0.25049180327868859</v>
      </c>
      <c r="R7">
        <f t="shared" si="8"/>
        <v>0.72786885245901656</v>
      </c>
    </row>
    <row r="8" spans="1:18" x14ac:dyDescent="0.3">
      <c r="A8" t="s">
        <v>0</v>
      </c>
      <c r="B8" s="1">
        <v>45079</v>
      </c>
      <c r="C8" t="s">
        <v>7</v>
      </c>
      <c r="D8" t="s">
        <v>10</v>
      </c>
      <c r="E8">
        <v>1</v>
      </c>
      <c r="F8">
        <v>15.2</v>
      </c>
      <c r="G8">
        <v>0.25</v>
      </c>
      <c r="H8">
        <v>0</v>
      </c>
      <c r="I8">
        <f t="shared" si="0"/>
        <v>0.25</v>
      </c>
      <c r="J8">
        <f t="shared" si="1"/>
        <v>15.45</v>
      </c>
      <c r="K8">
        <f t="shared" si="2"/>
        <v>0.25</v>
      </c>
      <c r="L8">
        <f t="shared" si="7"/>
        <v>2.7999999999999989</v>
      </c>
      <c r="M8">
        <f t="shared" si="3"/>
        <v>0.7295081967213114</v>
      </c>
      <c r="N8">
        <v>7</v>
      </c>
      <c r="O8">
        <f t="shared" si="4"/>
        <v>3.5</v>
      </c>
      <c r="P8">
        <f t="shared" si="5"/>
        <v>245</v>
      </c>
      <c r="Q8">
        <f t="shared" si="6"/>
        <v>0.25049180327868859</v>
      </c>
      <c r="R8">
        <f t="shared" si="8"/>
        <v>0.97836065573770514</v>
      </c>
    </row>
    <row r="9" spans="1:18" x14ac:dyDescent="0.3">
      <c r="A9" t="s">
        <v>1</v>
      </c>
      <c r="B9" s="1">
        <v>45080</v>
      </c>
      <c r="C9" t="s">
        <v>7</v>
      </c>
      <c r="D9" t="s">
        <v>10</v>
      </c>
      <c r="E9">
        <v>1</v>
      </c>
      <c r="F9">
        <v>15.2</v>
      </c>
      <c r="G9">
        <v>0</v>
      </c>
      <c r="H9">
        <v>0</v>
      </c>
      <c r="I9">
        <f t="shared" si="0"/>
        <v>0</v>
      </c>
      <c r="J9">
        <f t="shared" si="1"/>
        <v>15.2</v>
      </c>
      <c r="K9">
        <f t="shared" si="2"/>
        <v>0.39999999999999858</v>
      </c>
      <c r="L9">
        <f t="shared" si="7"/>
        <v>3.1999999999999975</v>
      </c>
      <c r="M9">
        <f t="shared" si="3"/>
        <v>0.6885245901639343</v>
      </c>
      <c r="N9">
        <v>8</v>
      </c>
      <c r="O9">
        <f t="shared" si="4"/>
        <v>3.5</v>
      </c>
      <c r="P9">
        <f t="shared" si="5"/>
        <v>245</v>
      </c>
      <c r="Q9">
        <f t="shared" si="6"/>
        <v>0.29147540983606568</v>
      </c>
      <c r="R9">
        <f t="shared" si="8"/>
        <v>1.2698360655737708</v>
      </c>
    </row>
    <row r="10" spans="1:18" x14ac:dyDescent="0.3">
      <c r="A10" t="s">
        <v>2</v>
      </c>
      <c r="B10" s="1">
        <v>45081</v>
      </c>
      <c r="C10" t="s">
        <v>7</v>
      </c>
      <c r="D10" t="s">
        <v>10</v>
      </c>
      <c r="E10">
        <v>1</v>
      </c>
      <c r="F10">
        <v>14.8</v>
      </c>
      <c r="G10">
        <v>0</v>
      </c>
      <c r="H10">
        <v>0</v>
      </c>
      <c r="I10">
        <f t="shared" si="0"/>
        <v>0</v>
      </c>
      <c r="J10">
        <f t="shared" si="1"/>
        <v>14.8</v>
      </c>
      <c r="K10">
        <f t="shared" si="2"/>
        <v>0.30000000000000071</v>
      </c>
      <c r="L10">
        <f t="shared" si="7"/>
        <v>3.4999999999999982</v>
      </c>
      <c r="M10">
        <f t="shared" si="3"/>
        <v>0.62295081967213128</v>
      </c>
      <c r="N10">
        <v>9</v>
      </c>
      <c r="O10">
        <f t="shared" si="4"/>
        <v>3.5</v>
      </c>
      <c r="P10">
        <f t="shared" si="5"/>
        <v>245</v>
      </c>
      <c r="Q10">
        <f t="shared" si="6"/>
        <v>0.3570491803278687</v>
      </c>
      <c r="R10">
        <f t="shared" si="8"/>
        <v>1.6268852459016396</v>
      </c>
    </row>
    <row r="11" spans="1:18" x14ac:dyDescent="0.3">
      <c r="A11" t="s">
        <v>3</v>
      </c>
      <c r="B11" s="1">
        <v>45082</v>
      </c>
      <c r="C11" t="s">
        <v>7</v>
      </c>
      <c r="D11" t="s">
        <v>10</v>
      </c>
      <c r="E11">
        <v>1</v>
      </c>
      <c r="F11">
        <v>14.5</v>
      </c>
      <c r="G11">
        <v>0.25</v>
      </c>
      <c r="H11">
        <v>0</v>
      </c>
      <c r="I11">
        <f t="shared" si="0"/>
        <v>0.25</v>
      </c>
      <c r="J11">
        <f t="shared" si="1"/>
        <v>14.75</v>
      </c>
      <c r="K11">
        <f t="shared" si="2"/>
        <v>0.34999999999999964</v>
      </c>
      <c r="L11">
        <f t="shared" si="7"/>
        <v>3.8499999999999979</v>
      </c>
      <c r="M11">
        <f t="shared" si="3"/>
        <v>0.61475409836065575</v>
      </c>
      <c r="N11">
        <v>10</v>
      </c>
      <c r="O11">
        <f t="shared" si="4"/>
        <v>3.75</v>
      </c>
      <c r="P11">
        <f t="shared" si="5"/>
        <v>262.5</v>
      </c>
      <c r="Q11">
        <f t="shared" si="6"/>
        <v>0.36524590163934423</v>
      </c>
      <c r="R11">
        <f t="shared" si="8"/>
        <v>1.992131147540984</v>
      </c>
    </row>
    <row r="12" spans="1:18" x14ac:dyDescent="0.3">
      <c r="A12" t="s">
        <v>4</v>
      </c>
      <c r="B12" s="1">
        <v>45083</v>
      </c>
      <c r="C12" t="s">
        <v>7</v>
      </c>
      <c r="D12" t="s">
        <v>10</v>
      </c>
      <c r="E12">
        <v>1</v>
      </c>
      <c r="F12">
        <v>14.4</v>
      </c>
      <c r="G12">
        <v>0.25</v>
      </c>
      <c r="H12">
        <v>0</v>
      </c>
      <c r="I12">
        <f t="shared" si="0"/>
        <v>0.25</v>
      </c>
      <c r="J12">
        <f t="shared" si="1"/>
        <v>14.65</v>
      </c>
      <c r="K12">
        <f t="shared" si="2"/>
        <v>0.45000000000000107</v>
      </c>
      <c r="L12">
        <f t="shared" si="7"/>
        <v>4.2999999999999989</v>
      </c>
      <c r="M12">
        <f t="shared" si="3"/>
        <v>0.59836065573770503</v>
      </c>
      <c r="N12">
        <v>11</v>
      </c>
      <c r="O12">
        <f t="shared" si="4"/>
        <v>4</v>
      </c>
      <c r="P12">
        <f t="shared" si="5"/>
        <v>280</v>
      </c>
      <c r="Q12">
        <f t="shared" si="6"/>
        <v>0.38163934426229496</v>
      </c>
      <c r="R12">
        <f t="shared" si="8"/>
        <v>2.3737704918032789</v>
      </c>
    </row>
    <row r="13" spans="1:18" x14ac:dyDescent="0.3">
      <c r="A13" t="s">
        <v>5</v>
      </c>
      <c r="B13" s="1">
        <v>45084</v>
      </c>
      <c r="C13" t="s">
        <v>7</v>
      </c>
      <c r="D13" t="s">
        <v>10</v>
      </c>
      <c r="E13">
        <v>1</v>
      </c>
      <c r="F13">
        <v>14.2</v>
      </c>
      <c r="G13">
        <v>0</v>
      </c>
      <c r="H13">
        <v>0</v>
      </c>
      <c r="I13">
        <f t="shared" si="0"/>
        <v>0</v>
      </c>
      <c r="J13">
        <f t="shared" si="1"/>
        <v>14.2</v>
      </c>
      <c r="K13">
        <f t="shared" si="2"/>
        <v>0.39999999999999858</v>
      </c>
      <c r="L13">
        <f t="shared" si="7"/>
        <v>4.6999999999999975</v>
      </c>
      <c r="M13">
        <f t="shared" si="3"/>
        <v>0.52459016393442615</v>
      </c>
      <c r="N13">
        <v>12</v>
      </c>
      <c r="O13">
        <f t="shared" si="4"/>
        <v>4</v>
      </c>
      <c r="P13">
        <f t="shared" si="5"/>
        <v>280</v>
      </c>
      <c r="Q13">
        <f t="shared" si="6"/>
        <v>0.45540983606557384</v>
      </c>
      <c r="R13">
        <f t="shared" si="8"/>
        <v>2.829180327868853</v>
      </c>
    </row>
    <row r="14" spans="1:18" x14ac:dyDescent="0.3">
      <c r="A14" t="s">
        <v>6</v>
      </c>
      <c r="B14" s="1">
        <v>45085</v>
      </c>
      <c r="C14" t="s">
        <v>7</v>
      </c>
      <c r="D14" t="s">
        <v>10</v>
      </c>
      <c r="E14">
        <v>1</v>
      </c>
      <c r="F14">
        <v>13.8</v>
      </c>
      <c r="G14">
        <v>0.25</v>
      </c>
      <c r="H14">
        <v>0</v>
      </c>
      <c r="I14">
        <f t="shared" si="0"/>
        <v>0.25</v>
      </c>
      <c r="J14">
        <f t="shared" si="1"/>
        <v>14.05</v>
      </c>
      <c r="K14">
        <f t="shared" si="2"/>
        <v>0.35000000000000142</v>
      </c>
      <c r="L14">
        <f t="shared" si="7"/>
        <v>5.0499999999999989</v>
      </c>
      <c r="M14">
        <f t="shared" si="3"/>
        <v>0.50000000000000011</v>
      </c>
      <c r="N14">
        <v>13</v>
      </c>
      <c r="O14">
        <f t="shared" si="4"/>
        <v>4.25</v>
      </c>
      <c r="P14">
        <f t="shared" si="5"/>
        <v>297.5</v>
      </c>
      <c r="Q14">
        <f t="shared" si="6"/>
        <v>0.47999999999999987</v>
      </c>
      <c r="R14">
        <f t="shared" si="8"/>
        <v>3.309180327868853</v>
      </c>
    </row>
    <row r="15" spans="1:18" x14ac:dyDescent="0.3">
      <c r="A15" t="s">
        <v>0</v>
      </c>
      <c r="B15" s="1">
        <v>45086</v>
      </c>
      <c r="C15" t="s">
        <v>7</v>
      </c>
      <c r="D15" t="s">
        <v>10</v>
      </c>
      <c r="E15">
        <v>1</v>
      </c>
      <c r="F15">
        <v>13.7</v>
      </c>
      <c r="G15">
        <v>0.25</v>
      </c>
      <c r="H15">
        <v>0</v>
      </c>
      <c r="I15">
        <f t="shared" si="0"/>
        <v>0.25</v>
      </c>
      <c r="J15">
        <f t="shared" si="1"/>
        <v>13.95</v>
      </c>
      <c r="K15">
        <f t="shared" si="2"/>
        <v>0.75</v>
      </c>
      <c r="L15">
        <f t="shared" si="7"/>
        <v>5.7999999999999989</v>
      </c>
      <c r="M15">
        <f t="shared" si="3"/>
        <v>0.48360655737704911</v>
      </c>
      <c r="N15">
        <v>14</v>
      </c>
      <c r="O15">
        <f t="shared" si="4"/>
        <v>4.5</v>
      </c>
      <c r="P15">
        <f t="shared" si="5"/>
        <v>315</v>
      </c>
      <c r="Q15">
        <f t="shared" si="6"/>
        <v>0.49639344262295088</v>
      </c>
      <c r="R15">
        <f t="shared" si="8"/>
        <v>3.805573770491804</v>
      </c>
    </row>
    <row r="16" spans="1:18" x14ac:dyDescent="0.3">
      <c r="A16" t="s">
        <v>1</v>
      </c>
      <c r="B16" s="1">
        <v>45087</v>
      </c>
      <c r="C16" t="s">
        <v>7</v>
      </c>
      <c r="D16" t="s">
        <v>10</v>
      </c>
      <c r="E16">
        <v>1</v>
      </c>
      <c r="F16">
        <v>13.2</v>
      </c>
      <c r="G16">
        <v>0</v>
      </c>
      <c r="H16">
        <v>0</v>
      </c>
      <c r="I16">
        <f t="shared" si="0"/>
        <v>0</v>
      </c>
      <c r="J16">
        <f t="shared" si="1"/>
        <v>13.2</v>
      </c>
      <c r="K16">
        <f t="shared" si="2"/>
        <v>0.5</v>
      </c>
      <c r="L16">
        <f t="shared" si="7"/>
        <v>6.2999999999999989</v>
      </c>
      <c r="M16">
        <f t="shared" si="3"/>
        <v>0.36065573770491793</v>
      </c>
      <c r="N16">
        <v>15</v>
      </c>
      <c r="O16">
        <f t="shared" si="4"/>
        <v>4.5</v>
      </c>
      <c r="P16">
        <f t="shared" si="5"/>
        <v>315</v>
      </c>
      <c r="Q16">
        <f t="shared" si="6"/>
        <v>0.61934426229508199</v>
      </c>
      <c r="R16">
        <f t="shared" si="8"/>
        <v>4.424918032786886</v>
      </c>
    </row>
    <row r="17" spans="1:18" x14ac:dyDescent="0.3">
      <c r="A17" t="s">
        <v>2</v>
      </c>
      <c r="B17" s="1">
        <v>45088</v>
      </c>
      <c r="C17" t="s">
        <v>7</v>
      </c>
      <c r="D17" t="s">
        <v>10</v>
      </c>
      <c r="E17">
        <v>1</v>
      </c>
      <c r="F17">
        <v>12.7</v>
      </c>
      <c r="G17">
        <v>0</v>
      </c>
      <c r="H17">
        <f t="shared" ref="H17:H28" si="9">13-F17-G17</f>
        <v>0.30000000000000071</v>
      </c>
      <c r="I17">
        <f t="shared" si="0"/>
        <v>0.30000000000000071</v>
      </c>
      <c r="J17">
        <f t="shared" si="1"/>
        <v>13</v>
      </c>
      <c r="K17">
        <f t="shared" si="2"/>
        <v>0.5</v>
      </c>
      <c r="L17">
        <f t="shared" si="7"/>
        <v>6.7999999999999989</v>
      </c>
      <c r="M17">
        <f t="shared" si="3"/>
        <v>0.32786885245901642</v>
      </c>
      <c r="N17">
        <v>16</v>
      </c>
      <c r="O17">
        <f t="shared" si="4"/>
        <v>4.5</v>
      </c>
      <c r="P17">
        <f t="shared" si="5"/>
        <v>315</v>
      </c>
      <c r="Q17">
        <f t="shared" si="6"/>
        <v>0.65213114754098356</v>
      </c>
      <c r="R17">
        <f t="shared" si="8"/>
        <v>5.0770491803278697</v>
      </c>
    </row>
    <row r="18" spans="1:18" x14ac:dyDescent="0.3">
      <c r="A18" t="s">
        <v>3</v>
      </c>
      <c r="B18" s="1">
        <v>45089</v>
      </c>
      <c r="C18" t="s">
        <v>7</v>
      </c>
      <c r="D18" t="s">
        <v>10</v>
      </c>
      <c r="E18">
        <v>1</v>
      </c>
      <c r="F18">
        <v>12.5</v>
      </c>
      <c r="G18">
        <v>0.5</v>
      </c>
      <c r="H18">
        <f t="shared" si="9"/>
        <v>0</v>
      </c>
      <c r="I18">
        <f t="shared" si="0"/>
        <v>0.5</v>
      </c>
      <c r="J18">
        <f t="shared" si="1"/>
        <v>13</v>
      </c>
      <c r="K18">
        <f t="shared" si="2"/>
        <v>9.9999999999999645E-2</v>
      </c>
      <c r="L18">
        <f t="shared" si="7"/>
        <v>6.8999999999999986</v>
      </c>
      <c r="M18">
        <f t="shared" si="3"/>
        <v>0.32786885245901642</v>
      </c>
      <c r="N18">
        <v>17</v>
      </c>
      <c r="O18">
        <f t="shared" si="4"/>
        <v>5</v>
      </c>
      <c r="P18">
        <f t="shared" si="5"/>
        <v>350</v>
      </c>
      <c r="Q18">
        <f t="shared" si="6"/>
        <v>0.65213114754098356</v>
      </c>
      <c r="R18">
        <f t="shared" si="8"/>
        <v>5.7291803278688533</v>
      </c>
    </row>
    <row r="19" spans="1:18" x14ac:dyDescent="0.3">
      <c r="A19" t="s">
        <v>4</v>
      </c>
      <c r="B19" s="1">
        <v>45090</v>
      </c>
      <c r="C19" t="s">
        <v>7</v>
      </c>
      <c r="D19" t="s">
        <v>10</v>
      </c>
      <c r="E19">
        <v>1</v>
      </c>
      <c r="F19">
        <v>12.9</v>
      </c>
      <c r="G19">
        <v>0</v>
      </c>
      <c r="H19">
        <f t="shared" si="9"/>
        <v>9.9999999999999645E-2</v>
      </c>
      <c r="I19">
        <f t="shared" si="0"/>
        <v>9.9999999999999645E-2</v>
      </c>
      <c r="J19">
        <f t="shared" si="1"/>
        <v>13</v>
      </c>
      <c r="K19">
        <f t="shared" si="2"/>
        <v>0.30000000000000071</v>
      </c>
      <c r="L19">
        <f t="shared" si="7"/>
        <v>7.1999999999999993</v>
      </c>
      <c r="M19">
        <f t="shared" si="3"/>
        <v>0.32786885245901642</v>
      </c>
      <c r="N19">
        <v>18</v>
      </c>
      <c r="O19">
        <f t="shared" si="4"/>
        <v>5</v>
      </c>
      <c r="P19">
        <f t="shared" si="5"/>
        <v>350</v>
      </c>
      <c r="Q19">
        <f t="shared" si="6"/>
        <v>0.65213114754098356</v>
      </c>
      <c r="R19">
        <f t="shared" si="8"/>
        <v>6.381311475409837</v>
      </c>
    </row>
    <row r="20" spans="1:18" x14ac:dyDescent="0.3">
      <c r="A20" t="s">
        <v>5</v>
      </c>
      <c r="B20" s="1">
        <v>45091</v>
      </c>
      <c r="C20" t="s">
        <v>7</v>
      </c>
      <c r="D20" t="s">
        <v>10</v>
      </c>
      <c r="E20">
        <v>1</v>
      </c>
      <c r="F20">
        <v>12.7</v>
      </c>
      <c r="G20">
        <v>0</v>
      </c>
      <c r="H20">
        <f t="shared" si="9"/>
        <v>0.30000000000000071</v>
      </c>
      <c r="I20">
        <f t="shared" si="0"/>
        <v>0.30000000000000071</v>
      </c>
      <c r="J20">
        <f t="shared" si="1"/>
        <v>13</v>
      </c>
      <c r="K20">
        <f t="shared" si="2"/>
        <v>0.40000000000000036</v>
      </c>
      <c r="L20">
        <f t="shared" si="7"/>
        <v>7.6</v>
      </c>
      <c r="M20">
        <f t="shared" si="3"/>
        <v>0.32786885245901642</v>
      </c>
      <c r="N20">
        <v>19</v>
      </c>
      <c r="O20">
        <f t="shared" si="4"/>
        <v>5</v>
      </c>
      <c r="P20">
        <f t="shared" si="5"/>
        <v>350</v>
      </c>
      <c r="Q20">
        <f t="shared" si="6"/>
        <v>0.65213114754098356</v>
      </c>
      <c r="R20">
        <f t="shared" si="8"/>
        <v>7.0334426229508207</v>
      </c>
    </row>
    <row r="21" spans="1:18" x14ac:dyDescent="0.3">
      <c r="A21" t="s">
        <v>6</v>
      </c>
      <c r="B21" s="1">
        <v>45092</v>
      </c>
      <c r="C21" t="s">
        <v>7</v>
      </c>
      <c r="D21" t="s">
        <v>10</v>
      </c>
      <c r="E21">
        <v>1</v>
      </c>
      <c r="F21">
        <v>12.6</v>
      </c>
      <c r="G21">
        <v>0.5</v>
      </c>
      <c r="H21">
        <v>0</v>
      </c>
      <c r="I21">
        <f t="shared" si="0"/>
        <v>0.5</v>
      </c>
      <c r="J21">
        <f t="shared" si="1"/>
        <v>13.1</v>
      </c>
      <c r="K21">
        <f t="shared" si="2"/>
        <v>0.5</v>
      </c>
      <c r="L21">
        <f t="shared" si="7"/>
        <v>8.1</v>
      </c>
      <c r="M21">
        <f t="shared" si="3"/>
        <v>0.34426229508196715</v>
      </c>
      <c r="N21">
        <v>20</v>
      </c>
      <c r="O21">
        <f t="shared" si="4"/>
        <v>5.5</v>
      </c>
      <c r="P21">
        <f t="shared" si="5"/>
        <v>385</v>
      </c>
      <c r="Q21">
        <f t="shared" si="6"/>
        <v>0.63573770491803283</v>
      </c>
      <c r="R21">
        <f t="shared" si="8"/>
        <v>7.6691803278688537</v>
      </c>
    </row>
    <row r="22" spans="1:18" x14ac:dyDescent="0.3">
      <c r="A22" t="s">
        <v>0</v>
      </c>
      <c r="B22" s="1">
        <v>45093</v>
      </c>
      <c r="C22" t="s">
        <v>7</v>
      </c>
      <c r="D22" t="s">
        <v>10</v>
      </c>
      <c r="E22">
        <v>1</v>
      </c>
      <c r="F22">
        <v>12.6</v>
      </c>
      <c r="G22">
        <v>0</v>
      </c>
      <c r="H22">
        <f t="shared" si="9"/>
        <v>0.40000000000000036</v>
      </c>
      <c r="I22">
        <f t="shared" si="0"/>
        <v>0.40000000000000036</v>
      </c>
      <c r="J22">
        <f t="shared" si="1"/>
        <v>13</v>
      </c>
      <c r="K22">
        <f t="shared" si="2"/>
        <v>0.40000000000000036</v>
      </c>
      <c r="L22">
        <f t="shared" si="7"/>
        <v>8.5</v>
      </c>
      <c r="M22">
        <f t="shared" si="3"/>
        <v>0.32786885245901642</v>
      </c>
      <c r="N22">
        <v>21</v>
      </c>
      <c r="O22">
        <f t="shared" si="4"/>
        <v>5.5</v>
      </c>
      <c r="P22">
        <f t="shared" si="5"/>
        <v>385</v>
      </c>
      <c r="Q22">
        <f t="shared" si="6"/>
        <v>0.65213114754098356</v>
      </c>
      <c r="R22">
        <f t="shared" si="8"/>
        <v>8.3213114754098374</v>
      </c>
    </row>
    <row r="23" spans="1:18" x14ac:dyDescent="0.3">
      <c r="A23" t="s">
        <v>1</v>
      </c>
      <c r="B23" s="1">
        <v>45094</v>
      </c>
      <c r="C23" t="s">
        <v>7</v>
      </c>
      <c r="D23" t="s">
        <v>10</v>
      </c>
      <c r="E23">
        <v>1</v>
      </c>
      <c r="F23">
        <v>12.6</v>
      </c>
      <c r="G23">
        <v>0</v>
      </c>
      <c r="H23">
        <f t="shared" si="9"/>
        <v>0.40000000000000036</v>
      </c>
      <c r="I23">
        <f t="shared" si="0"/>
        <v>0.40000000000000036</v>
      </c>
      <c r="J23">
        <f t="shared" si="1"/>
        <v>13</v>
      </c>
      <c r="K23">
        <f t="shared" si="2"/>
        <v>0.30000000000000071</v>
      </c>
      <c r="L23">
        <f t="shared" si="7"/>
        <v>8.8000000000000007</v>
      </c>
      <c r="M23">
        <f t="shared" si="3"/>
        <v>0.32786885245901642</v>
      </c>
      <c r="N23">
        <v>22</v>
      </c>
      <c r="O23">
        <f t="shared" si="4"/>
        <v>5.5</v>
      </c>
      <c r="P23">
        <f t="shared" si="5"/>
        <v>385</v>
      </c>
      <c r="Q23">
        <f t="shared" si="6"/>
        <v>0.65213114754098356</v>
      </c>
      <c r="R23">
        <f t="shared" si="8"/>
        <v>8.9734426229508202</v>
      </c>
    </row>
    <row r="24" spans="1:18" x14ac:dyDescent="0.3">
      <c r="A24" t="s">
        <v>2</v>
      </c>
      <c r="B24" s="1">
        <v>45095</v>
      </c>
      <c r="C24" t="s">
        <v>7</v>
      </c>
      <c r="D24" t="s">
        <v>10</v>
      </c>
      <c r="E24">
        <v>1</v>
      </c>
      <c r="F24">
        <v>12.7</v>
      </c>
      <c r="G24">
        <v>0</v>
      </c>
      <c r="H24">
        <f t="shared" si="9"/>
        <v>0.30000000000000071</v>
      </c>
      <c r="I24">
        <f t="shared" si="0"/>
        <v>0.30000000000000071</v>
      </c>
      <c r="J24">
        <f t="shared" si="1"/>
        <v>13</v>
      </c>
      <c r="K24">
        <f t="shared" si="2"/>
        <v>0.5</v>
      </c>
      <c r="L24">
        <f t="shared" si="7"/>
        <v>9.3000000000000007</v>
      </c>
      <c r="M24">
        <f t="shared" si="3"/>
        <v>0.32786885245901642</v>
      </c>
      <c r="N24">
        <v>23</v>
      </c>
      <c r="O24">
        <f t="shared" si="4"/>
        <v>5.5</v>
      </c>
      <c r="P24">
        <f t="shared" si="5"/>
        <v>385</v>
      </c>
      <c r="Q24">
        <f t="shared" si="6"/>
        <v>0.65213114754098356</v>
      </c>
      <c r="R24">
        <f t="shared" si="8"/>
        <v>9.625573770491803</v>
      </c>
    </row>
    <row r="25" spans="1:18" x14ac:dyDescent="0.3">
      <c r="A25" t="s">
        <v>3</v>
      </c>
      <c r="B25" s="1">
        <v>45096</v>
      </c>
      <c r="C25" t="s">
        <v>7</v>
      </c>
      <c r="D25" t="s">
        <v>10</v>
      </c>
      <c r="E25">
        <v>1</v>
      </c>
      <c r="F25">
        <v>12.5</v>
      </c>
      <c r="G25">
        <v>0.5</v>
      </c>
      <c r="H25">
        <f t="shared" si="9"/>
        <v>0</v>
      </c>
      <c r="I25">
        <f t="shared" si="0"/>
        <v>0.5</v>
      </c>
      <c r="J25">
        <f t="shared" si="1"/>
        <v>13</v>
      </c>
      <c r="K25">
        <f t="shared" si="2"/>
        <v>0.40000000000000036</v>
      </c>
      <c r="L25">
        <f t="shared" si="7"/>
        <v>9.7000000000000011</v>
      </c>
      <c r="M25">
        <f t="shared" si="3"/>
        <v>0.32786885245901642</v>
      </c>
      <c r="N25">
        <v>24</v>
      </c>
      <c r="O25">
        <f t="shared" si="4"/>
        <v>6</v>
      </c>
      <c r="P25">
        <f t="shared" si="5"/>
        <v>420</v>
      </c>
      <c r="Q25">
        <f t="shared" si="6"/>
        <v>0.65213114754098356</v>
      </c>
      <c r="R25">
        <f t="shared" si="8"/>
        <v>10.277704918032786</v>
      </c>
    </row>
    <row r="26" spans="1:18" x14ac:dyDescent="0.3">
      <c r="A26" t="s">
        <v>4</v>
      </c>
      <c r="B26" s="1">
        <v>45097</v>
      </c>
      <c r="C26" t="s">
        <v>7</v>
      </c>
      <c r="D26" t="s">
        <v>10</v>
      </c>
      <c r="E26">
        <v>1</v>
      </c>
      <c r="F26">
        <v>12.6</v>
      </c>
      <c r="G26">
        <v>0</v>
      </c>
      <c r="H26">
        <f t="shared" si="9"/>
        <v>0.40000000000000036</v>
      </c>
      <c r="I26">
        <f t="shared" si="0"/>
        <v>0.40000000000000036</v>
      </c>
      <c r="J26">
        <f t="shared" si="1"/>
        <v>13</v>
      </c>
      <c r="K26">
        <f t="shared" si="2"/>
        <v>0.80000000000000071</v>
      </c>
      <c r="L26">
        <f>L25+K26</f>
        <v>10.500000000000002</v>
      </c>
      <c r="M26">
        <f t="shared" si="3"/>
        <v>0.32786885245901642</v>
      </c>
      <c r="N26">
        <v>25</v>
      </c>
      <c r="O26">
        <f t="shared" si="4"/>
        <v>6</v>
      </c>
      <c r="P26">
        <f t="shared" si="5"/>
        <v>420</v>
      </c>
      <c r="Q26">
        <f t="shared" si="6"/>
        <v>0.65213114754098356</v>
      </c>
      <c r="R26">
        <f t="shared" si="8"/>
        <v>10.929836065573769</v>
      </c>
    </row>
    <row r="27" spans="1:18" x14ac:dyDescent="0.3">
      <c r="A27" t="s">
        <v>5</v>
      </c>
      <c r="B27" s="1">
        <v>45098</v>
      </c>
      <c r="C27" t="s">
        <v>7</v>
      </c>
      <c r="D27" t="s">
        <v>10</v>
      </c>
      <c r="E27">
        <v>1</v>
      </c>
      <c r="F27">
        <v>12.2</v>
      </c>
      <c r="G27">
        <v>0</v>
      </c>
      <c r="H27">
        <f t="shared" si="9"/>
        <v>0.80000000000000071</v>
      </c>
      <c r="I27">
        <f t="shared" si="0"/>
        <v>0.80000000000000071</v>
      </c>
      <c r="J27">
        <f t="shared" si="1"/>
        <v>13</v>
      </c>
      <c r="K27">
        <f t="shared" si="2"/>
        <v>1.0999999999999996</v>
      </c>
      <c r="L27">
        <f t="shared" ref="L27:L42" si="10">L26+K27</f>
        <v>11.600000000000001</v>
      </c>
      <c r="M27">
        <f t="shared" si="3"/>
        <v>0.32786885245901642</v>
      </c>
      <c r="N27">
        <v>26</v>
      </c>
      <c r="O27">
        <f t="shared" si="4"/>
        <v>6</v>
      </c>
      <c r="P27">
        <f t="shared" si="5"/>
        <v>420</v>
      </c>
      <c r="Q27">
        <f t="shared" si="6"/>
        <v>0.65213114754098356</v>
      </c>
      <c r="R27">
        <f t="shared" si="8"/>
        <v>11.581967213114751</v>
      </c>
    </row>
    <row r="28" spans="1:18" x14ac:dyDescent="0.3">
      <c r="A28" t="s">
        <v>6</v>
      </c>
      <c r="B28" s="1">
        <v>45099</v>
      </c>
      <c r="C28" t="s">
        <v>7</v>
      </c>
      <c r="D28" t="s">
        <v>10</v>
      </c>
      <c r="E28">
        <v>1</v>
      </c>
      <c r="F28">
        <v>11.9</v>
      </c>
      <c r="G28">
        <v>0.5</v>
      </c>
      <c r="H28">
        <f t="shared" si="9"/>
        <v>0.59999999999999964</v>
      </c>
      <c r="I28">
        <f t="shared" si="0"/>
        <v>1.0999999999999996</v>
      </c>
      <c r="J28">
        <f t="shared" si="1"/>
        <v>13</v>
      </c>
      <c r="K28">
        <f t="shared" si="2"/>
        <v>0.90000000000000036</v>
      </c>
      <c r="L28">
        <f t="shared" si="10"/>
        <v>12.500000000000002</v>
      </c>
      <c r="M28">
        <f t="shared" si="3"/>
        <v>0.32786885245901642</v>
      </c>
      <c r="N28">
        <v>27</v>
      </c>
      <c r="O28">
        <f t="shared" si="4"/>
        <v>6.5</v>
      </c>
      <c r="P28">
        <f t="shared" si="5"/>
        <v>455</v>
      </c>
      <c r="Q28">
        <f t="shared" si="6"/>
        <v>0.65213114754098356</v>
      </c>
      <c r="R28">
        <f t="shared" si="8"/>
        <v>12.234098360655734</v>
      </c>
    </row>
    <row r="29" spans="1:18" x14ac:dyDescent="0.3">
      <c r="A29" t="s">
        <v>0</v>
      </c>
      <c r="B29" s="1">
        <v>45100</v>
      </c>
      <c r="C29" t="s">
        <v>7</v>
      </c>
      <c r="D29" t="s">
        <v>10</v>
      </c>
      <c r="E29">
        <v>1</v>
      </c>
      <c r="F29">
        <v>12.1</v>
      </c>
      <c r="G29">
        <v>0</v>
      </c>
      <c r="H29">
        <f>12.2-F29-G29</f>
        <v>9.9999999999999645E-2</v>
      </c>
      <c r="I29">
        <f t="shared" si="0"/>
        <v>9.9999999999999645E-2</v>
      </c>
      <c r="J29">
        <f t="shared" si="1"/>
        <v>12.2</v>
      </c>
      <c r="K29">
        <f t="shared" si="2"/>
        <v>0.19999999999999929</v>
      </c>
      <c r="L29">
        <f t="shared" si="10"/>
        <v>12.700000000000001</v>
      </c>
      <c r="M29">
        <f t="shared" si="3"/>
        <v>0.19672131147540972</v>
      </c>
      <c r="N29">
        <v>28</v>
      </c>
      <c r="O29">
        <f t="shared" si="4"/>
        <v>6.5</v>
      </c>
      <c r="P29">
        <f t="shared" si="5"/>
        <v>455</v>
      </c>
      <c r="Q29">
        <f t="shared" si="6"/>
        <v>0.78327868852459026</v>
      </c>
      <c r="R29">
        <f>R28+Q29</f>
        <v>13.017377049180324</v>
      </c>
    </row>
    <row r="30" spans="1:18" x14ac:dyDescent="0.3">
      <c r="A30" t="s">
        <v>1</v>
      </c>
      <c r="B30" s="1">
        <v>45101</v>
      </c>
      <c r="C30" t="s">
        <v>7</v>
      </c>
      <c r="D30" t="s">
        <v>10</v>
      </c>
      <c r="E30">
        <v>1</v>
      </c>
      <c r="F30">
        <v>12</v>
      </c>
      <c r="G30">
        <v>0</v>
      </c>
      <c r="H30">
        <f t="shared" ref="H30:H31" si="11">12.2-F30-G30</f>
        <v>0.19999999999999929</v>
      </c>
      <c r="I30">
        <f t="shared" si="0"/>
        <v>0.19999999999999929</v>
      </c>
      <c r="J30">
        <f t="shared" si="1"/>
        <v>12.2</v>
      </c>
      <c r="K30">
        <f t="shared" si="2"/>
        <v>0.59999999999999964</v>
      </c>
      <c r="L30">
        <f t="shared" si="10"/>
        <v>13.3</v>
      </c>
      <c r="M30">
        <f t="shared" si="3"/>
        <v>0.19672131147540972</v>
      </c>
      <c r="N30">
        <v>29</v>
      </c>
      <c r="O30">
        <f t="shared" si="4"/>
        <v>6.5</v>
      </c>
      <c r="P30">
        <f t="shared" si="5"/>
        <v>455</v>
      </c>
      <c r="Q30">
        <f t="shared" si="6"/>
        <v>0.78327868852459026</v>
      </c>
      <c r="R30">
        <f t="shared" ref="R30:R39" si="12">R29+Q30</f>
        <v>13.800655737704913</v>
      </c>
    </row>
    <row r="31" spans="1:18" x14ac:dyDescent="0.3">
      <c r="A31" t="s">
        <v>2</v>
      </c>
      <c r="B31" s="1">
        <v>45102</v>
      </c>
      <c r="C31" t="s">
        <v>7</v>
      </c>
      <c r="D31" t="s">
        <v>10</v>
      </c>
      <c r="E31">
        <v>1</v>
      </c>
      <c r="F31">
        <v>11.6</v>
      </c>
      <c r="G31">
        <v>0</v>
      </c>
      <c r="H31">
        <f t="shared" si="11"/>
        <v>0.59999999999999964</v>
      </c>
      <c r="I31">
        <f t="shared" si="0"/>
        <v>0.59999999999999964</v>
      </c>
      <c r="J31">
        <f t="shared" si="1"/>
        <v>12.2</v>
      </c>
      <c r="K31">
        <f t="shared" si="2"/>
        <v>0.29999999999999893</v>
      </c>
      <c r="L31">
        <f t="shared" si="10"/>
        <v>13.6</v>
      </c>
      <c r="M31">
        <f t="shared" si="3"/>
        <v>0.19672131147540972</v>
      </c>
      <c r="N31">
        <v>30</v>
      </c>
      <c r="O31">
        <f t="shared" si="4"/>
        <v>6.5</v>
      </c>
      <c r="P31">
        <f t="shared" si="5"/>
        <v>455</v>
      </c>
      <c r="Q31">
        <f t="shared" si="6"/>
        <v>0.78327868852459026</v>
      </c>
      <c r="R31">
        <f t="shared" si="12"/>
        <v>14.583934426229503</v>
      </c>
    </row>
    <row r="32" spans="1:18" x14ac:dyDescent="0.3">
      <c r="A32" t="s">
        <v>3</v>
      </c>
      <c r="B32" s="1">
        <v>45103</v>
      </c>
      <c r="C32" t="s">
        <v>7</v>
      </c>
      <c r="D32" t="s">
        <v>10</v>
      </c>
      <c r="E32">
        <v>1</v>
      </c>
      <c r="F32">
        <v>11.9</v>
      </c>
      <c r="G32">
        <v>0.5</v>
      </c>
      <c r="H32">
        <v>0</v>
      </c>
      <c r="I32">
        <f t="shared" si="0"/>
        <v>0.5</v>
      </c>
      <c r="J32">
        <f t="shared" si="1"/>
        <v>12.4</v>
      </c>
      <c r="K32">
        <f t="shared" si="2"/>
        <v>0.30000000000000071</v>
      </c>
      <c r="L32">
        <f t="shared" si="10"/>
        <v>13.9</v>
      </c>
      <c r="M32">
        <f t="shared" si="3"/>
        <v>0.22950819672131154</v>
      </c>
      <c r="N32">
        <v>31</v>
      </c>
      <c r="O32">
        <f t="shared" si="4"/>
        <v>7</v>
      </c>
      <c r="P32">
        <f t="shared" si="5"/>
        <v>490</v>
      </c>
      <c r="Q32">
        <f t="shared" si="6"/>
        <v>0.75049180327868847</v>
      </c>
      <c r="R32">
        <f t="shared" si="12"/>
        <v>15.334426229508191</v>
      </c>
    </row>
    <row r="33" spans="1:18" x14ac:dyDescent="0.3">
      <c r="A33" t="s">
        <v>4</v>
      </c>
      <c r="B33" s="1">
        <v>45104</v>
      </c>
      <c r="C33" t="s">
        <v>7</v>
      </c>
      <c r="D33" t="s">
        <v>10</v>
      </c>
      <c r="E33">
        <v>1</v>
      </c>
      <c r="F33">
        <v>12.1</v>
      </c>
      <c r="G33">
        <v>0</v>
      </c>
      <c r="H33">
        <f>12.1-F33-G33</f>
        <v>0</v>
      </c>
      <c r="I33">
        <f t="shared" si="0"/>
        <v>0</v>
      </c>
      <c r="J33">
        <f t="shared" si="1"/>
        <v>12.1</v>
      </c>
      <c r="K33">
        <f t="shared" si="2"/>
        <v>0.29999999999999893</v>
      </c>
      <c r="L33">
        <f t="shared" si="10"/>
        <v>14.2</v>
      </c>
      <c r="M33">
        <f t="shared" si="3"/>
        <v>0.18032786885245897</v>
      </c>
      <c r="N33">
        <v>32</v>
      </c>
      <c r="O33">
        <f t="shared" si="4"/>
        <v>7</v>
      </c>
      <c r="P33">
        <f t="shared" si="5"/>
        <v>490</v>
      </c>
      <c r="Q33">
        <f t="shared" si="6"/>
        <v>0.79967213114754099</v>
      </c>
      <c r="R33">
        <f t="shared" si="12"/>
        <v>16.134098360655731</v>
      </c>
    </row>
    <row r="34" spans="1:18" x14ac:dyDescent="0.3">
      <c r="A34" t="s">
        <v>5</v>
      </c>
      <c r="B34" s="1">
        <v>45105</v>
      </c>
      <c r="C34" t="s">
        <v>7</v>
      </c>
      <c r="D34" t="s">
        <v>10</v>
      </c>
      <c r="E34">
        <v>1</v>
      </c>
      <c r="F34">
        <v>11.8</v>
      </c>
      <c r="G34">
        <v>0</v>
      </c>
      <c r="H34">
        <f>12.2-F34-G34</f>
        <v>0.39999999999999858</v>
      </c>
      <c r="I34">
        <f t="shared" si="0"/>
        <v>0.39999999999999858</v>
      </c>
      <c r="J34">
        <f t="shared" si="1"/>
        <v>12.2</v>
      </c>
      <c r="K34">
        <f t="shared" si="2"/>
        <v>0.5</v>
      </c>
      <c r="L34">
        <f t="shared" si="10"/>
        <v>14.7</v>
      </c>
      <c r="M34">
        <f t="shared" si="3"/>
        <v>0.19672131147540972</v>
      </c>
      <c r="N34">
        <v>33</v>
      </c>
      <c r="O34">
        <f t="shared" si="4"/>
        <v>7</v>
      </c>
      <c r="P34">
        <f t="shared" si="5"/>
        <v>490</v>
      </c>
      <c r="Q34">
        <f t="shared" si="6"/>
        <v>0.78327868852459026</v>
      </c>
      <c r="R34">
        <f t="shared" si="12"/>
        <v>16.91737704918032</v>
      </c>
    </row>
    <row r="35" spans="1:18" x14ac:dyDescent="0.3">
      <c r="A35" t="s">
        <v>6</v>
      </c>
      <c r="B35" s="1">
        <v>45106</v>
      </c>
      <c r="C35" t="s">
        <v>7</v>
      </c>
      <c r="D35" t="s">
        <v>10</v>
      </c>
      <c r="E35">
        <v>1</v>
      </c>
      <c r="F35">
        <v>11.7</v>
      </c>
      <c r="G35">
        <v>0.5</v>
      </c>
      <c r="H35">
        <v>0</v>
      </c>
      <c r="I35">
        <f t="shared" si="0"/>
        <v>0.5</v>
      </c>
      <c r="J35">
        <f t="shared" si="1"/>
        <v>12.2</v>
      </c>
      <c r="K35">
        <f t="shared" si="2"/>
        <v>0.29999999999999893</v>
      </c>
      <c r="L35">
        <f t="shared" si="10"/>
        <v>14.999999999999998</v>
      </c>
      <c r="M35">
        <f t="shared" si="3"/>
        <v>0.19672131147540972</v>
      </c>
      <c r="N35">
        <v>34</v>
      </c>
      <c r="O35">
        <f t="shared" si="4"/>
        <v>7.5</v>
      </c>
      <c r="P35">
        <f t="shared" si="5"/>
        <v>525</v>
      </c>
      <c r="Q35">
        <f t="shared" si="6"/>
        <v>0.78327868852459026</v>
      </c>
      <c r="R35">
        <f t="shared" si="12"/>
        <v>17.70065573770491</v>
      </c>
    </row>
    <row r="36" spans="1:18" x14ac:dyDescent="0.3">
      <c r="A36" t="s">
        <v>0</v>
      </c>
      <c r="B36" s="1">
        <v>45107</v>
      </c>
      <c r="C36" t="s">
        <v>7</v>
      </c>
      <c r="D36" t="s">
        <v>10</v>
      </c>
      <c r="E36">
        <v>1</v>
      </c>
      <c r="F36">
        <v>11.9</v>
      </c>
      <c r="G36">
        <v>0</v>
      </c>
      <c r="H36">
        <f t="shared" ref="H36" si="13">12.1-F36-G36</f>
        <v>0.19999999999999929</v>
      </c>
      <c r="I36">
        <f t="shared" si="0"/>
        <v>0.19999999999999929</v>
      </c>
      <c r="J36">
        <f t="shared" si="1"/>
        <v>12.1</v>
      </c>
      <c r="K36">
        <f t="shared" si="2"/>
        <v>0</v>
      </c>
      <c r="L36">
        <f t="shared" si="10"/>
        <v>14.999999999999998</v>
      </c>
      <c r="M36">
        <f t="shared" si="3"/>
        <v>0.18032786885245897</v>
      </c>
      <c r="N36">
        <v>35</v>
      </c>
      <c r="O36">
        <f t="shared" si="4"/>
        <v>7.5</v>
      </c>
      <c r="P36">
        <f t="shared" si="5"/>
        <v>525</v>
      </c>
      <c r="Q36">
        <f t="shared" si="6"/>
        <v>0.79967213114754099</v>
      </c>
      <c r="R36">
        <f t="shared" si="12"/>
        <v>18.500327868852452</v>
      </c>
    </row>
    <row r="37" spans="1:18" x14ac:dyDescent="0.3">
      <c r="A37" t="s">
        <v>1</v>
      </c>
      <c r="B37" s="1">
        <v>45108</v>
      </c>
      <c r="C37" t="s">
        <v>7</v>
      </c>
      <c r="D37" t="s">
        <v>10</v>
      </c>
      <c r="E37">
        <v>1</v>
      </c>
      <c r="F37">
        <v>12.1</v>
      </c>
      <c r="G37">
        <v>0</v>
      </c>
      <c r="H37">
        <v>3.9</v>
      </c>
      <c r="I37">
        <f t="shared" si="0"/>
        <v>3.9</v>
      </c>
      <c r="J37">
        <f t="shared" si="1"/>
        <v>16</v>
      </c>
      <c r="K37">
        <f t="shared" si="2"/>
        <v>0.19999999999999929</v>
      </c>
      <c r="L37">
        <f t="shared" si="10"/>
        <v>15.199999999999998</v>
      </c>
      <c r="M37">
        <f t="shared" si="3"/>
        <v>0.81967213114754101</v>
      </c>
      <c r="N37">
        <v>36</v>
      </c>
      <c r="O37">
        <f t="shared" si="4"/>
        <v>7.5</v>
      </c>
      <c r="P37">
        <f t="shared" si="5"/>
        <v>525</v>
      </c>
      <c r="Q37">
        <f t="shared" si="6"/>
        <v>0.16032786885245898</v>
      </c>
      <c r="R37">
        <f t="shared" si="12"/>
        <v>18.660655737704911</v>
      </c>
    </row>
    <row r="38" spans="1:18" x14ac:dyDescent="0.3">
      <c r="A38" t="s">
        <v>2</v>
      </c>
      <c r="B38" s="1">
        <v>45109</v>
      </c>
      <c r="C38" t="s">
        <v>7</v>
      </c>
      <c r="D38" t="s">
        <v>10</v>
      </c>
      <c r="E38">
        <v>1</v>
      </c>
      <c r="F38">
        <v>15.8</v>
      </c>
      <c r="G38">
        <v>0</v>
      </c>
      <c r="H38">
        <v>0</v>
      </c>
      <c r="I38">
        <f t="shared" si="0"/>
        <v>0</v>
      </c>
      <c r="J38">
        <f t="shared" si="1"/>
        <v>15.8</v>
      </c>
      <c r="K38">
        <f t="shared" si="2"/>
        <v>0.20000000000000107</v>
      </c>
      <c r="L38">
        <f t="shared" si="10"/>
        <v>15.399999999999999</v>
      </c>
      <c r="M38">
        <f t="shared" si="3"/>
        <v>0.78688524590163955</v>
      </c>
      <c r="N38">
        <v>37</v>
      </c>
      <c r="O38">
        <f t="shared" si="4"/>
        <v>7.5</v>
      </c>
      <c r="P38">
        <f t="shared" si="5"/>
        <v>525</v>
      </c>
      <c r="Q38">
        <f t="shared" si="6"/>
        <v>0.19311475409836043</v>
      </c>
      <c r="R38">
        <f t="shared" si="12"/>
        <v>18.853770491803271</v>
      </c>
    </row>
    <row r="39" spans="1:18" x14ac:dyDescent="0.3">
      <c r="A39" t="s">
        <v>3</v>
      </c>
      <c r="B39" s="1">
        <v>45110</v>
      </c>
      <c r="C39" t="s">
        <v>7</v>
      </c>
      <c r="D39" t="s">
        <v>10</v>
      </c>
      <c r="E39">
        <v>1</v>
      </c>
      <c r="F39">
        <v>15.6</v>
      </c>
      <c r="G39">
        <v>0.5</v>
      </c>
      <c r="H39">
        <v>0</v>
      </c>
      <c r="I39">
        <f t="shared" si="0"/>
        <v>0.5</v>
      </c>
      <c r="J39">
        <f t="shared" si="1"/>
        <v>16.100000000000001</v>
      </c>
      <c r="K39">
        <f t="shared" si="2"/>
        <v>0.20000000000000107</v>
      </c>
      <c r="L39">
        <f t="shared" si="10"/>
        <v>15.6</v>
      </c>
      <c r="M39">
        <f t="shared" si="3"/>
        <v>0.83606557377049207</v>
      </c>
      <c r="N39">
        <v>38</v>
      </c>
      <c r="O39">
        <f t="shared" si="4"/>
        <v>8</v>
      </c>
      <c r="P39">
        <f t="shared" si="5"/>
        <v>560</v>
      </c>
      <c r="Q39">
        <f t="shared" si="6"/>
        <v>0.14393442622950792</v>
      </c>
      <c r="R39">
        <f t="shared" si="12"/>
        <v>18.997704918032777</v>
      </c>
    </row>
    <row r="40" spans="1:18" x14ac:dyDescent="0.3">
      <c r="A40" t="s">
        <v>4</v>
      </c>
      <c r="B40" s="1">
        <v>45111</v>
      </c>
      <c r="C40" t="s">
        <v>7</v>
      </c>
      <c r="D40" t="s">
        <v>10</v>
      </c>
      <c r="E40">
        <v>1</v>
      </c>
      <c r="F40">
        <v>15.9</v>
      </c>
      <c r="G40">
        <v>0</v>
      </c>
      <c r="H40">
        <v>0</v>
      </c>
      <c r="I40">
        <f t="shared" si="0"/>
        <v>0</v>
      </c>
      <c r="J40">
        <f t="shared" si="1"/>
        <v>15.9</v>
      </c>
      <c r="K40">
        <f t="shared" si="2"/>
        <v>0.30000000000000071</v>
      </c>
      <c r="L40">
        <f t="shared" si="10"/>
        <v>15.9</v>
      </c>
      <c r="M40">
        <f t="shared" si="3"/>
        <v>0.80327868852459028</v>
      </c>
      <c r="N40">
        <v>39</v>
      </c>
      <c r="O40">
        <f t="shared" si="4"/>
        <v>8</v>
      </c>
      <c r="P40">
        <f t="shared" si="5"/>
        <v>560</v>
      </c>
      <c r="Q40">
        <f t="shared" si="6"/>
        <v>0.1767213114754097</v>
      </c>
      <c r="R40">
        <f t="shared" ref="R40:R42" si="14">R39+Q40</f>
        <v>19.174426229508189</v>
      </c>
    </row>
    <row r="41" spans="1:18" x14ac:dyDescent="0.3">
      <c r="A41" t="s">
        <v>5</v>
      </c>
      <c r="B41" s="1">
        <v>45112</v>
      </c>
      <c r="C41" t="s">
        <v>7</v>
      </c>
      <c r="D41" t="s">
        <v>10</v>
      </c>
      <c r="E41">
        <v>1</v>
      </c>
      <c r="F41">
        <v>15.6</v>
      </c>
      <c r="G41">
        <v>0</v>
      </c>
      <c r="H41">
        <v>0</v>
      </c>
      <c r="I41">
        <f t="shared" si="0"/>
        <v>0</v>
      </c>
      <c r="J41">
        <f t="shared" si="1"/>
        <v>15.6</v>
      </c>
      <c r="K41">
        <f t="shared" si="2"/>
        <v>0.40000000000000036</v>
      </c>
      <c r="L41">
        <f t="shared" si="10"/>
        <v>16.3</v>
      </c>
      <c r="M41">
        <f t="shared" si="3"/>
        <v>0.75409836065573765</v>
      </c>
      <c r="N41">
        <v>40</v>
      </c>
      <c r="O41">
        <f t="shared" si="4"/>
        <v>8</v>
      </c>
      <c r="P41">
        <f t="shared" si="5"/>
        <v>560</v>
      </c>
      <c r="Q41">
        <f t="shared" si="6"/>
        <v>0.22590163934426233</v>
      </c>
      <c r="R41">
        <f t="shared" si="14"/>
        <v>19.40032786885245</v>
      </c>
    </row>
    <row r="42" spans="1:18" x14ac:dyDescent="0.3">
      <c r="A42" t="s">
        <v>6</v>
      </c>
      <c r="B42" s="1">
        <v>45113</v>
      </c>
      <c r="C42" t="s">
        <v>7</v>
      </c>
      <c r="D42" t="s">
        <v>10</v>
      </c>
      <c r="E42">
        <v>1</v>
      </c>
      <c r="F42">
        <v>15.2</v>
      </c>
      <c r="G42">
        <v>0</v>
      </c>
      <c r="H42">
        <v>0</v>
      </c>
      <c r="I42">
        <f t="shared" si="0"/>
        <v>0</v>
      </c>
      <c r="J42">
        <f t="shared" si="1"/>
        <v>15.2</v>
      </c>
      <c r="K42">
        <f t="shared" si="2"/>
        <v>0.29999999999999893</v>
      </c>
      <c r="L42">
        <f t="shared" si="10"/>
        <v>16.600000000000001</v>
      </c>
      <c r="M42">
        <f t="shared" si="3"/>
        <v>0.6885245901639343</v>
      </c>
      <c r="N42">
        <v>41</v>
      </c>
      <c r="O42">
        <f t="shared" si="4"/>
        <v>8</v>
      </c>
      <c r="P42">
        <f t="shared" si="5"/>
        <v>560</v>
      </c>
      <c r="Q42">
        <f t="shared" si="6"/>
        <v>0.29147540983606568</v>
      </c>
      <c r="R42">
        <f t="shared" si="14"/>
        <v>19.691803278688518</v>
      </c>
    </row>
    <row r="43" spans="1:18" x14ac:dyDescent="0.3">
      <c r="A43" t="s">
        <v>0</v>
      </c>
      <c r="B43" s="1">
        <v>45114</v>
      </c>
      <c r="C43" t="s">
        <v>7</v>
      </c>
      <c r="D43" t="s">
        <v>10</v>
      </c>
      <c r="E43">
        <v>1</v>
      </c>
      <c r="F43">
        <v>14.9</v>
      </c>
      <c r="G43">
        <v>0</v>
      </c>
      <c r="H43">
        <v>0</v>
      </c>
      <c r="I43">
        <f t="shared" si="0"/>
        <v>0</v>
      </c>
    </row>
    <row r="44" spans="1:18" x14ac:dyDescent="0.3">
      <c r="A44" t="s">
        <v>1</v>
      </c>
      <c r="B44" s="1">
        <v>45073</v>
      </c>
      <c r="C44" t="s">
        <v>7</v>
      </c>
      <c r="D44" t="s">
        <v>10</v>
      </c>
      <c r="E44">
        <v>2</v>
      </c>
      <c r="F44">
        <v>17</v>
      </c>
      <c r="G44">
        <v>0</v>
      </c>
      <c r="H44">
        <v>0</v>
      </c>
      <c r="I44">
        <f>H44+G44</f>
        <v>0</v>
      </c>
      <c r="J44">
        <f>I44+F44</f>
        <v>17</v>
      </c>
      <c r="K44">
        <f>J44-F45</f>
        <v>0.39999999999999858</v>
      </c>
      <c r="M44">
        <f t="shared" si="3"/>
        <v>0.98360655737704927</v>
      </c>
      <c r="N44">
        <v>1</v>
      </c>
      <c r="O44">
        <v>2.5</v>
      </c>
      <c r="P44">
        <f>O44*70</f>
        <v>175</v>
      </c>
    </row>
    <row r="45" spans="1:18" x14ac:dyDescent="0.3">
      <c r="A45" t="s">
        <v>2</v>
      </c>
      <c r="B45" s="1">
        <v>45074</v>
      </c>
      <c r="C45" t="s">
        <v>7</v>
      </c>
      <c r="D45" t="s">
        <v>10</v>
      </c>
      <c r="E45">
        <v>2</v>
      </c>
      <c r="F45">
        <v>16.600000000000001</v>
      </c>
      <c r="G45">
        <v>0</v>
      </c>
      <c r="H45">
        <v>0</v>
      </c>
      <c r="I45">
        <f t="shared" ref="I45:I85" si="15">H45+G45</f>
        <v>0</v>
      </c>
      <c r="J45">
        <f t="shared" ref="J45:J84" si="16">I45+F45</f>
        <v>16.600000000000001</v>
      </c>
      <c r="K45">
        <f t="shared" ref="K45:K84" si="17">J45-F46</f>
        <v>0.30000000000000071</v>
      </c>
      <c r="L45">
        <f>K44+K45</f>
        <v>0.69999999999999929</v>
      </c>
      <c r="M45">
        <f t="shared" si="3"/>
        <v>0.91803278688524614</v>
      </c>
      <c r="N45">
        <v>2</v>
      </c>
      <c r="O45">
        <f t="shared" ref="O45:O84" si="18">O44+G45</f>
        <v>2.5</v>
      </c>
      <c r="P45">
        <f t="shared" ref="P45:P84" si="19">O45*70</f>
        <v>175</v>
      </c>
      <c r="Q45">
        <f t="shared" ref="Q45:Q84" si="20">0.98-M45</f>
        <v>6.1967213114753839E-2</v>
      </c>
      <c r="R45">
        <f>Q44+Q45</f>
        <v>6.1967213114753839E-2</v>
      </c>
    </row>
    <row r="46" spans="1:18" x14ac:dyDescent="0.3">
      <c r="A46" t="s">
        <v>3</v>
      </c>
      <c r="B46" s="1">
        <v>45075</v>
      </c>
      <c r="C46" t="s">
        <v>7</v>
      </c>
      <c r="D46" t="s">
        <v>10</v>
      </c>
      <c r="E46">
        <v>2</v>
      </c>
      <c r="F46">
        <v>16.3</v>
      </c>
      <c r="G46">
        <v>0.25</v>
      </c>
      <c r="H46">
        <v>0</v>
      </c>
      <c r="I46">
        <f t="shared" si="15"/>
        <v>0.25</v>
      </c>
      <c r="J46">
        <f t="shared" si="16"/>
        <v>16.55</v>
      </c>
      <c r="K46">
        <f t="shared" si="17"/>
        <v>0.55000000000000071</v>
      </c>
      <c r="L46">
        <f>L45+K46</f>
        <v>1.25</v>
      </c>
      <c r="M46">
        <f t="shared" si="3"/>
        <v>0.90983606557377061</v>
      </c>
      <c r="N46">
        <v>3</v>
      </c>
      <c r="O46">
        <f t="shared" si="18"/>
        <v>2.75</v>
      </c>
      <c r="P46">
        <f t="shared" si="19"/>
        <v>192.5</v>
      </c>
      <c r="Q46">
        <f t="shared" si="20"/>
        <v>7.0163934426229368E-2</v>
      </c>
      <c r="R46">
        <f>R45+Q46</f>
        <v>0.13213114754098321</v>
      </c>
    </row>
    <row r="47" spans="1:18" x14ac:dyDescent="0.3">
      <c r="A47" t="s">
        <v>4</v>
      </c>
      <c r="B47" s="1">
        <v>45076</v>
      </c>
      <c r="C47" t="s">
        <v>7</v>
      </c>
      <c r="D47" t="s">
        <v>10</v>
      </c>
      <c r="E47">
        <v>2</v>
      </c>
      <c r="F47">
        <v>16</v>
      </c>
      <c r="G47">
        <v>0.25</v>
      </c>
      <c r="H47">
        <v>0</v>
      </c>
      <c r="I47">
        <f t="shared" si="15"/>
        <v>0.25</v>
      </c>
      <c r="J47">
        <f t="shared" si="16"/>
        <v>16.25</v>
      </c>
      <c r="K47">
        <f t="shared" si="17"/>
        <v>0.65000000000000036</v>
      </c>
      <c r="L47">
        <f t="shared" ref="L47:L67" si="21">L46+K47</f>
        <v>1.9000000000000004</v>
      </c>
      <c r="M47">
        <f t="shared" si="3"/>
        <v>0.8606557377049181</v>
      </c>
      <c r="N47">
        <v>4</v>
      </c>
      <c r="O47">
        <f t="shared" si="18"/>
        <v>3</v>
      </c>
      <c r="P47">
        <f t="shared" si="19"/>
        <v>210</v>
      </c>
      <c r="Q47">
        <f t="shared" si="20"/>
        <v>0.11934426229508188</v>
      </c>
      <c r="R47">
        <f t="shared" ref="R47:R70" si="22">R46+Q47</f>
        <v>0.25147540983606509</v>
      </c>
    </row>
    <row r="48" spans="1:18" x14ac:dyDescent="0.3">
      <c r="A48" t="s">
        <v>5</v>
      </c>
      <c r="B48" s="1">
        <v>45077</v>
      </c>
      <c r="C48" t="s">
        <v>7</v>
      </c>
      <c r="D48" t="s">
        <v>10</v>
      </c>
      <c r="E48">
        <v>2</v>
      </c>
      <c r="F48">
        <v>15.6</v>
      </c>
      <c r="G48">
        <v>0</v>
      </c>
      <c r="H48">
        <v>0</v>
      </c>
      <c r="I48">
        <f t="shared" si="15"/>
        <v>0</v>
      </c>
      <c r="J48">
        <f t="shared" si="16"/>
        <v>15.6</v>
      </c>
      <c r="K48">
        <f t="shared" si="17"/>
        <v>0.5</v>
      </c>
      <c r="L48">
        <f t="shared" si="21"/>
        <v>2.4000000000000004</v>
      </c>
      <c r="M48">
        <f t="shared" si="3"/>
        <v>0.75409836065573765</v>
      </c>
      <c r="N48">
        <v>5</v>
      </c>
      <c r="O48">
        <f t="shared" si="18"/>
        <v>3</v>
      </c>
      <c r="P48">
        <f t="shared" si="19"/>
        <v>210</v>
      </c>
      <c r="Q48">
        <f t="shared" si="20"/>
        <v>0.22590163934426233</v>
      </c>
      <c r="R48">
        <f t="shared" si="22"/>
        <v>0.47737704918032742</v>
      </c>
    </row>
    <row r="49" spans="1:18" x14ac:dyDescent="0.3">
      <c r="A49" t="s">
        <v>6</v>
      </c>
      <c r="B49" s="1">
        <v>45078</v>
      </c>
      <c r="C49" t="s">
        <v>7</v>
      </c>
      <c r="D49" t="s">
        <v>10</v>
      </c>
      <c r="E49">
        <v>2</v>
      </c>
      <c r="F49">
        <v>15.1</v>
      </c>
      <c r="G49">
        <v>0.25</v>
      </c>
      <c r="H49">
        <v>0</v>
      </c>
      <c r="I49">
        <f t="shared" si="15"/>
        <v>0.25</v>
      </c>
      <c r="J49">
        <f t="shared" si="16"/>
        <v>15.35</v>
      </c>
      <c r="K49">
        <f t="shared" si="17"/>
        <v>0.34999999999999964</v>
      </c>
      <c r="L49">
        <f t="shared" si="21"/>
        <v>2.75</v>
      </c>
      <c r="M49">
        <f t="shared" si="3"/>
        <v>0.71311475409836067</v>
      </c>
      <c r="N49">
        <v>6</v>
      </c>
      <c r="O49">
        <f t="shared" si="18"/>
        <v>3.25</v>
      </c>
      <c r="P49">
        <f t="shared" si="19"/>
        <v>227.5</v>
      </c>
      <c r="Q49">
        <f t="shared" si="20"/>
        <v>0.26688524590163931</v>
      </c>
      <c r="R49">
        <f t="shared" si="22"/>
        <v>0.74426229508196673</v>
      </c>
    </row>
    <row r="50" spans="1:18" x14ac:dyDescent="0.3">
      <c r="A50" t="s">
        <v>0</v>
      </c>
      <c r="B50" s="1">
        <v>45079</v>
      </c>
      <c r="C50" t="s">
        <v>7</v>
      </c>
      <c r="D50" t="s">
        <v>10</v>
      </c>
      <c r="E50">
        <v>2</v>
      </c>
      <c r="F50">
        <v>15</v>
      </c>
      <c r="G50">
        <v>0.25</v>
      </c>
      <c r="H50">
        <v>0</v>
      </c>
      <c r="I50">
        <f t="shared" si="15"/>
        <v>0.25</v>
      </c>
      <c r="J50">
        <f t="shared" si="16"/>
        <v>15.25</v>
      </c>
      <c r="K50">
        <f t="shared" si="17"/>
        <v>0.25</v>
      </c>
      <c r="L50">
        <f t="shared" si="21"/>
        <v>3</v>
      </c>
      <c r="M50">
        <f t="shared" si="3"/>
        <v>0.69672131147540983</v>
      </c>
      <c r="N50">
        <v>7</v>
      </c>
      <c r="O50">
        <f t="shared" si="18"/>
        <v>3.5</v>
      </c>
      <c r="P50">
        <f t="shared" si="19"/>
        <v>245</v>
      </c>
      <c r="Q50">
        <f t="shared" si="20"/>
        <v>0.28327868852459015</v>
      </c>
      <c r="R50">
        <f t="shared" si="22"/>
        <v>1.0275409836065568</v>
      </c>
    </row>
    <row r="51" spans="1:18" x14ac:dyDescent="0.3">
      <c r="A51" t="s">
        <v>1</v>
      </c>
      <c r="B51" s="1">
        <v>45080</v>
      </c>
      <c r="C51" t="s">
        <v>7</v>
      </c>
      <c r="D51" t="s">
        <v>10</v>
      </c>
      <c r="E51">
        <v>2</v>
      </c>
      <c r="F51">
        <v>15</v>
      </c>
      <c r="G51">
        <v>0</v>
      </c>
      <c r="H51">
        <v>0</v>
      </c>
      <c r="I51">
        <f t="shared" si="15"/>
        <v>0</v>
      </c>
      <c r="J51">
        <f t="shared" si="16"/>
        <v>15</v>
      </c>
      <c r="K51">
        <f t="shared" si="17"/>
        <v>0.40000000000000036</v>
      </c>
      <c r="L51">
        <f t="shared" si="21"/>
        <v>3.4000000000000004</v>
      </c>
      <c r="M51">
        <f t="shared" si="3"/>
        <v>0.65573770491803285</v>
      </c>
      <c r="N51">
        <v>8</v>
      </c>
      <c r="O51">
        <f t="shared" si="18"/>
        <v>3.5</v>
      </c>
      <c r="P51">
        <f t="shared" si="19"/>
        <v>245</v>
      </c>
      <c r="Q51">
        <f t="shared" si="20"/>
        <v>0.32426229508196713</v>
      </c>
      <c r="R51">
        <f t="shared" si="22"/>
        <v>1.3518032786885239</v>
      </c>
    </row>
    <row r="52" spans="1:18" x14ac:dyDescent="0.3">
      <c r="A52" t="s">
        <v>2</v>
      </c>
      <c r="B52" s="1">
        <v>45081</v>
      </c>
      <c r="C52" t="s">
        <v>7</v>
      </c>
      <c r="D52" t="s">
        <v>10</v>
      </c>
      <c r="E52">
        <v>2</v>
      </c>
      <c r="F52">
        <v>14.6</v>
      </c>
      <c r="G52">
        <v>0</v>
      </c>
      <c r="H52">
        <v>0</v>
      </c>
      <c r="I52">
        <f t="shared" si="15"/>
        <v>0</v>
      </c>
      <c r="J52">
        <f t="shared" si="16"/>
        <v>14.6</v>
      </c>
      <c r="K52">
        <f t="shared" si="17"/>
        <v>0.59999999999999964</v>
      </c>
      <c r="L52">
        <f t="shared" si="21"/>
        <v>4</v>
      </c>
      <c r="M52">
        <f t="shared" si="3"/>
        <v>0.5901639344262295</v>
      </c>
      <c r="N52">
        <v>9</v>
      </c>
      <c r="O52">
        <f t="shared" si="18"/>
        <v>3.5</v>
      </c>
      <c r="P52">
        <f t="shared" si="19"/>
        <v>245</v>
      </c>
      <c r="Q52">
        <f t="shared" si="20"/>
        <v>0.38983606557377048</v>
      </c>
      <c r="R52">
        <f t="shared" si="22"/>
        <v>1.7416393442622944</v>
      </c>
    </row>
    <row r="53" spans="1:18" x14ac:dyDescent="0.3">
      <c r="A53" t="s">
        <v>3</v>
      </c>
      <c r="B53" s="1">
        <v>45082</v>
      </c>
      <c r="C53" t="s">
        <v>7</v>
      </c>
      <c r="D53" t="s">
        <v>10</v>
      </c>
      <c r="E53">
        <v>2</v>
      </c>
      <c r="F53">
        <v>14</v>
      </c>
      <c r="G53">
        <v>0.25</v>
      </c>
      <c r="H53">
        <v>0</v>
      </c>
      <c r="I53">
        <f t="shared" si="15"/>
        <v>0.25</v>
      </c>
      <c r="J53">
        <f t="shared" si="16"/>
        <v>14.25</v>
      </c>
      <c r="K53">
        <f t="shared" si="17"/>
        <v>0.25</v>
      </c>
      <c r="L53">
        <f t="shared" si="21"/>
        <v>4.25</v>
      </c>
      <c r="M53">
        <f t="shared" si="3"/>
        <v>0.53278688524590168</v>
      </c>
      <c r="N53">
        <v>10</v>
      </c>
      <c r="O53">
        <f t="shared" si="18"/>
        <v>3.75</v>
      </c>
      <c r="P53">
        <f t="shared" si="19"/>
        <v>262.5</v>
      </c>
      <c r="Q53">
        <f t="shared" si="20"/>
        <v>0.44721311475409831</v>
      </c>
      <c r="R53">
        <f t="shared" si="22"/>
        <v>2.1888524590163927</v>
      </c>
    </row>
    <row r="54" spans="1:18" x14ac:dyDescent="0.3">
      <c r="A54" t="s">
        <v>4</v>
      </c>
      <c r="B54" s="1">
        <v>45083</v>
      </c>
      <c r="C54" t="s">
        <v>7</v>
      </c>
      <c r="D54" t="s">
        <v>10</v>
      </c>
      <c r="E54">
        <v>2</v>
      </c>
      <c r="F54">
        <v>14</v>
      </c>
      <c r="G54">
        <v>0.25</v>
      </c>
      <c r="H54">
        <v>0</v>
      </c>
      <c r="I54">
        <f t="shared" si="15"/>
        <v>0.25</v>
      </c>
      <c r="J54">
        <f t="shared" si="16"/>
        <v>14.25</v>
      </c>
      <c r="K54">
        <f t="shared" si="17"/>
        <v>0.65000000000000036</v>
      </c>
      <c r="L54">
        <f t="shared" si="21"/>
        <v>4.9000000000000004</v>
      </c>
      <c r="M54">
        <f t="shared" si="3"/>
        <v>0.53278688524590168</v>
      </c>
      <c r="N54">
        <v>11</v>
      </c>
      <c r="O54">
        <f t="shared" si="18"/>
        <v>4</v>
      </c>
      <c r="P54">
        <f t="shared" si="19"/>
        <v>280</v>
      </c>
      <c r="Q54">
        <f t="shared" si="20"/>
        <v>0.44721311475409831</v>
      </c>
      <c r="R54">
        <f t="shared" si="22"/>
        <v>2.636065573770491</v>
      </c>
    </row>
    <row r="55" spans="1:18" x14ac:dyDescent="0.3">
      <c r="A55" t="s">
        <v>5</v>
      </c>
      <c r="B55" s="1">
        <v>45084</v>
      </c>
      <c r="C55" t="s">
        <v>7</v>
      </c>
      <c r="D55" t="s">
        <v>10</v>
      </c>
      <c r="E55">
        <v>2</v>
      </c>
      <c r="F55">
        <v>13.6</v>
      </c>
      <c r="G55">
        <v>0</v>
      </c>
      <c r="H55">
        <v>0</v>
      </c>
      <c r="I55">
        <f t="shared" si="15"/>
        <v>0</v>
      </c>
      <c r="J55">
        <f t="shared" si="16"/>
        <v>13.6</v>
      </c>
      <c r="K55">
        <f t="shared" si="17"/>
        <v>0.5</v>
      </c>
      <c r="L55">
        <f t="shared" si="21"/>
        <v>5.4</v>
      </c>
      <c r="M55">
        <f t="shared" si="3"/>
        <v>0.42622950819672129</v>
      </c>
      <c r="N55">
        <v>12</v>
      </c>
      <c r="O55">
        <f t="shared" si="18"/>
        <v>4</v>
      </c>
      <c r="P55">
        <f t="shared" si="19"/>
        <v>280</v>
      </c>
      <c r="Q55">
        <f t="shared" si="20"/>
        <v>0.55377049180327864</v>
      </c>
      <c r="R55">
        <f t="shared" si="22"/>
        <v>3.1898360655737696</v>
      </c>
    </row>
    <row r="56" spans="1:18" x14ac:dyDescent="0.3">
      <c r="A56" t="s">
        <v>6</v>
      </c>
      <c r="B56" s="1">
        <v>45085</v>
      </c>
      <c r="C56" t="s">
        <v>7</v>
      </c>
      <c r="D56" t="s">
        <v>10</v>
      </c>
      <c r="E56">
        <v>2</v>
      </c>
      <c r="F56">
        <v>13.1</v>
      </c>
      <c r="G56">
        <v>0.25</v>
      </c>
      <c r="H56">
        <v>0</v>
      </c>
      <c r="I56">
        <f t="shared" si="15"/>
        <v>0.25</v>
      </c>
      <c r="J56">
        <f t="shared" si="16"/>
        <v>13.35</v>
      </c>
      <c r="K56">
        <f t="shared" si="17"/>
        <v>0.44999999999999929</v>
      </c>
      <c r="L56">
        <f t="shared" si="21"/>
        <v>5.85</v>
      </c>
      <c r="M56">
        <f t="shared" si="3"/>
        <v>0.38524590163934425</v>
      </c>
      <c r="N56">
        <v>13</v>
      </c>
      <c r="O56">
        <f t="shared" si="18"/>
        <v>4.25</v>
      </c>
      <c r="P56">
        <f t="shared" si="19"/>
        <v>297.5</v>
      </c>
      <c r="Q56">
        <f t="shared" si="20"/>
        <v>0.59475409836065574</v>
      </c>
      <c r="R56">
        <f t="shared" si="22"/>
        <v>3.7845901639344253</v>
      </c>
    </row>
    <row r="57" spans="1:18" x14ac:dyDescent="0.3">
      <c r="A57" t="s">
        <v>0</v>
      </c>
      <c r="B57" s="1">
        <v>45086</v>
      </c>
      <c r="C57" t="s">
        <v>7</v>
      </c>
      <c r="D57" t="s">
        <v>10</v>
      </c>
      <c r="E57">
        <v>2</v>
      </c>
      <c r="F57">
        <v>12.9</v>
      </c>
      <c r="G57">
        <v>0.25</v>
      </c>
      <c r="H57">
        <v>0</v>
      </c>
      <c r="I57">
        <f t="shared" si="15"/>
        <v>0.25</v>
      </c>
      <c r="J57">
        <f t="shared" si="16"/>
        <v>13.15</v>
      </c>
      <c r="K57">
        <f t="shared" si="17"/>
        <v>0.65000000000000036</v>
      </c>
      <c r="L57">
        <f t="shared" si="21"/>
        <v>6.5</v>
      </c>
      <c r="M57">
        <f t="shared" si="3"/>
        <v>0.35245901639344268</v>
      </c>
      <c r="N57">
        <v>14</v>
      </c>
      <c r="O57">
        <f t="shared" si="18"/>
        <v>4.5</v>
      </c>
      <c r="P57">
        <f t="shared" si="19"/>
        <v>315</v>
      </c>
      <c r="Q57">
        <f t="shared" si="20"/>
        <v>0.6275409836065573</v>
      </c>
      <c r="R57">
        <f t="shared" si="22"/>
        <v>4.4121311475409826</v>
      </c>
    </row>
    <row r="58" spans="1:18" x14ac:dyDescent="0.3">
      <c r="A58" t="s">
        <v>1</v>
      </c>
      <c r="B58" s="1">
        <v>45087</v>
      </c>
      <c r="C58" t="s">
        <v>7</v>
      </c>
      <c r="D58" t="s">
        <v>10</v>
      </c>
      <c r="E58">
        <v>2</v>
      </c>
      <c r="F58">
        <v>12.5</v>
      </c>
      <c r="G58">
        <v>0</v>
      </c>
      <c r="H58">
        <f t="shared" ref="H58:H70" si="23">13-F58-G58</f>
        <v>0.5</v>
      </c>
      <c r="I58">
        <f t="shared" si="15"/>
        <v>0.5</v>
      </c>
      <c r="J58">
        <f t="shared" si="16"/>
        <v>13</v>
      </c>
      <c r="K58">
        <f t="shared" si="17"/>
        <v>0.59999999999999964</v>
      </c>
      <c r="L58">
        <f t="shared" si="21"/>
        <v>7.1</v>
      </c>
      <c r="M58">
        <f t="shared" si="3"/>
        <v>0.32786885245901642</v>
      </c>
      <c r="N58">
        <v>15</v>
      </c>
      <c r="O58">
        <f t="shared" si="18"/>
        <v>4.5</v>
      </c>
      <c r="P58">
        <f t="shared" si="19"/>
        <v>315</v>
      </c>
      <c r="Q58">
        <f t="shared" si="20"/>
        <v>0.65213114754098356</v>
      </c>
      <c r="R58">
        <f t="shared" si="22"/>
        <v>5.0642622950819662</v>
      </c>
    </row>
    <row r="59" spans="1:18" x14ac:dyDescent="0.3">
      <c r="A59" t="s">
        <v>2</v>
      </c>
      <c r="B59" s="1">
        <v>45088</v>
      </c>
      <c r="C59" t="s">
        <v>7</v>
      </c>
      <c r="D59" t="s">
        <v>10</v>
      </c>
      <c r="E59">
        <v>2</v>
      </c>
      <c r="F59">
        <v>12.4</v>
      </c>
      <c r="G59">
        <v>0</v>
      </c>
      <c r="H59">
        <f t="shared" si="23"/>
        <v>0.59999999999999964</v>
      </c>
      <c r="I59">
        <f t="shared" si="15"/>
        <v>0.59999999999999964</v>
      </c>
      <c r="J59">
        <f t="shared" si="16"/>
        <v>13</v>
      </c>
      <c r="K59">
        <f t="shared" si="17"/>
        <v>0.5</v>
      </c>
      <c r="L59">
        <f t="shared" si="21"/>
        <v>7.6</v>
      </c>
      <c r="M59">
        <f t="shared" si="3"/>
        <v>0.32786885245901642</v>
      </c>
      <c r="N59">
        <v>16</v>
      </c>
      <c r="O59">
        <f t="shared" si="18"/>
        <v>4.5</v>
      </c>
      <c r="P59">
        <f t="shared" si="19"/>
        <v>315</v>
      </c>
      <c r="Q59">
        <f t="shared" si="20"/>
        <v>0.65213114754098356</v>
      </c>
      <c r="R59">
        <f t="shared" si="22"/>
        <v>5.7163934426229499</v>
      </c>
    </row>
    <row r="60" spans="1:18" x14ac:dyDescent="0.3">
      <c r="A60" t="s">
        <v>3</v>
      </c>
      <c r="B60" s="1">
        <v>45089</v>
      </c>
      <c r="C60" t="s">
        <v>7</v>
      </c>
      <c r="D60" t="s">
        <v>10</v>
      </c>
      <c r="E60">
        <v>2</v>
      </c>
      <c r="F60">
        <v>12.5</v>
      </c>
      <c r="G60">
        <v>0.5</v>
      </c>
      <c r="H60">
        <f t="shared" si="23"/>
        <v>0</v>
      </c>
      <c r="I60">
        <f t="shared" si="15"/>
        <v>0.5</v>
      </c>
      <c r="J60">
        <f t="shared" si="16"/>
        <v>13</v>
      </c>
      <c r="K60">
        <f t="shared" si="17"/>
        <v>0.30000000000000071</v>
      </c>
      <c r="L60">
        <f t="shared" si="21"/>
        <v>7.9</v>
      </c>
      <c r="M60">
        <f t="shared" si="3"/>
        <v>0.32786885245901642</v>
      </c>
      <c r="N60">
        <v>17</v>
      </c>
      <c r="O60">
        <f t="shared" si="18"/>
        <v>5</v>
      </c>
      <c r="P60">
        <f t="shared" si="19"/>
        <v>350</v>
      </c>
      <c r="Q60">
        <f t="shared" si="20"/>
        <v>0.65213114754098356</v>
      </c>
      <c r="R60">
        <f t="shared" si="22"/>
        <v>6.3685245901639336</v>
      </c>
    </row>
    <row r="61" spans="1:18" x14ac:dyDescent="0.3">
      <c r="A61" t="s">
        <v>4</v>
      </c>
      <c r="B61" s="1">
        <v>45090</v>
      </c>
      <c r="C61" t="s">
        <v>7</v>
      </c>
      <c r="D61" t="s">
        <v>10</v>
      </c>
      <c r="E61">
        <v>2</v>
      </c>
      <c r="F61">
        <v>12.7</v>
      </c>
      <c r="G61">
        <v>0</v>
      </c>
      <c r="H61">
        <f t="shared" si="23"/>
        <v>0.30000000000000071</v>
      </c>
      <c r="I61">
        <f t="shared" si="15"/>
        <v>0.30000000000000071</v>
      </c>
      <c r="J61">
        <f t="shared" si="16"/>
        <v>13</v>
      </c>
      <c r="K61">
        <f t="shared" si="17"/>
        <v>0.5</v>
      </c>
      <c r="L61">
        <f t="shared" si="21"/>
        <v>8.4</v>
      </c>
      <c r="M61">
        <f t="shared" si="3"/>
        <v>0.32786885245901642</v>
      </c>
      <c r="N61">
        <v>18</v>
      </c>
      <c r="O61">
        <f t="shared" si="18"/>
        <v>5</v>
      </c>
      <c r="P61">
        <f t="shared" si="19"/>
        <v>350</v>
      </c>
      <c r="Q61">
        <f t="shared" si="20"/>
        <v>0.65213114754098356</v>
      </c>
      <c r="R61">
        <f t="shared" si="22"/>
        <v>7.0206557377049172</v>
      </c>
    </row>
    <row r="62" spans="1:18" x14ac:dyDescent="0.3">
      <c r="A62" t="s">
        <v>5</v>
      </c>
      <c r="B62" s="1">
        <v>45091</v>
      </c>
      <c r="C62" t="s">
        <v>7</v>
      </c>
      <c r="D62" t="s">
        <v>10</v>
      </c>
      <c r="E62">
        <v>2</v>
      </c>
      <c r="F62">
        <v>12.5</v>
      </c>
      <c r="G62">
        <v>0</v>
      </c>
      <c r="H62">
        <f t="shared" si="23"/>
        <v>0.5</v>
      </c>
      <c r="I62">
        <f t="shared" si="15"/>
        <v>0.5</v>
      </c>
      <c r="J62">
        <f t="shared" si="16"/>
        <v>13</v>
      </c>
      <c r="K62">
        <f t="shared" si="17"/>
        <v>0.59999999999999964</v>
      </c>
      <c r="L62">
        <f t="shared" si="21"/>
        <v>9</v>
      </c>
      <c r="M62">
        <f t="shared" si="3"/>
        <v>0.32786885245901642</v>
      </c>
      <c r="N62">
        <v>19</v>
      </c>
      <c r="O62">
        <f t="shared" si="18"/>
        <v>5</v>
      </c>
      <c r="P62">
        <f t="shared" si="19"/>
        <v>350</v>
      </c>
      <c r="Q62">
        <f t="shared" si="20"/>
        <v>0.65213114754098356</v>
      </c>
      <c r="R62">
        <f t="shared" si="22"/>
        <v>7.6727868852459009</v>
      </c>
    </row>
    <row r="63" spans="1:18" x14ac:dyDescent="0.3">
      <c r="A63" t="s">
        <v>6</v>
      </c>
      <c r="B63" s="1">
        <v>45092</v>
      </c>
      <c r="C63" t="s">
        <v>7</v>
      </c>
      <c r="D63" t="s">
        <v>10</v>
      </c>
      <c r="E63">
        <v>2</v>
      </c>
      <c r="F63">
        <v>12.4</v>
      </c>
      <c r="G63">
        <v>0.5</v>
      </c>
      <c r="H63">
        <f t="shared" si="23"/>
        <v>9.9999999999999645E-2</v>
      </c>
      <c r="I63">
        <f t="shared" si="15"/>
        <v>0.59999999999999964</v>
      </c>
      <c r="J63">
        <f t="shared" si="16"/>
        <v>13</v>
      </c>
      <c r="K63">
        <f t="shared" si="17"/>
        <v>0.59999999999999964</v>
      </c>
      <c r="L63">
        <f t="shared" si="21"/>
        <v>9.6</v>
      </c>
      <c r="M63">
        <f t="shared" si="3"/>
        <v>0.32786885245901642</v>
      </c>
      <c r="N63">
        <v>20</v>
      </c>
      <c r="O63">
        <f t="shared" si="18"/>
        <v>5.5</v>
      </c>
      <c r="P63">
        <f t="shared" si="19"/>
        <v>385</v>
      </c>
      <c r="Q63">
        <f t="shared" si="20"/>
        <v>0.65213114754098356</v>
      </c>
      <c r="R63">
        <f t="shared" si="22"/>
        <v>8.3249180327868846</v>
      </c>
    </row>
    <row r="64" spans="1:18" x14ac:dyDescent="0.3">
      <c r="A64" t="s">
        <v>0</v>
      </c>
      <c r="B64" s="1">
        <v>45093</v>
      </c>
      <c r="C64" t="s">
        <v>7</v>
      </c>
      <c r="D64" t="s">
        <v>10</v>
      </c>
      <c r="E64">
        <v>2</v>
      </c>
      <c r="F64">
        <v>12.4</v>
      </c>
      <c r="G64">
        <v>0</v>
      </c>
      <c r="H64">
        <f t="shared" si="23"/>
        <v>0.59999999999999964</v>
      </c>
      <c r="I64">
        <f t="shared" si="15"/>
        <v>0.59999999999999964</v>
      </c>
      <c r="J64">
        <f t="shared" si="16"/>
        <v>13</v>
      </c>
      <c r="K64">
        <f t="shared" si="17"/>
        <v>0.69999999999999929</v>
      </c>
      <c r="L64">
        <f t="shared" si="21"/>
        <v>10.299999999999999</v>
      </c>
      <c r="M64">
        <f t="shared" si="3"/>
        <v>0.32786885245901642</v>
      </c>
      <c r="N64">
        <v>21</v>
      </c>
      <c r="O64">
        <f t="shared" si="18"/>
        <v>5.5</v>
      </c>
      <c r="P64">
        <f t="shared" si="19"/>
        <v>385</v>
      </c>
      <c r="Q64">
        <f t="shared" si="20"/>
        <v>0.65213114754098356</v>
      </c>
      <c r="R64">
        <f t="shared" si="22"/>
        <v>8.9770491803278674</v>
      </c>
    </row>
    <row r="65" spans="1:18" x14ac:dyDescent="0.3">
      <c r="A65" t="s">
        <v>1</v>
      </c>
      <c r="B65" s="1">
        <v>45094</v>
      </c>
      <c r="C65" t="s">
        <v>7</v>
      </c>
      <c r="D65" t="s">
        <v>10</v>
      </c>
      <c r="E65">
        <v>2</v>
      </c>
      <c r="F65">
        <v>12.3</v>
      </c>
      <c r="G65">
        <v>0</v>
      </c>
      <c r="H65">
        <f t="shared" si="23"/>
        <v>0.69999999999999929</v>
      </c>
      <c r="I65">
        <f t="shared" si="15"/>
        <v>0.69999999999999929</v>
      </c>
      <c r="J65">
        <f t="shared" si="16"/>
        <v>13</v>
      </c>
      <c r="K65">
        <f t="shared" si="17"/>
        <v>0.5</v>
      </c>
      <c r="L65">
        <f t="shared" si="21"/>
        <v>10.799999999999999</v>
      </c>
      <c r="M65">
        <f t="shared" si="3"/>
        <v>0.32786885245901642</v>
      </c>
      <c r="N65">
        <v>22</v>
      </c>
      <c r="O65">
        <f t="shared" si="18"/>
        <v>5.5</v>
      </c>
      <c r="P65">
        <f t="shared" si="19"/>
        <v>385</v>
      </c>
      <c r="Q65">
        <f t="shared" si="20"/>
        <v>0.65213114754098356</v>
      </c>
      <c r="R65">
        <f t="shared" si="22"/>
        <v>9.6291803278688501</v>
      </c>
    </row>
    <row r="66" spans="1:18" x14ac:dyDescent="0.3">
      <c r="A66" t="s">
        <v>2</v>
      </c>
      <c r="B66" s="1">
        <v>45095</v>
      </c>
      <c r="C66" t="s">
        <v>7</v>
      </c>
      <c r="D66" t="s">
        <v>10</v>
      </c>
      <c r="E66">
        <v>2</v>
      </c>
      <c r="F66">
        <v>12.5</v>
      </c>
      <c r="G66">
        <v>0</v>
      </c>
      <c r="H66">
        <f t="shared" si="23"/>
        <v>0.5</v>
      </c>
      <c r="I66">
        <f t="shared" si="15"/>
        <v>0.5</v>
      </c>
      <c r="J66">
        <f t="shared" si="16"/>
        <v>13</v>
      </c>
      <c r="K66">
        <f t="shared" si="17"/>
        <v>0.69999999999999929</v>
      </c>
      <c r="L66">
        <f t="shared" si="21"/>
        <v>11.499999999999998</v>
      </c>
      <c r="M66">
        <f t="shared" si="3"/>
        <v>0.32786885245901642</v>
      </c>
      <c r="N66">
        <v>23</v>
      </c>
      <c r="O66">
        <f t="shared" si="18"/>
        <v>5.5</v>
      </c>
      <c r="P66">
        <f t="shared" si="19"/>
        <v>385</v>
      </c>
      <c r="Q66">
        <f t="shared" si="20"/>
        <v>0.65213114754098356</v>
      </c>
      <c r="R66">
        <f t="shared" si="22"/>
        <v>10.281311475409833</v>
      </c>
    </row>
    <row r="67" spans="1:18" x14ac:dyDescent="0.3">
      <c r="A67" t="s">
        <v>3</v>
      </c>
      <c r="B67" s="1">
        <v>45096</v>
      </c>
      <c r="C67" t="s">
        <v>7</v>
      </c>
      <c r="D67" t="s">
        <v>10</v>
      </c>
      <c r="E67">
        <v>2</v>
      </c>
      <c r="F67">
        <v>12.3</v>
      </c>
      <c r="G67">
        <v>0.5</v>
      </c>
      <c r="H67">
        <f t="shared" si="23"/>
        <v>0.19999999999999929</v>
      </c>
      <c r="I67">
        <f t="shared" si="15"/>
        <v>0.69999999999999929</v>
      </c>
      <c r="J67">
        <f t="shared" si="16"/>
        <v>13</v>
      </c>
      <c r="K67">
        <f t="shared" si="17"/>
        <v>0.59999999999999964</v>
      </c>
      <c r="L67">
        <f t="shared" si="21"/>
        <v>12.099999999999998</v>
      </c>
      <c r="M67">
        <f t="shared" ref="M67:M130" si="24">(J67-11)/6.1</f>
        <v>0.32786885245901642</v>
      </c>
      <c r="N67">
        <v>24</v>
      </c>
      <c r="O67">
        <f t="shared" si="18"/>
        <v>6</v>
      </c>
      <c r="P67">
        <f t="shared" si="19"/>
        <v>420</v>
      </c>
      <c r="Q67">
        <f t="shared" si="20"/>
        <v>0.65213114754098356</v>
      </c>
      <c r="R67">
        <f t="shared" si="22"/>
        <v>10.933442622950816</v>
      </c>
    </row>
    <row r="68" spans="1:18" x14ac:dyDescent="0.3">
      <c r="A68" t="s">
        <v>4</v>
      </c>
      <c r="B68" s="1">
        <v>45097</v>
      </c>
      <c r="C68" t="s">
        <v>7</v>
      </c>
      <c r="D68" t="s">
        <v>10</v>
      </c>
      <c r="E68">
        <v>2</v>
      </c>
      <c r="F68">
        <v>12.4</v>
      </c>
      <c r="G68">
        <v>0</v>
      </c>
      <c r="H68">
        <f t="shared" si="23"/>
        <v>0.59999999999999964</v>
      </c>
      <c r="I68">
        <f t="shared" si="15"/>
        <v>0.59999999999999964</v>
      </c>
      <c r="J68">
        <f t="shared" si="16"/>
        <v>13</v>
      </c>
      <c r="K68">
        <f t="shared" si="17"/>
        <v>1.3000000000000007</v>
      </c>
      <c r="L68">
        <f>L67+K68</f>
        <v>13.399999999999999</v>
      </c>
      <c r="M68">
        <f t="shared" si="24"/>
        <v>0.32786885245901642</v>
      </c>
      <c r="N68">
        <v>25</v>
      </c>
      <c r="O68">
        <f t="shared" si="18"/>
        <v>6</v>
      </c>
      <c r="P68">
        <f t="shared" si="19"/>
        <v>420</v>
      </c>
      <c r="Q68">
        <f t="shared" si="20"/>
        <v>0.65213114754098356</v>
      </c>
      <c r="R68">
        <f t="shared" si="22"/>
        <v>11.585573770491798</v>
      </c>
    </row>
    <row r="69" spans="1:18" x14ac:dyDescent="0.3">
      <c r="A69" t="s">
        <v>5</v>
      </c>
      <c r="B69" s="1">
        <v>45098</v>
      </c>
      <c r="C69" t="s">
        <v>7</v>
      </c>
      <c r="D69" t="s">
        <v>10</v>
      </c>
      <c r="E69">
        <v>2</v>
      </c>
      <c r="F69">
        <v>11.7</v>
      </c>
      <c r="G69">
        <v>0</v>
      </c>
      <c r="H69">
        <f t="shared" si="23"/>
        <v>1.3000000000000007</v>
      </c>
      <c r="I69">
        <f t="shared" si="15"/>
        <v>1.3000000000000007</v>
      </c>
      <c r="J69">
        <f t="shared" si="16"/>
        <v>13</v>
      </c>
      <c r="K69">
        <f t="shared" si="17"/>
        <v>1.5</v>
      </c>
      <c r="L69">
        <f t="shared" ref="L69:L84" si="25">L68+K69</f>
        <v>14.899999999999999</v>
      </c>
      <c r="M69">
        <f t="shared" si="24"/>
        <v>0.32786885245901642</v>
      </c>
      <c r="N69">
        <v>26</v>
      </c>
      <c r="O69">
        <f t="shared" si="18"/>
        <v>6</v>
      </c>
      <c r="P69">
        <f t="shared" si="19"/>
        <v>420</v>
      </c>
      <c r="Q69">
        <f t="shared" si="20"/>
        <v>0.65213114754098356</v>
      </c>
      <c r="R69">
        <f t="shared" si="22"/>
        <v>12.237704918032781</v>
      </c>
    </row>
    <row r="70" spans="1:18" x14ac:dyDescent="0.3">
      <c r="A70" t="s">
        <v>6</v>
      </c>
      <c r="B70" s="1">
        <v>45099</v>
      </c>
      <c r="C70" t="s">
        <v>7</v>
      </c>
      <c r="D70" t="s">
        <v>10</v>
      </c>
      <c r="E70">
        <v>2</v>
      </c>
      <c r="F70">
        <v>11.5</v>
      </c>
      <c r="G70">
        <v>0.5</v>
      </c>
      <c r="H70">
        <f t="shared" si="23"/>
        <v>1</v>
      </c>
      <c r="I70">
        <f t="shared" si="15"/>
        <v>1.5</v>
      </c>
      <c r="J70">
        <f t="shared" si="16"/>
        <v>13</v>
      </c>
      <c r="K70">
        <f t="shared" si="17"/>
        <v>1.5</v>
      </c>
      <c r="L70">
        <f t="shared" si="25"/>
        <v>16.399999999999999</v>
      </c>
      <c r="M70">
        <f t="shared" si="24"/>
        <v>0.32786885245901642</v>
      </c>
      <c r="N70">
        <v>27</v>
      </c>
      <c r="O70">
        <f t="shared" si="18"/>
        <v>6.5</v>
      </c>
      <c r="P70">
        <f t="shared" si="19"/>
        <v>455</v>
      </c>
      <c r="Q70">
        <f t="shared" si="20"/>
        <v>0.65213114754098356</v>
      </c>
      <c r="R70">
        <f t="shared" si="22"/>
        <v>12.889836065573764</v>
      </c>
    </row>
    <row r="71" spans="1:18" x14ac:dyDescent="0.3">
      <c r="A71" t="s">
        <v>0</v>
      </c>
      <c r="B71" s="1">
        <v>45100</v>
      </c>
      <c r="C71" t="s">
        <v>7</v>
      </c>
      <c r="D71" t="s">
        <v>10</v>
      </c>
      <c r="E71">
        <v>2</v>
      </c>
      <c r="F71">
        <v>11.5</v>
      </c>
      <c r="G71">
        <v>0</v>
      </c>
      <c r="H71">
        <f t="shared" ref="H71" si="26">12.2-F71-G71</f>
        <v>0.69999999999999929</v>
      </c>
      <c r="I71">
        <f t="shared" si="15"/>
        <v>0.69999999999999929</v>
      </c>
      <c r="J71">
        <f t="shared" si="16"/>
        <v>12.2</v>
      </c>
      <c r="K71">
        <f t="shared" si="17"/>
        <v>0.69999999999999929</v>
      </c>
      <c r="L71">
        <f t="shared" si="25"/>
        <v>17.099999999999998</v>
      </c>
      <c r="M71">
        <f t="shared" si="24"/>
        <v>0.19672131147540972</v>
      </c>
      <c r="N71">
        <v>28</v>
      </c>
      <c r="O71">
        <f t="shared" si="18"/>
        <v>6.5</v>
      </c>
      <c r="P71">
        <f t="shared" si="19"/>
        <v>455</v>
      </c>
      <c r="Q71">
        <f t="shared" si="20"/>
        <v>0.78327868852459026</v>
      </c>
      <c r="R71">
        <f>R70+Q71</f>
        <v>13.673114754098354</v>
      </c>
    </row>
    <row r="72" spans="1:18" x14ac:dyDescent="0.3">
      <c r="A72" t="s">
        <v>1</v>
      </c>
      <c r="B72" s="1">
        <v>45101</v>
      </c>
      <c r="C72" t="s">
        <v>7</v>
      </c>
      <c r="D72" t="s">
        <v>10</v>
      </c>
      <c r="E72">
        <v>2</v>
      </c>
      <c r="F72">
        <v>11.5</v>
      </c>
      <c r="G72">
        <v>0</v>
      </c>
      <c r="H72">
        <f t="shared" ref="H72:H73" si="27">12.2-F72-G72</f>
        <v>0.69999999999999929</v>
      </c>
      <c r="I72">
        <f t="shared" si="15"/>
        <v>0.69999999999999929</v>
      </c>
      <c r="J72">
        <f t="shared" si="16"/>
        <v>12.2</v>
      </c>
      <c r="K72">
        <f t="shared" si="17"/>
        <v>0.79999999999999893</v>
      </c>
      <c r="L72">
        <f t="shared" si="25"/>
        <v>17.899999999999999</v>
      </c>
      <c r="M72">
        <f t="shared" si="24"/>
        <v>0.19672131147540972</v>
      </c>
      <c r="N72">
        <v>29</v>
      </c>
      <c r="O72">
        <f t="shared" si="18"/>
        <v>6.5</v>
      </c>
      <c r="P72">
        <f t="shared" si="19"/>
        <v>455</v>
      </c>
      <c r="Q72">
        <f t="shared" si="20"/>
        <v>0.78327868852459026</v>
      </c>
      <c r="R72">
        <f t="shared" ref="R72:R81" si="28">R71+Q72</f>
        <v>14.456393442622943</v>
      </c>
    </row>
    <row r="73" spans="1:18" x14ac:dyDescent="0.3">
      <c r="A73" t="s">
        <v>2</v>
      </c>
      <c r="B73" s="1">
        <v>45102</v>
      </c>
      <c r="C73" t="s">
        <v>7</v>
      </c>
      <c r="D73" t="s">
        <v>10</v>
      </c>
      <c r="E73">
        <v>2</v>
      </c>
      <c r="F73">
        <v>11.4</v>
      </c>
      <c r="G73">
        <v>0</v>
      </c>
      <c r="H73">
        <f t="shared" si="27"/>
        <v>0.79999999999999893</v>
      </c>
      <c r="I73">
        <f t="shared" si="15"/>
        <v>0.79999999999999893</v>
      </c>
      <c r="J73">
        <f t="shared" si="16"/>
        <v>12.2</v>
      </c>
      <c r="K73">
        <f t="shared" si="17"/>
        <v>0.69999999999999929</v>
      </c>
      <c r="L73">
        <f t="shared" si="25"/>
        <v>18.599999999999998</v>
      </c>
      <c r="M73">
        <f t="shared" si="24"/>
        <v>0.19672131147540972</v>
      </c>
      <c r="N73">
        <v>30</v>
      </c>
      <c r="O73">
        <f t="shared" si="18"/>
        <v>6.5</v>
      </c>
      <c r="P73">
        <f t="shared" si="19"/>
        <v>455</v>
      </c>
      <c r="Q73">
        <f t="shared" si="20"/>
        <v>0.78327868852459026</v>
      </c>
      <c r="R73">
        <f t="shared" si="28"/>
        <v>15.239672131147532</v>
      </c>
    </row>
    <row r="74" spans="1:18" x14ac:dyDescent="0.3">
      <c r="A74" t="s">
        <v>3</v>
      </c>
      <c r="B74" s="1">
        <v>45103</v>
      </c>
      <c r="C74" t="s">
        <v>7</v>
      </c>
      <c r="D74" t="s">
        <v>10</v>
      </c>
      <c r="E74">
        <v>2</v>
      </c>
      <c r="F74">
        <v>11.5</v>
      </c>
      <c r="G74">
        <v>0.5</v>
      </c>
      <c r="H74">
        <f>12.1-F74-G74</f>
        <v>9.9999999999999645E-2</v>
      </c>
      <c r="I74">
        <f t="shared" si="15"/>
        <v>0.59999999999999964</v>
      </c>
      <c r="J74">
        <f t="shared" si="16"/>
        <v>12.1</v>
      </c>
      <c r="K74">
        <f t="shared" si="17"/>
        <v>0.59999999999999964</v>
      </c>
      <c r="L74">
        <f t="shared" si="25"/>
        <v>19.199999999999996</v>
      </c>
      <c r="M74">
        <f t="shared" si="24"/>
        <v>0.18032786885245897</v>
      </c>
      <c r="N74">
        <v>31</v>
      </c>
      <c r="O74">
        <f t="shared" si="18"/>
        <v>7</v>
      </c>
      <c r="P74">
        <f t="shared" si="19"/>
        <v>490</v>
      </c>
      <c r="Q74">
        <f t="shared" si="20"/>
        <v>0.79967213114754099</v>
      </c>
      <c r="R74">
        <f t="shared" si="28"/>
        <v>16.039344262295074</v>
      </c>
    </row>
    <row r="75" spans="1:18" x14ac:dyDescent="0.3">
      <c r="A75" t="s">
        <v>4</v>
      </c>
      <c r="B75" s="1">
        <v>45104</v>
      </c>
      <c r="C75" t="s">
        <v>7</v>
      </c>
      <c r="D75" t="s">
        <v>10</v>
      </c>
      <c r="E75">
        <v>2</v>
      </c>
      <c r="F75">
        <v>11.5</v>
      </c>
      <c r="G75">
        <v>0</v>
      </c>
      <c r="H75">
        <f t="shared" ref="H75:H78" si="29">12.1-F75-G75</f>
        <v>0.59999999999999964</v>
      </c>
      <c r="I75">
        <f t="shared" si="15"/>
        <v>0.59999999999999964</v>
      </c>
      <c r="J75">
        <f t="shared" si="16"/>
        <v>12.1</v>
      </c>
      <c r="K75">
        <f t="shared" si="17"/>
        <v>0.59999999999999964</v>
      </c>
      <c r="L75">
        <f t="shared" si="25"/>
        <v>19.799999999999997</v>
      </c>
      <c r="M75">
        <f t="shared" si="24"/>
        <v>0.18032786885245897</v>
      </c>
      <c r="N75">
        <v>32</v>
      </c>
      <c r="O75">
        <f t="shared" si="18"/>
        <v>7</v>
      </c>
      <c r="P75">
        <f t="shared" si="19"/>
        <v>490</v>
      </c>
      <c r="Q75">
        <f t="shared" si="20"/>
        <v>0.79967213114754099</v>
      </c>
      <c r="R75">
        <f t="shared" si="28"/>
        <v>16.839016393442616</v>
      </c>
    </row>
    <row r="76" spans="1:18" x14ac:dyDescent="0.3">
      <c r="A76" t="s">
        <v>5</v>
      </c>
      <c r="B76" s="1">
        <v>45105</v>
      </c>
      <c r="C76" t="s">
        <v>7</v>
      </c>
      <c r="D76" t="s">
        <v>10</v>
      </c>
      <c r="E76">
        <v>2</v>
      </c>
      <c r="F76">
        <v>11.5</v>
      </c>
      <c r="G76">
        <v>0</v>
      </c>
      <c r="H76">
        <f t="shared" si="29"/>
        <v>0.59999999999999964</v>
      </c>
      <c r="I76">
        <f t="shared" si="15"/>
        <v>0.59999999999999964</v>
      </c>
      <c r="J76">
        <f t="shared" si="16"/>
        <v>12.1</v>
      </c>
      <c r="K76">
        <f t="shared" si="17"/>
        <v>0.59999999999999964</v>
      </c>
      <c r="L76">
        <f t="shared" si="25"/>
        <v>20.399999999999999</v>
      </c>
      <c r="M76">
        <f t="shared" si="24"/>
        <v>0.18032786885245897</v>
      </c>
      <c r="N76">
        <v>33</v>
      </c>
      <c r="O76">
        <f t="shared" si="18"/>
        <v>7</v>
      </c>
      <c r="P76">
        <f t="shared" si="19"/>
        <v>490</v>
      </c>
      <c r="Q76">
        <f t="shared" si="20"/>
        <v>0.79967213114754099</v>
      </c>
      <c r="R76">
        <f t="shared" si="28"/>
        <v>17.638688524590158</v>
      </c>
    </row>
    <row r="77" spans="1:18" x14ac:dyDescent="0.3">
      <c r="A77" t="s">
        <v>6</v>
      </c>
      <c r="B77" s="1">
        <v>45106</v>
      </c>
      <c r="C77" t="s">
        <v>7</v>
      </c>
      <c r="D77" t="s">
        <v>10</v>
      </c>
      <c r="E77">
        <v>2</v>
      </c>
      <c r="F77">
        <v>11.5</v>
      </c>
      <c r="G77">
        <v>0.5</v>
      </c>
      <c r="H77">
        <f t="shared" si="29"/>
        <v>9.9999999999999645E-2</v>
      </c>
      <c r="I77">
        <f t="shared" si="15"/>
        <v>0.59999999999999964</v>
      </c>
      <c r="J77">
        <f t="shared" si="16"/>
        <v>12.1</v>
      </c>
      <c r="K77">
        <f t="shared" si="17"/>
        <v>0.69999999999999929</v>
      </c>
      <c r="L77">
        <f t="shared" si="25"/>
        <v>21.099999999999998</v>
      </c>
      <c r="M77">
        <f t="shared" si="24"/>
        <v>0.18032786885245897</v>
      </c>
      <c r="N77">
        <v>34</v>
      </c>
      <c r="O77">
        <f t="shared" si="18"/>
        <v>7.5</v>
      </c>
      <c r="P77">
        <f t="shared" si="19"/>
        <v>525</v>
      </c>
      <c r="Q77">
        <f t="shared" si="20"/>
        <v>0.79967213114754099</v>
      </c>
      <c r="R77">
        <f t="shared" si="28"/>
        <v>18.4383606557377</v>
      </c>
    </row>
    <row r="78" spans="1:18" x14ac:dyDescent="0.3">
      <c r="A78" t="s">
        <v>0</v>
      </c>
      <c r="B78" s="1">
        <v>45107</v>
      </c>
      <c r="C78" t="s">
        <v>7</v>
      </c>
      <c r="D78" t="s">
        <v>10</v>
      </c>
      <c r="E78">
        <v>2</v>
      </c>
      <c r="F78">
        <v>11.4</v>
      </c>
      <c r="G78">
        <v>0</v>
      </c>
      <c r="H78">
        <f t="shared" si="29"/>
        <v>0.69999999999999929</v>
      </c>
      <c r="I78">
        <f t="shared" si="15"/>
        <v>0.69999999999999929</v>
      </c>
      <c r="J78">
        <f t="shared" si="16"/>
        <v>12.1</v>
      </c>
      <c r="K78">
        <f t="shared" si="17"/>
        <v>0.5</v>
      </c>
      <c r="L78">
        <f t="shared" si="25"/>
        <v>21.599999999999998</v>
      </c>
      <c r="M78">
        <f t="shared" si="24"/>
        <v>0.18032786885245897</v>
      </c>
      <c r="N78">
        <v>35</v>
      </c>
      <c r="O78">
        <f t="shared" si="18"/>
        <v>7.5</v>
      </c>
      <c r="P78">
        <f t="shared" si="19"/>
        <v>525</v>
      </c>
      <c r="Q78">
        <f t="shared" si="20"/>
        <v>0.79967213114754099</v>
      </c>
      <c r="R78">
        <f t="shared" si="28"/>
        <v>19.238032786885242</v>
      </c>
    </row>
    <row r="79" spans="1:18" x14ac:dyDescent="0.3">
      <c r="A79" t="s">
        <v>1</v>
      </c>
      <c r="B79" s="1">
        <v>45108</v>
      </c>
      <c r="C79" t="s">
        <v>7</v>
      </c>
      <c r="D79" t="s">
        <v>10</v>
      </c>
      <c r="E79">
        <v>2</v>
      </c>
      <c r="F79">
        <v>11.6</v>
      </c>
      <c r="G79">
        <v>0</v>
      </c>
      <c r="H79">
        <v>4.4000000000000004</v>
      </c>
      <c r="I79">
        <f t="shared" si="15"/>
        <v>4.4000000000000004</v>
      </c>
      <c r="J79">
        <f t="shared" si="16"/>
        <v>16</v>
      </c>
      <c r="K79">
        <f t="shared" si="17"/>
        <v>0.30000000000000071</v>
      </c>
      <c r="L79">
        <f t="shared" si="25"/>
        <v>21.9</v>
      </c>
      <c r="M79">
        <f t="shared" si="24"/>
        <v>0.81967213114754101</v>
      </c>
      <c r="N79">
        <v>36</v>
      </c>
      <c r="O79">
        <f t="shared" si="18"/>
        <v>7.5</v>
      </c>
      <c r="P79">
        <f t="shared" si="19"/>
        <v>525</v>
      </c>
      <c r="Q79">
        <f t="shared" si="20"/>
        <v>0.16032786885245898</v>
      </c>
      <c r="R79">
        <f t="shared" si="28"/>
        <v>19.398360655737701</v>
      </c>
    </row>
    <row r="80" spans="1:18" x14ac:dyDescent="0.3">
      <c r="A80" t="s">
        <v>2</v>
      </c>
      <c r="B80" s="1">
        <v>45109</v>
      </c>
      <c r="C80" t="s">
        <v>7</v>
      </c>
      <c r="D80" t="s">
        <v>10</v>
      </c>
      <c r="E80">
        <v>2</v>
      </c>
      <c r="F80">
        <v>15.7</v>
      </c>
      <c r="G80">
        <v>0</v>
      </c>
      <c r="H80">
        <v>0</v>
      </c>
      <c r="I80">
        <f t="shared" si="15"/>
        <v>0</v>
      </c>
      <c r="J80">
        <f t="shared" si="16"/>
        <v>15.7</v>
      </c>
      <c r="K80">
        <f t="shared" si="17"/>
        <v>0.5</v>
      </c>
      <c r="L80">
        <f t="shared" si="25"/>
        <v>22.4</v>
      </c>
      <c r="M80">
        <f t="shared" si="24"/>
        <v>0.77049180327868849</v>
      </c>
      <c r="N80">
        <v>37</v>
      </c>
      <c r="O80">
        <f t="shared" si="18"/>
        <v>7.5</v>
      </c>
      <c r="P80">
        <f t="shared" si="19"/>
        <v>525</v>
      </c>
      <c r="Q80">
        <f t="shared" si="20"/>
        <v>0.20950819672131149</v>
      </c>
      <c r="R80">
        <f t="shared" si="28"/>
        <v>19.607868852459013</v>
      </c>
    </row>
    <row r="81" spans="1:18" x14ac:dyDescent="0.3">
      <c r="A81" t="s">
        <v>3</v>
      </c>
      <c r="B81" s="1">
        <v>45110</v>
      </c>
      <c r="C81" t="s">
        <v>7</v>
      </c>
      <c r="D81" t="s">
        <v>10</v>
      </c>
      <c r="E81">
        <v>2</v>
      </c>
      <c r="F81">
        <v>15.2</v>
      </c>
      <c r="G81">
        <v>0.5</v>
      </c>
      <c r="H81">
        <v>0</v>
      </c>
      <c r="I81">
        <f t="shared" si="15"/>
        <v>0.5</v>
      </c>
      <c r="J81">
        <f t="shared" si="16"/>
        <v>15.7</v>
      </c>
      <c r="K81">
        <f t="shared" si="17"/>
        <v>0.59999999999999964</v>
      </c>
      <c r="L81">
        <f t="shared" si="25"/>
        <v>23</v>
      </c>
      <c r="M81">
        <f t="shared" si="24"/>
        <v>0.77049180327868849</v>
      </c>
      <c r="N81">
        <v>38</v>
      </c>
      <c r="O81">
        <f t="shared" si="18"/>
        <v>8</v>
      </c>
      <c r="P81">
        <f t="shared" si="19"/>
        <v>560</v>
      </c>
      <c r="Q81">
        <f t="shared" si="20"/>
        <v>0.20950819672131149</v>
      </c>
      <c r="R81">
        <f t="shared" si="28"/>
        <v>19.817377049180326</v>
      </c>
    </row>
    <row r="82" spans="1:18" x14ac:dyDescent="0.3">
      <c r="A82" t="s">
        <v>4</v>
      </c>
      <c r="B82" s="1">
        <v>45111</v>
      </c>
      <c r="C82" t="s">
        <v>7</v>
      </c>
      <c r="D82" t="s">
        <v>10</v>
      </c>
      <c r="E82">
        <v>2</v>
      </c>
      <c r="F82">
        <v>15.1</v>
      </c>
      <c r="G82">
        <v>0</v>
      </c>
      <c r="H82">
        <v>0</v>
      </c>
      <c r="I82">
        <f t="shared" si="15"/>
        <v>0</v>
      </c>
      <c r="J82">
        <f t="shared" si="16"/>
        <v>15.1</v>
      </c>
      <c r="K82">
        <f t="shared" si="17"/>
        <v>0.59999999999999964</v>
      </c>
      <c r="L82">
        <f t="shared" si="25"/>
        <v>23.6</v>
      </c>
      <c r="M82">
        <f t="shared" si="24"/>
        <v>0.67213114754098358</v>
      </c>
      <c r="N82">
        <v>39</v>
      </c>
      <c r="O82">
        <f t="shared" si="18"/>
        <v>8</v>
      </c>
      <c r="P82">
        <f t="shared" si="19"/>
        <v>560</v>
      </c>
      <c r="Q82">
        <f t="shared" si="20"/>
        <v>0.30786885245901641</v>
      </c>
      <c r="R82">
        <f t="shared" ref="R82:R84" si="30">R81+Q82</f>
        <v>20.125245901639342</v>
      </c>
    </row>
    <row r="83" spans="1:18" x14ac:dyDescent="0.3">
      <c r="A83" t="s">
        <v>5</v>
      </c>
      <c r="B83" s="1">
        <v>45112</v>
      </c>
      <c r="C83" t="s">
        <v>7</v>
      </c>
      <c r="D83" t="s">
        <v>10</v>
      </c>
      <c r="E83">
        <v>2</v>
      </c>
      <c r="F83">
        <v>14.5</v>
      </c>
      <c r="G83">
        <v>0</v>
      </c>
      <c r="H83">
        <v>0</v>
      </c>
      <c r="I83">
        <f t="shared" si="15"/>
        <v>0</v>
      </c>
      <c r="J83">
        <f t="shared" si="16"/>
        <v>14.5</v>
      </c>
      <c r="K83">
        <f t="shared" si="17"/>
        <v>0.5</v>
      </c>
      <c r="L83">
        <f t="shared" si="25"/>
        <v>24.1</v>
      </c>
      <c r="M83">
        <f t="shared" si="24"/>
        <v>0.57377049180327877</v>
      </c>
      <c r="N83">
        <v>40</v>
      </c>
      <c r="O83">
        <f t="shared" si="18"/>
        <v>8</v>
      </c>
      <c r="P83">
        <f t="shared" si="19"/>
        <v>560</v>
      </c>
      <c r="Q83">
        <f t="shared" si="20"/>
        <v>0.40622950819672121</v>
      </c>
      <c r="R83">
        <f t="shared" si="30"/>
        <v>20.531475409836062</v>
      </c>
    </row>
    <row r="84" spans="1:18" x14ac:dyDescent="0.3">
      <c r="A84" t="s">
        <v>6</v>
      </c>
      <c r="B84" s="1">
        <v>45113</v>
      </c>
      <c r="C84" t="s">
        <v>7</v>
      </c>
      <c r="D84" t="s">
        <v>10</v>
      </c>
      <c r="E84">
        <v>2</v>
      </c>
      <c r="F84">
        <v>14</v>
      </c>
      <c r="G84">
        <v>0</v>
      </c>
      <c r="H84">
        <v>0</v>
      </c>
      <c r="I84">
        <f t="shared" si="15"/>
        <v>0</v>
      </c>
      <c r="J84">
        <f t="shared" si="16"/>
        <v>14</v>
      </c>
      <c r="K84">
        <f t="shared" si="17"/>
        <v>0.5</v>
      </c>
      <c r="L84">
        <f t="shared" si="25"/>
        <v>24.6</v>
      </c>
      <c r="M84">
        <f t="shared" si="24"/>
        <v>0.49180327868852464</v>
      </c>
      <c r="N84">
        <v>41</v>
      </c>
      <c r="O84">
        <f t="shared" si="18"/>
        <v>8</v>
      </c>
      <c r="P84">
        <f t="shared" si="19"/>
        <v>560</v>
      </c>
      <c r="Q84">
        <f t="shared" si="20"/>
        <v>0.48819672131147535</v>
      </c>
      <c r="R84">
        <f t="shared" si="30"/>
        <v>21.019672131147537</v>
      </c>
    </row>
    <row r="85" spans="1:18" x14ac:dyDescent="0.3">
      <c r="A85" t="s">
        <v>0</v>
      </c>
      <c r="B85" s="1">
        <v>45114</v>
      </c>
      <c r="C85" t="s">
        <v>7</v>
      </c>
      <c r="D85" t="s">
        <v>10</v>
      </c>
      <c r="E85">
        <v>2</v>
      </c>
      <c r="F85">
        <v>13.5</v>
      </c>
      <c r="G85">
        <v>0</v>
      </c>
      <c r="H85">
        <v>0</v>
      </c>
      <c r="I85">
        <f t="shared" si="15"/>
        <v>0</v>
      </c>
    </row>
    <row r="86" spans="1:18" x14ac:dyDescent="0.3">
      <c r="A86" t="s">
        <v>1</v>
      </c>
      <c r="B86" s="1">
        <v>45073</v>
      </c>
      <c r="C86" t="s">
        <v>7</v>
      </c>
      <c r="D86" t="s">
        <v>10</v>
      </c>
      <c r="E86">
        <v>3</v>
      </c>
      <c r="F86">
        <v>17</v>
      </c>
      <c r="G86">
        <v>0</v>
      </c>
      <c r="H86">
        <v>0</v>
      </c>
      <c r="I86">
        <f>H86+G86</f>
        <v>0</v>
      </c>
      <c r="J86">
        <f>I86+F86</f>
        <v>17</v>
      </c>
      <c r="K86">
        <f>J86-F87</f>
        <v>0.19999999999999929</v>
      </c>
      <c r="M86">
        <f t="shared" si="24"/>
        <v>0.98360655737704927</v>
      </c>
      <c r="N86">
        <v>1</v>
      </c>
      <c r="O86">
        <v>2.5</v>
      </c>
      <c r="P86">
        <f>O86*70</f>
        <v>175</v>
      </c>
    </row>
    <row r="87" spans="1:18" x14ac:dyDescent="0.3">
      <c r="A87" t="s">
        <v>2</v>
      </c>
      <c r="B87" s="1">
        <v>45074</v>
      </c>
      <c r="C87" t="s">
        <v>7</v>
      </c>
      <c r="D87" t="s">
        <v>10</v>
      </c>
      <c r="E87">
        <v>3</v>
      </c>
      <c r="F87">
        <v>16.8</v>
      </c>
      <c r="G87">
        <v>0</v>
      </c>
      <c r="H87">
        <v>0</v>
      </c>
      <c r="I87">
        <f t="shared" ref="I87:I127" si="31">H87+G87</f>
        <v>0</v>
      </c>
      <c r="J87">
        <f t="shared" ref="J87:J126" si="32">I87+F87</f>
        <v>16.8</v>
      </c>
      <c r="K87">
        <f t="shared" ref="K87:K126" si="33">J87-F88</f>
        <v>0.19999999999999929</v>
      </c>
      <c r="L87">
        <f>K86+K87</f>
        <v>0.39999999999999858</v>
      </c>
      <c r="M87">
        <f t="shared" si="24"/>
        <v>0.95081967213114771</v>
      </c>
      <c r="N87">
        <v>2</v>
      </c>
      <c r="O87">
        <f t="shared" ref="O87:O126" si="34">O86+G87</f>
        <v>2.5</v>
      </c>
      <c r="P87">
        <f t="shared" ref="P87:P126" si="35">O87*70</f>
        <v>175</v>
      </c>
      <c r="Q87">
        <f t="shared" ref="Q87:Q126" si="36">0.98-M87</f>
        <v>2.9180327868852274E-2</v>
      </c>
      <c r="R87">
        <f>Q86+Q87</f>
        <v>2.9180327868852274E-2</v>
      </c>
    </row>
    <row r="88" spans="1:18" x14ac:dyDescent="0.3">
      <c r="A88" t="s">
        <v>3</v>
      </c>
      <c r="B88" s="1">
        <v>45075</v>
      </c>
      <c r="C88" t="s">
        <v>7</v>
      </c>
      <c r="D88" t="s">
        <v>10</v>
      </c>
      <c r="E88">
        <v>3</v>
      </c>
      <c r="F88">
        <v>16.600000000000001</v>
      </c>
      <c r="G88">
        <v>0.25</v>
      </c>
      <c r="H88">
        <v>0</v>
      </c>
      <c r="I88">
        <f t="shared" si="31"/>
        <v>0.25</v>
      </c>
      <c r="J88">
        <f t="shared" si="32"/>
        <v>16.850000000000001</v>
      </c>
      <c r="K88">
        <f t="shared" si="33"/>
        <v>0.35000000000000142</v>
      </c>
      <c r="L88">
        <f>L87+K88</f>
        <v>0.75</v>
      </c>
      <c r="M88">
        <f t="shared" si="24"/>
        <v>0.95901639344262324</v>
      </c>
      <c r="N88">
        <v>3</v>
      </c>
      <c r="O88">
        <f t="shared" si="34"/>
        <v>2.75</v>
      </c>
      <c r="P88">
        <f t="shared" si="35"/>
        <v>192.5</v>
      </c>
      <c r="Q88">
        <f t="shared" si="36"/>
        <v>2.0983606557376744E-2</v>
      </c>
      <c r="R88">
        <f>R87+Q88</f>
        <v>5.0163934426229018E-2</v>
      </c>
    </row>
    <row r="89" spans="1:18" x14ac:dyDescent="0.3">
      <c r="A89" t="s">
        <v>4</v>
      </c>
      <c r="B89" s="1">
        <v>45076</v>
      </c>
      <c r="C89" t="s">
        <v>7</v>
      </c>
      <c r="D89" t="s">
        <v>10</v>
      </c>
      <c r="E89">
        <v>3</v>
      </c>
      <c r="F89">
        <v>16.5</v>
      </c>
      <c r="G89">
        <v>0.25</v>
      </c>
      <c r="H89">
        <v>0</v>
      </c>
      <c r="I89">
        <f t="shared" si="31"/>
        <v>0.25</v>
      </c>
      <c r="J89">
        <f t="shared" si="32"/>
        <v>16.75</v>
      </c>
      <c r="K89">
        <f t="shared" si="33"/>
        <v>0.35000000000000142</v>
      </c>
      <c r="L89">
        <f t="shared" ref="L89:L109" si="37">L88+K89</f>
        <v>1.1000000000000014</v>
      </c>
      <c r="M89">
        <f t="shared" si="24"/>
        <v>0.94262295081967218</v>
      </c>
      <c r="N89">
        <v>4</v>
      </c>
      <c r="O89">
        <f t="shared" si="34"/>
        <v>3</v>
      </c>
      <c r="P89">
        <f t="shared" si="35"/>
        <v>210</v>
      </c>
      <c r="Q89">
        <f t="shared" si="36"/>
        <v>3.7377049180327804E-2</v>
      </c>
      <c r="R89">
        <f t="shared" ref="R89:R112" si="38">R88+Q89</f>
        <v>8.7540983606556821E-2</v>
      </c>
    </row>
    <row r="90" spans="1:18" x14ac:dyDescent="0.3">
      <c r="A90" t="s">
        <v>5</v>
      </c>
      <c r="B90" s="1">
        <v>45077</v>
      </c>
      <c r="C90" t="s">
        <v>7</v>
      </c>
      <c r="D90" t="s">
        <v>10</v>
      </c>
      <c r="E90">
        <v>3</v>
      </c>
      <c r="F90">
        <v>16.399999999999999</v>
      </c>
      <c r="G90">
        <v>0</v>
      </c>
      <c r="H90">
        <v>0</v>
      </c>
      <c r="I90">
        <f t="shared" si="31"/>
        <v>0</v>
      </c>
      <c r="J90">
        <f t="shared" si="32"/>
        <v>16.399999999999999</v>
      </c>
      <c r="K90">
        <f t="shared" si="33"/>
        <v>9.9999999999997868E-2</v>
      </c>
      <c r="L90">
        <f t="shared" si="37"/>
        <v>1.1999999999999993</v>
      </c>
      <c r="M90">
        <f t="shared" si="24"/>
        <v>0.88524590163934413</v>
      </c>
      <c r="N90">
        <v>5</v>
      </c>
      <c r="O90">
        <f t="shared" si="34"/>
        <v>3</v>
      </c>
      <c r="P90">
        <f t="shared" si="35"/>
        <v>210</v>
      </c>
      <c r="Q90">
        <f t="shared" si="36"/>
        <v>9.4754098360655847E-2</v>
      </c>
      <c r="R90">
        <f t="shared" si="38"/>
        <v>0.18229508196721267</v>
      </c>
    </row>
    <row r="91" spans="1:18" x14ac:dyDescent="0.3">
      <c r="A91" t="s">
        <v>6</v>
      </c>
      <c r="B91" s="1">
        <v>45078</v>
      </c>
      <c r="C91" t="s">
        <v>7</v>
      </c>
      <c r="D91" t="s">
        <v>10</v>
      </c>
      <c r="E91">
        <v>3</v>
      </c>
      <c r="F91">
        <v>16.3</v>
      </c>
      <c r="G91">
        <v>0.25</v>
      </c>
      <c r="H91">
        <v>0</v>
      </c>
      <c r="I91">
        <f t="shared" si="31"/>
        <v>0.25</v>
      </c>
      <c r="J91">
        <f t="shared" si="32"/>
        <v>16.55</v>
      </c>
      <c r="K91">
        <f t="shared" si="33"/>
        <v>0.15000000000000213</v>
      </c>
      <c r="L91">
        <f t="shared" si="37"/>
        <v>1.3500000000000014</v>
      </c>
      <c r="M91">
        <f t="shared" si="24"/>
        <v>0.90983606557377061</v>
      </c>
      <c r="N91">
        <v>6</v>
      </c>
      <c r="O91">
        <f t="shared" si="34"/>
        <v>3.25</v>
      </c>
      <c r="P91">
        <f t="shared" si="35"/>
        <v>227.5</v>
      </c>
      <c r="Q91">
        <f t="shared" si="36"/>
        <v>7.0163934426229368E-2</v>
      </c>
      <c r="R91">
        <f t="shared" si="38"/>
        <v>0.25245901639344204</v>
      </c>
    </row>
    <row r="92" spans="1:18" x14ac:dyDescent="0.3">
      <c r="A92" t="s">
        <v>0</v>
      </c>
      <c r="B92" s="1">
        <v>45079</v>
      </c>
      <c r="C92" t="s">
        <v>7</v>
      </c>
      <c r="D92" t="s">
        <v>10</v>
      </c>
      <c r="E92">
        <v>3</v>
      </c>
      <c r="F92">
        <v>16.399999999999999</v>
      </c>
      <c r="G92">
        <v>0.25</v>
      </c>
      <c r="H92">
        <v>0</v>
      </c>
      <c r="I92">
        <f t="shared" si="31"/>
        <v>0.25</v>
      </c>
      <c r="J92">
        <f t="shared" si="32"/>
        <v>16.649999999999999</v>
      </c>
      <c r="K92">
        <f t="shared" si="33"/>
        <v>0.14999999999999858</v>
      </c>
      <c r="L92">
        <f t="shared" si="37"/>
        <v>1.5</v>
      </c>
      <c r="M92">
        <f t="shared" si="24"/>
        <v>0.92622950819672112</v>
      </c>
      <c r="N92">
        <v>7</v>
      </c>
      <c r="O92">
        <f t="shared" si="34"/>
        <v>3.5</v>
      </c>
      <c r="P92">
        <f t="shared" si="35"/>
        <v>245</v>
      </c>
      <c r="Q92">
        <f t="shared" si="36"/>
        <v>5.3770491803278864E-2</v>
      </c>
      <c r="R92">
        <f t="shared" si="38"/>
        <v>0.3062295081967209</v>
      </c>
    </row>
    <row r="93" spans="1:18" x14ac:dyDescent="0.3">
      <c r="A93" t="s">
        <v>1</v>
      </c>
      <c r="B93" s="1">
        <v>45080</v>
      </c>
      <c r="C93" t="s">
        <v>7</v>
      </c>
      <c r="D93" t="s">
        <v>10</v>
      </c>
      <c r="E93">
        <v>3</v>
      </c>
      <c r="F93">
        <v>16.5</v>
      </c>
      <c r="G93">
        <v>0</v>
      </c>
      <c r="H93">
        <v>0</v>
      </c>
      <c r="I93">
        <f t="shared" si="31"/>
        <v>0</v>
      </c>
      <c r="J93">
        <f t="shared" si="32"/>
        <v>16.5</v>
      </c>
      <c r="K93">
        <f t="shared" si="33"/>
        <v>0.30000000000000071</v>
      </c>
      <c r="L93">
        <f t="shared" si="37"/>
        <v>1.8000000000000007</v>
      </c>
      <c r="M93">
        <f t="shared" si="24"/>
        <v>0.90163934426229508</v>
      </c>
      <c r="N93">
        <v>8</v>
      </c>
      <c r="O93">
        <f t="shared" si="34"/>
        <v>3.5</v>
      </c>
      <c r="P93">
        <f t="shared" si="35"/>
        <v>245</v>
      </c>
      <c r="Q93">
        <f t="shared" si="36"/>
        <v>7.8360655737704898E-2</v>
      </c>
      <c r="R93">
        <f t="shared" si="38"/>
        <v>0.3845901639344258</v>
      </c>
    </row>
    <row r="94" spans="1:18" x14ac:dyDescent="0.3">
      <c r="A94" t="s">
        <v>2</v>
      </c>
      <c r="B94" s="1">
        <v>45081</v>
      </c>
      <c r="C94" t="s">
        <v>7</v>
      </c>
      <c r="D94" t="s">
        <v>10</v>
      </c>
      <c r="E94">
        <v>3</v>
      </c>
      <c r="F94">
        <v>16.2</v>
      </c>
      <c r="G94">
        <v>0</v>
      </c>
      <c r="H94">
        <v>0</v>
      </c>
      <c r="I94">
        <f t="shared" si="31"/>
        <v>0</v>
      </c>
      <c r="J94">
        <f t="shared" si="32"/>
        <v>16.2</v>
      </c>
      <c r="K94">
        <f t="shared" si="33"/>
        <v>9.9999999999997868E-2</v>
      </c>
      <c r="L94">
        <f t="shared" si="37"/>
        <v>1.8999999999999986</v>
      </c>
      <c r="M94">
        <f t="shared" si="24"/>
        <v>0.85245901639344257</v>
      </c>
      <c r="N94">
        <v>9</v>
      </c>
      <c r="O94">
        <f t="shared" si="34"/>
        <v>3.5</v>
      </c>
      <c r="P94">
        <f t="shared" si="35"/>
        <v>245</v>
      </c>
      <c r="Q94">
        <f t="shared" si="36"/>
        <v>0.12754098360655741</v>
      </c>
      <c r="R94">
        <f t="shared" si="38"/>
        <v>0.51213114754098321</v>
      </c>
    </row>
    <row r="95" spans="1:18" x14ac:dyDescent="0.3">
      <c r="A95" t="s">
        <v>3</v>
      </c>
      <c r="B95" s="1">
        <v>45082</v>
      </c>
      <c r="C95" t="s">
        <v>7</v>
      </c>
      <c r="D95" t="s">
        <v>10</v>
      </c>
      <c r="E95">
        <v>3</v>
      </c>
      <c r="F95">
        <v>16.100000000000001</v>
      </c>
      <c r="G95">
        <v>0.25</v>
      </c>
      <c r="H95">
        <v>0</v>
      </c>
      <c r="I95">
        <f t="shared" si="31"/>
        <v>0.25</v>
      </c>
      <c r="J95">
        <f t="shared" si="32"/>
        <v>16.350000000000001</v>
      </c>
      <c r="K95">
        <f t="shared" si="33"/>
        <v>0.15000000000000213</v>
      </c>
      <c r="L95">
        <f t="shared" si="37"/>
        <v>2.0500000000000007</v>
      </c>
      <c r="M95">
        <f t="shared" si="24"/>
        <v>0.87704918032786916</v>
      </c>
      <c r="N95">
        <v>10</v>
      </c>
      <c r="O95">
        <f t="shared" si="34"/>
        <v>3.75</v>
      </c>
      <c r="P95">
        <f t="shared" si="35"/>
        <v>262.5</v>
      </c>
      <c r="Q95">
        <f t="shared" si="36"/>
        <v>0.10295081967213082</v>
      </c>
      <c r="R95">
        <f t="shared" si="38"/>
        <v>0.61508196721311403</v>
      </c>
    </row>
    <row r="96" spans="1:18" x14ac:dyDescent="0.3">
      <c r="A96" t="s">
        <v>4</v>
      </c>
      <c r="B96" s="1">
        <v>45083</v>
      </c>
      <c r="C96" t="s">
        <v>7</v>
      </c>
      <c r="D96" t="s">
        <v>10</v>
      </c>
      <c r="E96">
        <v>3</v>
      </c>
      <c r="F96">
        <v>16.2</v>
      </c>
      <c r="G96">
        <v>0.25</v>
      </c>
      <c r="H96">
        <v>0</v>
      </c>
      <c r="I96">
        <f t="shared" si="31"/>
        <v>0.25</v>
      </c>
      <c r="J96">
        <f t="shared" si="32"/>
        <v>16.45</v>
      </c>
      <c r="K96">
        <f t="shared" si="33"/>
        <v>0.25</v>
      </c>
      <c r="L96">
        <f t="shared" si="37"/>
        <v>2.3000000000000007</v>
      </c>
      <c r="M96">
        <f t="shared" si="24"/>
        <v>0.89344262295081955</v>
      </c>
      <c r="N96">
        <v>11</v>
      </c>
      <c r="O96">
        <f t="shared" si="34"/>
        <v>4</v>
      </c>
      <c r="P96">
        <f t="shared" si="35"/>
        <v>280</v>
      </c>
      <c r="Q96">
        <f t="shared" si="36"/>
        <v>8.6557377049180428E-2</v>
      </c>
      <c r="R96">
        <f t="shared" si="38"/>
        <v>0.70163934426229446</v>
      </c>
    </row>
    <row r="97" spans="1:18" x14ac:dyDescent="0.3">
      <c r="A97" t="s">
        <v>5</v>
      </c>
      <c r="B97" s="1">
        <v>45084</v>
      </c>
      <c r="C97" t="s">
        <v>7</v>
      </c>
      <c r="D97" t="s">
        <v>10</v>
      </c>
      <c r="E97">
        <v>3</v>
      </c>
      <c r="F97">
        <v>16.2</v>
      </c>
      <c r="G97">
        <v>0</v>
      </c>
      <c r="H97">
        <v>0</v>
      </c>
      <c r="I97">
        <f t="shared" si="31"/>
        <v>0</v>
      </c>
      <c r="J97">
        <f t="shared" si="32"/>
        <v>16.2</v>
      </c>
      <c r="K97">
        <f t="shared" si="33"/>
        <v>0.29999999999999893</v>
      </c>
      <c r="L97">
        <f t="shared" si="37"/>
        <v>2.5999999999999996</v>
      </c>
      <c r="M97">
        <f t="shared" si="24"/>
        <v>0.85245901639344257</v>
      </c>
      <c r="N97">
        <v>12</v>
      </c>
      <c r="O97">
        <f t="shared" si="34"/>
        <v>4</v>
      </c>
      <c r="P97">
        <f t="shared" si="35"/>
        <v>280</v>
      </c>
      <c r="Q97">
        <f t="shared" si="36"/>
        <v>0.12754098360655741</v>
      </c>
      <c r="R97">
        <f t="shared" si="38"/>
        <v>0.82918032786885187</v>
      </c>
    </row>
    <row r="98" spans="1:18" x14ac:dyDescent="0.3">
      <c r="A98" t="s">
        <v>6</v>
      </c>
      <c r="B98" s="1">
        <v>45085</v>
      </c>
      <c r="C98" t="s">
        <v>7</v>
      </c>
      <c r="D98" t="s">
        <v>10</v>
      </c>
      <c r="E98">
        <v>3</v>
      </c>
      <c r="F98">
        <v>15.9</v>
      </c>
      <c r="G98">
        <v>0.25</v>
      </c>
      <c r="H98">
        <v>0</v>
      </c>
      <c r="I98">
        <f t="shared" si="31"/>
        <v>0.25</v>
      </c>
      <c r="J98">
        <f t="shared" si="32"/>
        <v>16.149999999999999</v>
      </c>
      <c r="K98">
        <f t="shared" si="33"/>
        <v>0.14999999999999858</v>
      </c>
      <c r="L98">
        <f t="shared" si="37"/>
        <v>2.7499999999999982</v>
      </c>
      <c r="M98">
        <f t="shared" si="24"/>
        <v>0.84426229508196704</v>
      </c>
      <c r="N98">
        <v>13</v>
      </c>
      <c r="O98">
        <f t="shared" si="34"/>
        <v>4.25</v>
      </c>
      <c r="P98">
        <f t="shared" si="35"/>
        <v>297.5</v>
      </c>
      <c r="Q98">
        <f t="shared" si="36"/>
        <v>0.13573770491803294</v>
      </c>
      <c r="R98">
        <f t="shared" si="38"/>
        <v>0.96491803278688482</v>
      </c>
    </row>
    <row r="99" spans="1:18" x14ac:dyDescent="0.3">
      <c r="A99" t="s">
        <v>0</v>
      </c>
      <c r="B99" s="1">
        <v>45086</v>
      </c>
      <c r="C99" t="s">
        <v>7</v>
      </c>
      <c r="D99" t="s">
        <v>10</v>
      </c>
      <c r="E99">
        <v>3</v>
      </c>
      <c r="F99">
        <v>16</v>
      </c>
      <c r="G99">
        <v>0.25</v>
      </c>
      <c r="H99">
        <v>0</v>
      </c>
      <c r="I99">
        <f t="shared" si="31"/>
        <v>0.25</v>
      </c>
      <c r="J99">
        <f t="shared" si="32"/>
        <v>16.25</v>
      </c>
      <c r="K99">
        <f t="shared" si="33"/>
        <v>0.44999999999999929</v>
      </c>
      <c r="L99">
        <f t="shared" si="37"/>
        <v>3.1999999999999975</v>
      </c>
      <c r="M99">
        <f t="shared" si="24"/>
        <v>0.8606557377049181</v>
      </c>
      <c r="N99">
        <v>14</v>
      </c>
      <c r="O99">
        <f t="shared" si="34"/>
        <v>4.5</v>
      </c>
      <c r="P99">
        <f t="shared" si="35"/>
        <v>315</v>
      </c>
      <c r="Q99">
        <f t="shared" si="36"/>
        <v>0.11934426229508188</v>
      </c>
      <c r="R99">
        <f t="shared" si="38"/>
        <v>1.0842622950819667</v>
      </c>
    </row>
    <row r="100" spans="1:18" x14ac:dyDescent="0.3">
      <c r="A100" t="s">
        <v>1</v>
      </c>
      <c r="B100" s="1">
        <v>45087</v>
      </c>
      <c r="C100" t="s">
        <v>7</v>
      </c>
      <c r="D100" t="s">
        <v>10</v>
      </c>
      <c r="E100">
        <v>3</v>
      </c>
      <c r="F100">
        <v>15.8</v>
      </c>
      <c r="G100">
        <v>0</v>
      </c>
      <c r="H100">
        <v>0</v>
      </c>
      <c r="I100">
        <f t="shared" si="31"/>
        <v>0</v>
      </c>
      <c r="J100">
        <f t="shared" si="32"/>
        <v>15.8</v>
      </c>
      <c r="K100">
        <f t="shared" si="33"/>
        <v>0.30000000000000071</v>
      </c>
      <c r="L100">
        <f t="shared" si="37"/>
        <v>3.4999999999999982</v>
      </c>
      <c r="M100">
        <f t="shared" si="24"/>
        <v>0.78688524590163955</v>
      </c>
      <c r="N100">
        <v>15</v>
      </c>
      <c r="O100">
        <f t="shared" si="34"/>
        <v>4.5</v>
      </c>
      <c r="P100">
        <f t="shared" si="35"/>
        <v>315</v>
      </c>
      <c r="Q100">
        <f t="shared" si="36"/>
        <v>0.19311475409836043</v>
      </c>
      <c r="R100">
        <f t="shared" si="38"/>
        <v>1.2773770491803271</v>
      </c>
    </row>
    <row r="101" spans="1:18" x14ac:dyDescent="0.3">
      <c r="A101" t="s">
        <v>2</v>
      </c>
      <c r="B101" s="1">
        <v>45088</v>
      </c>
      <c r="C101" t="s">
        <v>7</v>
      </c>
      <c r="D101" t="s">
        <v>10</v>
      </c>
      <c r="E101">
        <v>3</v>
      </c>
      <c r="F101">
        <v>15.5</v>
      </c>
      <c r="G101">
        <v>0</v>
      </c>
      <c r="H101">
        <v>0</v>
      </c>
      <c r="I101">
        <f t="shared" si="31"/>
        <v>0</v>
      </c>
      <c r="J101">
        <f t="shared" si="32"/>
        <v>15.5</v>
      </c>
      <c r="K101">
        <f t="shared" si="33"/>
        <v>9.9999999999999645E-2</v>
      </c>
      <c r="L101">
        <f t="shared" si="37"/>
        <v>3.5999999999999979</v>
      </c>
      <c r="M101">
        <f t="shared" si="24"/>
        <v>0.73770491803278693</v>
      </c>
      <c r="N101">
        <v>16</v>
      </c>
      <c r="O101">
        <f t="shared" si="34"/>
        <v>4.5</v>
      </c>
      <c r="P101">
        <f t="shared" si="35"/>
        <v>315</v>
      </c>
      <c r="Q101">
        <f t="shared" si="36"/>
        <v>0.24229508196721306</v>
      </c>
      <c r="R101">
        <f t="shared" si="38"/>
        <v>1.5196721311475403</v>
      </c>
    </row>
    <row r="102" spans="1:18" x14ac:dyDescent="0.3">
      <c r="A102" t="s">
        <v>3</v>
      </c>
      <c r="B102" s="1">
        <v>45089</v>
      </c>
      <c r="C102" t="s">
        <v>7</v>
      </c>
      <c r="D102" t="s">
        <v>10</v>
      </c>
      <c r="E102">
        <v>3</v>
      </c>
      <c r="F102">
        <v>15.4</v>
      </c>
      <c r="G102">
        <v>0.5</v>
      </c>
      <c r="H102">
        <v>0</v>
      </c>
      <c r="I102">
        <f t="shared" si="31"/>
        <v>0.5</v>
      </c>
      <c r="J102">
        <f t="shared" si="32"/>
        <v>15.9</v>
      </c>
      <c r="K102">
        <f t="shared" si="33"/>
        <v>0.40000000000000036</v>
      </c>
      <c r="L102">
        <f t="shared" si="37"/>
        <v>3.9999999999999982</v>
      </c>
      <c r="M102">
        <f t="shared" si="24"/>
        <v>0.80327868852459028</v>
      </c>
      <c r="N102">
        <v>17</v>
      </c>
      <c r="O102">
        <f t="shared" si="34"/>
        <v>5</v>
      </c>
      <c r="P102">
        <f t="shared" si="35"/>
        <v>350</v>
      </c>
      <c r="Q102">
        <f t="shared" si="36"/>
        <v>0.1767213114754097</v>
      </c>
      <c r="R102">
        <f t="shared" si="38"/>
        <v>1.6963934426229499</v>
      </c>
    </row>
    <row r="103" spans="1:18" x14ac:dyDescent="0.3">
      <c r="A103" t="s">
        <v>4</v>
      </c>
      <c r="B103" s="1">
        <v>45090</v>
      </c>
      <c r="C103" t="s">
        <v>7</v>
      </c>
      <c r="D103" t="s">
        <v>10</v>
      </c>
      <c r="E103">
        <v>3</v>
      </c>
      <c r="F103">
        <v>15.5</v>
      </c>
      <c r="G103">
        <v>0</v>
      </c>
      <c r="H103">
        <v>0</v>
      </c>
      <c r="I103">
        <f t="shared" si="31"/>
        <v>0</v>
      </c>
      <c r="J103">
        <f t="shared" si="32"/>
        <v>15.5</v>
      </c>
      <c r="K103">
        <f t="shared" si="33"/>
        <v>0</v>
      </c>
      <c r="L103">
        <f t="shared" si="37"/>
        <v>3.9999999999999982</v>
      </c>
      <c r="M103">
        <f t="shared" si="24"/>
        <v>0.73770491803278693</v>
      </c>
      <c r="N103">
        <v>18</v>
      </c>
      <c r="O103">
        <f t="shared" si="34"/>
        <v>5</v>
      </c>
      <c r="P103">
        <f t="shared" si="35"/>
        <v>350</v>
      </c>
      <c r="Q103">
        <f t="shared" si="36"/>
        <v>0.24229508196721306</v>
      </c>
      <c r="R103">
        <f t="shared" si="38"/>
        <v>1.9386885245901628</v>
      </c>
    </row>
    <row r="104" spans="1:18" x14ac:dyDescent="0.3">
      <c r="A104" t="s">
        <v>5</v>
      </c>
      <c r="B104" s="1">
        <v>45091</v>
      </c>
      <c r="C104" t="s">
        <v>7</v>
      </c>
      <c r="D104" t="s">
        <v>10</v>
      </c>
      <c r="E104">
        <v>3</v>
      </c>
      <c r="F104">
        <v>15.5</v>
      </c>
      <c r="G104">
        <v>0</v>
      </c>
      <c r="H104">
        <v>0</v>
      </c>
      <c r="I104">
        <f t="shared" si="31"/>
        <v>0</v>
      </c>
      <c r="J104">
        <f t="shared" si="32"/>
        <v>15.5</v>
      </c>
      <c r="K104">
        <f t="shared" si="33"/>
        <v>9.9999999999999645E-2</v>
      </c>
      <c r="L104">
        <f t="shared" si="37"/>
        <v>4.0999999999999979</v>
      </c>
      <c r="M104">
        <f t="shared" si="24"/>
        <v>0.73770491803278693</v>
      </c>
      <c r="N104">
        <v>19</v>
      </c>
      <c r="O104">
        <f t="shared" si="34"/>
        <v>5</v>
      </c>
      <c r="P104">
        <f t="shared" si="35"/>
        <v>350</v>
      </c>
      <c r="Q104">
        <f t="shared" si="36"/>
        <v>0.24229508196721306</v>
      </c>
      <c r="R104">
        <f t="shared" si="38"/>
        <v>2.1809836065573758</v>
      </c>
    </row>
    <row r="105" spans="1:18" x14ac:dyDescent="0.3">
      <c r="A105" t="s">
        <v>6</v>
      </c>
      <c r="B105" s="1">
        <v>45092</v>
      </c>
      <c r="C105" t="s">
        <v>7</v>
      </c>
      <c r="D105" t="s">
        <v>10</v>
      </c>
      <c r="E105">
        <v>3</v>
      </c>
      <c r="F105">
        <v>15.4</v>
      </c>
      <c r="G105">
        <v>0.5</v>
      </c>
      <c r="H105">
        <v>0</v>
      </c>
      <c r="I105">
        <f t="shared" si="31"/>
        <v>0.5</v>
      </c>
      <c r="J105">
        <f t="shared" si="32"/>
        <v>15.9</v>
      </c>
      <c r="K105">
        <f t="shared" si="33"/>
        <v>0.40000000000000036</v>
      </c>
      <c r="L105">
        <f t="shared" si="37"/>
        <v>4.4999999999999982</v>
      </c>
      <c r="M105">
        <f t="shared" si="24"/>
        <v>0.80327868852459028</v>
      </c>
      <c r="N105">
        <v>20</v>
      </c>
      <c r="O105">
        <f t="shared" si="34"/>
        <v>5.5</v>
      </c>
      <c r="P105">
        <f t="shared" si="35"/>
        <v>385</v>
      </c>
      <c r="Q105">
        <f t="shared" si="36"/>
        <v>0.1767213114754097</v>
      </c>
      <c r="R105">
        <f t="shared" si="38"/>
        <v>2.3577049180327854</v>
      </c>
    </row>
    <row r="106" spans="1:18" x14ac:dyDescent="0.3">
      <c r="A106" t="s">
        <v>0</v>
      </c>
      <c r="B106" s="1">
        <v>45093</v>
      </c>
      <c r="C106" t="s">
        <v>7</v>
      </c>
      <c r="D106" t="s">
        <v>10</v>
      </c>
      <c r="E106">
        <v>3</v>
      </c>
      <c r="F106">
        <v>15.5</v>
      </c>
      <c r="G106">
        <v>0</v>
      </c>
      <c r="H106">
        <v>0</v>
      </c>
      <c r="I106">
        <f t="shared" si="31"/>
        <v>0</v>
      </c>
      <c r="J106">
        <f t="shared" si="32"/>
        <v>15.5</v>
      </c>
      <c r="K106">
        <f t="shared" si="33"/>
        <v>9.9999999999999645E-2</v>
      </c>
      <c r="L106">
        <f t="shared" si="37"/>
        <v>4.5999999999999979</v>
      </c>
      <c r="M106">
        <f t="shared" si="24"/>
        <v>0.73770491803278693</v>
      </c>
      <c r="N106">
        <v>21</v>
      </c>
      <c r="O106">
        <f t="shared" si="34"/>
        <v>5.5</v>
      </c>
      <c r="P106">
        <f t="shared" si="35"/>
        <v>385</v>
      </c>
      <c r="Q106">
        <f t="shared" si="36"/>
        <v>0.24229508196721306</v>
      </c>
      <c r="R106">
        <f t="shared" si="38"/>
        <v>2.5999999999999983</v>
      </c>
    </row>
    <row r="107" spans="1:18" x14ac:dyDescent="0.3">
      <c r="A107" t="s">
        <v>1</v>
      </c>
      <c r="B107" s="1">
        <v>45094</v>
      </c>
      <c r="C107" t="s">
        <v>7</v>
      </c>
      <c r="D107" t="s">
        <v>10</v>
      </c>
      <c r="E107">
        <v>3</v>
      </c>
      <c r="F107">
        <v>15.4</v>
      </c>
      <c r="G107">
        <v>0</v>
      </c>
      <c r="H107">
        <v>0</v>
      </c>
      <c r="I107">
        <f t="shared" si="31"/>
        <v>0</v>
      </c>
      <c r="J107">
        <f t="shared" si="32"/>
        <v>15.4</v>
      </c>
      <c r="K107">
        <f t="shared" si="33"/>
        <v>0</v>
      </c>
      <c r="L107">
        <f t="shared" si="37"/>
        <v>4.5999999999999979</v>
      </c>
      <c r="M107">
        <f t="shared" si="24"/>
        <v>0.7213114754098362</v>
      </c>
      <c r="N107">
        <v>22</v>
      </c>
      <c r="O107">
        <f t="shared" si="34"/>
        <v>5.5</v>
      </c>
      <c r="P107">
        <f t="shared" si="35"/>
        <v>385</v>
      </c>
      <c r="Q107">
        <f t="shared" si="36"/>
        <v>0.25868852459016378</v>
      </c>
      <c r="R107">
        <f t="shared" si="38"/>
        <v>2.8586885245901623</v>
      </c>
    </row>
    <row r="108" spans="1:18" x14ac:dyDescent="0.3">
      <c r="A108" t="s">
        <v>2</v>
      </c>
      <c r="B108" s="1">
        <v>45095</v>
      </c>
      <c r="C108" t="s">
        <v>7</v>
      </c>
      <c r="D108" t="s">
        <v>10</v>
      </c>
      <c r="E108">
        <v>3</v>
      </c>
      <c r="F108">
        <v>15.4</v>
      </c>
      <c r="G108">
        <v>0</v>
      </c>
      <c r="H108">
        <v>0</v>
      </c>
      <c r="I108">
        <f t="shared" si="31"/>
        <v>0</v>
      </c>
      <c r="J108">
        <f t="shared" si="32"/>
        <v>15.4</v>
      </c>
      <c r="K108">
        <f t="shared" si="33"/>
        <v>0.20000000000000107</v>
      </c>
      <c r="L108">
        <f t="shared" si="37"/>
        <v>4.7999999999999989</v>
      </c>
      <c r="M108">
        <f t="shared" si="24"/>
        <v>0.7213114754098362</v>
      </c>
      <c r="N108">
        <v>23</v>
      </c>
      <c r="O108">
        <f t="shared" si="34"/>
        <v>5.5</v>
      </c>
      <c r="P108">
        <f t="shared" si="35"/>
        <v>385</v>
      </c>
      <c r="Q108">
        <f t="shared" si="36"/>
        <v>0.25868852459016378</v>
      </c>
      <c r="R108">
        <f t="shared" si="38"/>
        <v>3.1173770491803259</v>
      </c>
    </row>
    <row r="109" spans="1:18" x14ac:dyDescent="0.3">
      <c r="A109" t="s">
        <v>3</v>
      </c>
      <c r="B109" s="1">
        <v>45096</v>
      </c>
      <c r="C109" t="s">
        <v>7</v>
      </c>
      <c r="D109" t="s">
        <v>10</v>
      </c>
      <c r="E109">
        <v>3</v>
      </c>
      <c r="F109">
        <v>15.2</v>
      </c>
      <c r="G109">
        <v>0.5</v>
      </c>
      <c r="H109">
        <v>0</v>
      </c>
      <c r="I109">
        <f t="shared" si="31"/>
        <v>0.5</v>
      </c>
      <c r="J109">
        <f t="shared" si="32"/>
        <v>15.7</v>
      </c>
      <c r="K109">
        <f t="shared" si="33"/>
        <v>0.59999999999999964</v>
      </c>
      <c r="L109">
        <f t="shared" si="37"/>
        <v>5.3999999999999986</v>
      </c>
      <c r="M109">
        <f t="shared" si="24"/>
        <v>0.77049180327868849</v>
      </c>
      <c r="N109">
        <v>24</v>
      </c>
      <c r="O109">
        <f t="shared" si="34"/>
        <v>6</v>
      </c>
      <c r="P109">
        <f t="shared" si="35"/>
        <v>420</v>
      </c>
      <c r="Q109">
        <f t="shared" si="36"/>
        <v>0.20950819672131149</v>
      </c>
      <c r="R109">
        <f t="shared" si="38"/>
        <v>3.3268852459016376</v>
      </c>
    </row>
    <row r="110" spans="1:18" x14ac:dyDescent="0.3">
      <c r="A110" t="s">
        <v>4</v>
      </c>
      <c r="B110" s="1">
        <v>45097</v>
      </c>
      <c r="C110" t="s">
        <v>7</v>
      </c>
      <c r="D110" t="s">
        <v>10</v>
      </c>
      <c r="E110">
        <v>3</v>
      </c>
      <c r="F110">
        <v>15.1</v>
      </c>
      <c r="G110">
        <v>0</v>
      </c>
      <c r="H110">
        <v>0</v>
      </c>
      <c r="I110">
        <f t="shared" si="31"/>
        <v>0</v>
      </c>
      <c r="J110">
        <f t="shared" si="32"/>
        <v>15.1</v>
      </c>
      <c r="K110">
        <f t="shared" si="33"/>
        <v>0.19999999999999929</v>
      </c>
      <c r="L110">
        <f>L109+K110</f>
        <v>5.5999999999999979</v>
      </c>
      <c r="M110">
        <f t="shared" si="24"/>
        <v>0.67213114754098358</v>
      </c>
      <c r="N110">
        <v>25</v>
      </c>
      <c r="O110">
        <f t="shared" si="34"/>
        <v>6</v>
      </c>
      <c r="P110">
        <f t="shared" si="35"/>
        <v>420</v>
      </c>
      <c r="Q110">
        <f t="shared" si="36"/>
        <v>0.30786885245901641</v>
      </c>
      <c r="R110">
        <f t="shared" si="38"/>
        <v>3.6347540983606539</v>
      </c>
    </row>
    <row r="111" spans="1:18" x14ac:dyDescent="0.3">
      <c r="A111" t="s">
        <v>5</v>
      </c>
      <c r="B111" s="1">
        <v>45098</v>
      </c>
      <c r="C111" t="s">
        <v>7</v>
      </c>
      <c r="D111" t="s">
        <v>10</v>
      </c>
      <c r="E111">
        <v>3</v>
      </c>
      <c r="F111">
        <v>14.9</v>
      </c>
      <c r="G111">
        <v>0</v>
      </c>
      <c r="H111">
        <v>0</v>
      </c>
      <c r="I111">
        <f t="shared" si="31"/>
        <v>0</v>
      </c>
      <c r="J111">
        <f t="shared" si="32"/>
        <v>14.9</v>
      </c>
      <c r="K111">
        <f t="shared" si="33"/>
        <v>9.9999999999999645E-2</v>
      </c>
      <c r="L111">
        <f t="shared" ref="L111:L126" si="39">L110+K111</f>
        <v>5.6999999999999975</v>
      </c>
      <c r="M111">
        <f t="shared" si="24"/>
        <v>0.63934426229508201</v>
      </c>
      <c r="N111">
        <v>26</v>
      </c>
      <c r="O111">
        <f t="shared" si="34"/>
        <v>6</v>
      </c>
      <c r="P111">
        <f t="shared" si="35"/>
        <v>420</v>
      </c>
      <c r="Q111">
        <f t="shared" si="36"/>
        <v>0.34065573770491797</v>
      </c>
      <c r="R111">
        <f t="shared" si="38"/>
        <v>3.9754098360655719</v>
      </c>
    </row>
    <row r="112" spans="1:18" x14ac:dyDescent="0.3">
      <c r="A112" t="s">
        <v>6</v>
      </c>
      <c r="B112" s="1">
        <v>45099</v>
      </c>
      <c r="C112" t="s">
        <v>7</v>
      </c>
      <c r="D112" t="s">
        <v>10</v>
      </c>
      <c r="E112">
        <v>3</v>
      </c>
      <c r="F112">
        <v>14.8</v>
      </c>
      <c r="G112">
        <v>0.5</v>
      </c>
      <c r="H112">
        <v>0</v>
      </c>
      <c r="I112">
        <f t="shared" si="31"/>
        <v>0.5</v>
      </c>
      <c r="J112">
        <f t="shared" si="32"/>
        <v>15.3</v>
      </c>
      <c r="K112">
        <f t="shared" si="33"/>
        <v>0.30000000000000071</v>
      </c>
      <c r="L112">
        <f t="shared" si="39"/>
        <v>5.9999999999999982</v>
      </c>
      <c r="M112">
        <f t="shared" si="24"/>
        <v>0.70491803278688536</v>
      </c>
      <c r="N112">
        <v>27</v>
      </c>
      <c r="O112">
        <f t="shared" si="34"/>
        <v>6.5</v>
      </c>
      <c r="P112">
        <f t="shared" si="35"/>
        <v>455</v>
      </c>
      <c r="Q112">
        <f t="shared" si="36"/>
        <v>0.27508196721311462</v>
      </c>
      <c r="R112">
        <f t="shared" si="38"/>
        <v>4.2504918032786865</v>
      </c>
    </row>
    <row r="113" spans="1:18" x14ac:dyDescent="0.3">
      <c r="A113" t="s">
        <v>0</v>
      </c>
      <c r="B113" s="1">
        <v>45100</v>
      </c>
      <c r="C113" t="s">
        <v>7</v>
      </c>
      <c r="D113" t="s">
        <v>10</v>
      </c>
      <c r="E113">
        <v>3</v>
      </c>
      <c r="F113">
        <v>15</v>
      </c>
      <c r="G113">
        <v>0</v>
      </c>
      <c r="H113">
        <v>0</v>
      </c>
      <c r="I113">
        <f t="shared" si="31"/>
        <v>0</v>
      </c>
      <c r="J113">
        <f t="shared" si="32"/>
        <v>15</v>
      </c>
      <c r="K113">
        <f t="shared" si="33"/>
        <v>9.9999999999999645E-2</v>
      </c>
      <c r="L113">
        <f t="shared" si="39"/>
        <v>6.0999999999999979</v>
      </c>
      <c r="M113">
        <f t="shared" si="24"/>
        <v>0.65573770491803285</v>
      </c>
      <c r="N113">
        <v>28</v>
      </c>
      <c r="O113">
        <f t="shared" si="34"/>
        <v>6.5</v>
      </c>
      <c r="P113">
        <f t="shared" si="35"/>
        <v>455</v>
      </c>
      <c r="Q113">
        <f t="shared" si="36"/>
        <v>0.32426229508196713</v>
      </c>
      <c r="R113">
        <f>R112+Q113</f>
        <v>4.5747540983606534</v>
      </c>
    </row>
    <row r="114" spans="1:18" x14ac:dyDescent="0.3">
      <c r="A114" t="s">
        <v>1</v>
      </c>
      <c r="B114" s="1">
        <v>45101</v>
      </c>
      <c r="C114" t="s">
        <v>7</v>
      </c>
      <c r="D114" t="s">
        <v>10</v>
      </c>
      <c r="E114">
        <v>3</v>
      </c>
      <c r="F114">
        <v>14.9</v>
      </c>
      <c r="G114">
        <v>0</v>
      </c>
      <c r="H114">
        <v>0</v>
      </c>
      <c r="I114">
        <f t="shared" si="31"/>
        <v>0</v>
      </c>
      <c r="J114">
        <f t="shared" si="32"/>
        <v>14.9</v>
      </c>
      <c r="K114">
        <f t="shared" si="33"/>
        <v>0.20000000000000107</v>
      </c>
      <c r="L114">
        <f t="shared" si="39"/>
        <v>6.2999999999999989</v>
      </c>
      <c r="M114">
        <f t="shared" si="24"/>
        <v>0.63934426229508201</v>
      </c>
      <c r="N114">
        <v>29</v>
      </c>
      <c r="O114">
        <f t="shared" si="34"/>
        <v>6.5</v>
      </c>
      <c r="P114">
        <f t="shared" si="35"/>
        <v>455</v>
      </c>
      <c r="Q114">
        <f t="shared" si="36"/>
        <v>0.34065573770491797</v>
      </c>
      <c r="R114">
        <f t="shared" ref="R114:R123" si="40">R113+Q114</f>
        <v>4.9154098360655709</v>
      </c>
    </row>
    <row r="115" spans="1:18" x14ac:dyDescent="0.3">
      <c r="A115" t="s">
        <v>2</v>
      </c>
      <c r="B115" s="1">
        <v>45102</v>
      </c>
      <c r="C115" t="s">
        <v>7</v>
      </c>
      <c r="D115" t="s">
        <v>10</v>
      </c>
      <c r="E115">
        <v>3</v>
      </c>
      <c r="F115">
        <v>14.7</v>
      </c>
      <c r="G115">
        <v>0</v>
      </c>
      <c r="H115">
        <v>0</v>
      </c>
      <c r="I115">
        <f t="shared" si="31"/>
        <v>0</v>
      </c>
      <c r="J115">
        <f t="shared" si="32"/>
        <v>14.7</v>
      </c>
      <c r="K115">
        <f t="shared" si="33"/>
        <v>0.19999999999999929</v>
      </c>
      <c r="L115">
        <f t="shared" si="39"/>
        <v>6.4999999999999982</v>
      </c>
      <c r="M115">
        <f t="shared" si="24"/>
        <v>0.60655737704918022</v>
      </c>
      <c r="N115">
        <v>30</v>
      </c>
      <c r="O115">
        <f t="shared" si="34"/>
        <v>6.5</v>
      </c>
      <c r="P115">
        <f t="shared" si="35"/>
        <v>455</v>
      </c>
      <c r="Q115">
        <f t="shared" si="36"/>
        <v>0.37344262295081976</v>
      </c>
      <c r="R115">
        <f t="shared" si="40"/>
        <v>5.2888524590163906</v>
      </c>
    </row>
    <row r="116" spans="1:18" x14ac:dyDescent="0.3">
      <c r="A116" t="s">
        <v>3</v>
      </c>
      <c r="B116" s="1">
        <v>45103</v>
      </c>
      <c r="C116" t="s">
        <v>7</v>
      </c>
      <c r="D116" t="s">
        <v>10</v>
      </c>
      <c r="E116">
        <v>3</v>
      </c>
      <c r="F116">
        <v>14.5</v>
      </c>
      <c r="G116">
        <v>0.5</v>
      </c>
      <c r="H116">
        <v>0</v>
      </c>
      <c r="I116">
        <f t="shared" si="31"/>
        <v>0.5</v>
      </c>
      <c r="J116">
        <f t="shared" si="32"/>
        <v>15</v>
      </c>
      <c r="K116">
        <f t="shared" si="33"/>
        <v>0.19999999999999929</v>
      </c>
      <c r="L116">
        <f t="shared" si="39"/>
        <v>6.6999999999999975</v>
      </c>
      <c r="M116">
        <f t="shared" si="24"/>
        <v>0.65573770491803285</v>
      </c>
      <c r="N116">
        <v>31</v>
      </c>
      <c r="O116">
        <f t="shared" si="34"/>
        <v>7</v>
      </c>
      <c r="P116">
        <f t="shared" si="35"/>
        <v>490</v>
      </c>
      <c r="Q116">
        <f t="shared" si="36"/>
        <v>0.32426229508196713</v>
      </c>
      <c r="R116">
        <f t="shared" si="40"/>
        <v>5.6131147540983575</v>
      </c>
    </row>
    <row r="117" spans="1:18" x14ac:dyDescent="0.3">
      <c r="A117" t="s">
        <v>4</v>
      </c>
      <c r="B117" s="1">
        <v>45104</v>
      </c>
      <c r="C117" t="s">
        <v>7</v>
      </c>
      <c r="D117" t="s">
        <v>10</v>
      </c>
      <c r="E117">
        <v>3</v>
      </c>
      <c r="F117">
        <v>14.8</v>
      </c>
      <c r="G117">
        <v>0</v>
      </c>
      <c r="H117">
        <v>0</v>
      </c>
      <c r="I117">
        <f t="shared" si="31"/>
        <v>0</v>
      </c>
      <c r="J117">
        <f t="shared" si="32"/>
        <v>14.8</v>
      </c>
      <c r="K117">
        <f t="shared" si="33"/>
        <v>0.30000000000000071</v>
      </c>
      <c r="L117">
        <f t="shared" si="39"/>
        <v>6.9999999999999982</v>
      </c>
      <c r="M117">
        <f t="shared" si="24"/>
        <v>0.62295081967213128</v>
      </c>
      <c r="N117">
        <v>32</v>
      </c>
      <c r="O117">
        <f t="shared" si="34"/>
        <v>7</v>
      </c>
      <c r="P117">
        <f t="shared" si="35"/>
        <v>490</v>
      </c>
      <c r="Q117">
        <f t="shared" si="36"/>
        <v>0.3570491803278687</v>
      </c>
      <c r="R117">
        <f t="shared" si="40"/>
        <v>5.9701639344262265</v>
      </c>
    </row>
    <row r="118" spans="1:18" x14ac:dyDescent="0.3">
      <c r="A118" t="s">
        <v>5</v>
      </c>
      <c r="B118" s="1">
        <v>45105</v>
      </c>
      <c r="C118" t="s">
        <v>7</v>
      </c>
      <c r="D118" t="s">
        <v>10</v>
      </c>
      <c r="E118">
        <v>3</v>
      </c>
      <c r="F118">
        <v>14.5</v>
      </c>
      <c r="G118">
        <v>0</v>
      </c>
      <c r="H118">
        <v>0</v>
      </c>
      <c r="I118">
        <f t="shared" si="31"/>
        <v>0</v>
      </c>
      <c r="J118">
        <f t="shared" si="32"/>
        <v>14.5</v>
      </c>
      <c r="K118">
        <f t="shared" si="33"/>
        <v>0.19999999999999929</v>
      </c>
      <c r="L118">
        <f t="shared" si="39"/>
        <v>7.1999999999999975</v>
      </c>
      <c r="M118">
        <f t="shared" si="24"/>
        <v>0.57377049180327877</v>
      </c>
      <c r="N118">
        <v>33</v>
      </c>
      <c r="O118">
        <f t="shared" si="34"/>
        <v>7</v>
      </c>
      <c r="P118">
        <f t="shared" si="35"/>
        <v>490</v>
      </c>
      <c r="Q118">
        <f t="shared" si="36"/>
        <v>0.40622950819672121</v>
      </c>
      <c r="R118">
        <f t="shared" si="40"/>
        <v>6.3763934426229474</v>
      </c>
    </row>
    <row r="119" spans="1:18" x14ac:dyDescent="0.3">
      <c r="A119" t="s">
        <v>6</v>
      </c>
      <c r="B119" s="1">
        <v>45106</v>
      </c>
      <c r="C119" t="s">
        <v>7</v>
      </c>
      <c r="D119" t="s">
        <v>10</v>
      </c>
      <c r="E119">
        <v>3</v>
      </c>
      <c r="F119">
        <v>14.3</v>
      </c>
      <c r="G119">
        <v>0.5</v>
      </c>
      <c r="H119">
        <v>0</v>
      </c>
      <c r="I119">
        <f t="shared" si="31"/>
        <v>0.5</v>
      </c>
      <c r="J119">
        <f t="shared" si="32"/>
        <v>14.8</v>
      </c>
      <c r="K119">
        <f t="shared" si="33"/>
        <v>0.30000000000000071</v>
      </c>
      <c r="L119">
        <f t="shared" si="39"/>
        <v>7.4999999999999982</v>
      </c>
      <c r="M119">
        <f t="shared" si="24"/>
        <v>0.62295081967213128</v>
      </c>
      <c r="N119">
        <v>34</v>
      </c>
      <c r="O119">
        <f t="shared" si="34"/>
        <v>7.5</v>
      </c>
      <c r="P119">
        <f t="shared" si="35"/>
        <v>525</v>
      </c>
      <c r="Q119">
        <f t="shared" si="36"/>
        <v>0.3570491803278687</v>
      </c>
      <c r="R119">
        <f t="shared" si="40"/>
        <v>6.7334426229508164</v>
      </c>
    </row>
    <row r="120" spans="1:18" x14ac:dyDescent="0.3">
      <c r="A120" t="s">
        <v>0</v>
      </c>
      <c r="B120" s="1">
        <v>45107</v>
      </c>
      <c r="C120" t="s">
        <v>7</v>
      </c>
      <c r="D120" t="s">
        <v>10</v>
      </c>
      <c r="E120">
        <v>3</v>
      </c>
      <c r="F120">
        <v>14.5</v>
      </c>
      <c r="G120">
        <v>0</v>
      </c>
      <c r="H120">
        <v>0</v>
      </c>
      <c r="I120">
        <f t="shared" si="31"/>
        <v>0</v>
      </c>
      <c r="J120">
        <f t="shared" si="32"/>
        <v>14.5</v>
      </c>
      <c r="K120">
        <f t="shared" si="33"/>
        <v>9.9999999999999645E-2</v>
      </c>
      <c r="L120">
        <f t="shared" si="39"/>
        <v>7.5999999999999979</v>
      </c>
      <c r="M120">
        <f t="shared" si="24"/>
        <v>0.57377049180327877</v>
      </c>
      <c r="N120">
        <v>35</v>
      </c>
      <c r="O120">
        <f t="shared" si="34"/>
        <v>7.5</v>
      </c>
      <c r="P120">
        <f t="shared" si="35"/>
        <v>525</v>
      </c>
      <c r="Q120">
        <f t="shared" si="36"/>
        <v>0.40622950819672121</v>
      </c>
      <c r="R120">
        <f t="shared" si="40"/>
        <v>7.1396721311475373</v>
      </c>
    </row>
    <row r="121" spans="1:18" x14ac:dyDescent="0.3">
      <c r="A121" t="s">
        <v>1</v>
      </c>
      <c r="B121" s="1">
        <v>45108</v>
      </c>
      <c r="C121" t="s">
        <v>7</v>
      </c>
      <c r="D121" t="s">
        <v>10</v>
      </c>
      <c r="E121">
        <v>3</v>
      </c>
      <c r="F121">
        <v>14.4</v>
      </c>
      <c r="G121">
        <v>0</v>
      </c>
      <c r="H121">
        <v>0</v>
      </c>
      <c r="I121">
        <f t="shared" si="31"/>
        <v>0</v>
      </c>
      <c r="J121">
        <f t="shared" si="32"/>
        <v>14.4</v>
      </c>
      <c r="K121">
        <f t="shared" si="33"/>
        <v>9.9999999999999645E-2</v>
      </c>
      <c r="L121">
        <f t="shared" si="39"/>
        <v>7.6999999999999975</v>
      </c>
      <c r="M121">
        <f t="shared" si="24"/>
        <v>0.55737704918032793</v>
      </c>
      <c r="N121">
        <v>36</v>
      </c>
      <c r="O121">
        <f t="shared" si="34"/>
        <v>7.5</v>
      </c>
      <c r="P121">
        <f t="shared" si="35"/>
        <v>525</v>
      </c>
      <c r="Q121">
        <f t="shared" si="36"/>
        <v>0.42262295081967205</v>
      </c>
      <c r="R121">
        <f t="shared" si="40"/>
        <v>7.5622950819672097</v>
      </c>
    </row>
    <row r="122" spans="1:18" x14ac:dyDescent="0.3">
      <c r="A122" t="s">
        <v>2</v>
      </c>
      <c r="B122" s="1">
        <v>45109</v>
      </c>
      <c r="C122" t="s">
        <v>7</v>
      </c>
      <c r="D122" t="s">
        <v>10</v>
      </c>
      <c r="E122">
        <v>3</v>
      </c>
      <c r="F122">
        <v>14.3</v>
      </c>
      <c r="G122">
        <v>0</v>
      </c>
      <c r="H122">
        <v>0</v>
      </c>
      <c r="I122">
        <f t="shared" si="31"/>
        <v>0</v>
      </c>
      <c r="J122">
        <f t="shared" si="32"/>
        <v>14.3</v>
      </c>
      <c r="K122">
        <f t="shared" si="33"/>
        <v>0</v>
      </c>
      <c r="L122">
        <f t="shared" si="39"/>
        <v>7.6999999999999975</v>
      </c>
      <c r="M122">
        <f t="shared" si="24"/>
        <v>0.54098360655737721</v>
      </c>
      <c r="N122">
        <v>37</v>
      </c>
      <c r="O122">
        <f t="shared" si="34"/>
        <v>7.5</v>
      </c>
      <c r="P122">
        <f t="shared" si="35"/>
        <v>525</v>
      </c>
      <c r="Q122">
        <f t="shared" si="36"/>
        <v>0.43901639344262278</v>
      </c>
      <c r="R122">
        <f t="shared" si="40"/>
        <v>8.0013114754098318</v>
      </c>
    </row>
    <row r="123" spans="1:18" x14ac:dyDescent="0.3">
      <c r="A123" t="s">
        <v>3</v>
      </c>
      <c r="B123" s="1">
        <v>45110</v>
      </c>
      <c r="C123" t="s">
        <v>7</v>
      </c>
      <c r="D123" t="s">
        <v>10</v>
      </c>
      <c r="E123">
        <v>3</v>
      </c>
      <c r="F123">
        <v>14.3</v>
      </c>
      <c r="G123">
        <v>0.5</v>
      </c>
      <c r="H123">
        <v>0</v>
      </c>
      <c r="I123">
        <f t="shared" si="31"/>
        <v>0.5</v>
      </c>
      <c r="J123">
        <f t="shared" si="32"/>
        <v>14.8</v>
      </c>
      <c r="K123">
        <f t="shared" si="33"/>
        <v>0.10000000000000142</v>
      </c>
      <c r="L123">
        <f t="shared" si="39"/>
        <v>7.7999999999999989</v>
      </c>
      <c r="M123">
        <f t="shared" si="24"/>
        <v>0.62295081967213128</v>
      </c>
      <c r="N123">
        <v>38</v>
      </c>
      <c r="O123">
        <f t="shared" si="34"/>
        <v>8</v>
      </c>
      <c r="P123">
        <f t="shared" si="35"/>
        <v>560</v>
      </c>
      <c r="Q123">
        <f t="shared" si="36"/>
        <v>0.3570491803278687</v>
      </c>
      <c r="R123">
        <f t="shared" si="40"/>
        <v>8.3583606557376999</v>
      </c>
    </row>
    <row r="124" spans="1:18" x14ac:dyDescent="0.3">
      <c r="A124" t="s">
        <v>4</v>
      </c>
      <c r="B124" s="1">
        <v>45111</v>
      </c>
      <c r="C124" t="s">
        <v>7</v>
      </c>
      <c r="D124" t="s">
        <v>10</v>
      </c>
      <c r="E124">
        <v>3</v>
      </c>
      <c r="F124">
        <v>14.7</v>
      </c>
      <c r="G124">
        <v>0</v>
      </c>
      <c r="H124">
        <v>0</v>
      </c>
      <c r="I124">
        <f t="shared" si="31"/>
        <v>0</v>
      </c>
      <c r="J124">
        <f t="shared" si="32"/>
        <v>14.7</v>
      </c>
      <c r="K124">
        <f t="shared" si="33"/>
        <v>0.19999999999999929</v>
      </c>
      <c r="L124">
        <f t="shared" si="39"/>
        <v>7.9999999999999982</v>
      </c>
      <c r="M124">
        <f t="shared" si="24"/>
        <v>0.60655737704918022</v>
      </c>
      <c r="N124">
        <v>39</v>
      </c>
      <c r="O124">
        <f t="shared" si="34"/>
        <v>8</v>
      </c>
      <c r="P124">
        <f t="shared" si="35"/>
        <v>560</v>
      </c>
      <c r="Q124">
        <f t="shared" si="36"/>
        <v>0.37344262295081976</v>
      </c>
      <c r="R124">
        <f t="shared" ref="R124:R126" si="41">R123+Q124</f>
        <v>8.7318032786885205</v>
      </c>
    </row>
    <row r="125" spans="1:18" x14ac:dyDescent="0.3">
      <c r="A125" t="s">
        <v>5</v>
      </c>
      <c r="B125" s="1">
        <v>45112</v>
      </c>
      <c r="C125" t="s">
        <v>7</v>
      </c>
      <c r="D125" t="s">
        <v>10</v>
      </c>
      <c r="E125">
        <v>3</v>
      </c>
      <c r="F125">
        <v>14.5</v>
      </c>
      <c r="G125">
        <v>0</v>
      </c>
      <c r="H125">
        <v>0</v>
      </c>
      <c r="I125">
        <f t="shared" si="31"/>
        <v>0</v>
      </c>
      <c r="J125">
        <f t="shared" si="32"/>
        <v>14.5</v>
      </c>
      <c r="K125">
        <f t="shared" si="33"/>
        <v>0.19999999999999929</v>
      </c>
      <c r="L125">
        <f t="shared" si="39"/>
        <v>8.1999999999999975</v>
      </c>
      <c r="M125">
        <f t="shared" si="24"/>
        <v>0.57377049180327877</v>
      </c>
      <c r="N125">
        <v>40</v>
      </c>
      <c r="O125">
        <f t="shared" si="34"/>
        <v>8</v>
      </c>
      <c r="P125">
        <f t="shared" si="35"/>
        <v>560</v>
      </c>
      <c r="Q125">
        <f t="shared" si="36"/>
        <v>0.40622950819672121</v>
      </c>
      <c r="R125">
        <f t="shared" si="41"/>
        <v>9.1380327868852422</v>
      </c>
    </row>
    <row r="126" spans="1:18" x14ac:dyDescent="0.3">
      <c r="A126" t="s">
        <v>6</v>
      </c>
      <c r="B126" s="1">
        <v>45113</v>
      </c>
      <c r="C126" t="s">
        <v>7</v>
      </c>
      <c r="D126" t="s">
        <v>10</v>
      </c>
      <c r="E126">
        <v>3</v>
      </c>
      <c r="F126">
        <v>14.3</v>
      </c>
      <c r="G126">
        <v>0</v>
      </c>
      <c r="H126">
        <v>0</v>
      </c>
      <c r="I126">
        <f t="shared" si="31"/>
        <v>0</v>
      </c>
      <c r="J126">
        <f t="shared" si="32"/>
        <v>14.3</v>
      </c>
      <c r="K126">
        <f t="shared" si="33"/>
        <v>0.20000000000000107</v>
      </c>
      <c r="L126">
        <f t="shared" si="39"/>
        <v>8.3999999999999986</v>
      </c>
      <c r="M126">
        <f t="shared" si="24"/>
        <v>0.54098360655737721</v>
      </c>
      <c r="N126">
        <v>41</v>
      </c>
      <c r="O126">
        <f t="shared" si="34"/>
        <v>8</v>
      </c>
      <c r="P126">
        <f t="shared" si="35"/>
        <v>560</v>
      </c>
      <c r="Q126">
        <f t="shared" si="36"/>
        <v>0.43901639344262278</v>
      </c>
      <c r="R126">
        <f t="shared" si="41"/>
        <v>9.5770491803278652</v>
      </c>
    </row>
    <row r="127" spans="1:18" x14ac:dyDescent="0.3">
      <c r="A127" t="s">
        <v>0</v>
      </c>
      <c r="B127" s="1">
        <v>45114</v>
      </c>
      <c r="C127" t="s">
        <v>7</v>
      </c>
      <c r="D127" t="s">
        <v>10</v>
      </c>
      <c r="E127">
        <v>3</v>
      </c>
      <c r="F127">
        <v>14.1</v>
      </c>
      <c r="G127">
        <v>0</v>
      </c>
      <c r="H127">
        <v>0</v>
      </c>
      <c r="I127">
        <f t="shared" si="31"/>
        <v>0</v>
      </c>
    </row>
    <row r="128" spans="1:18" x14ac:dyDescent="0.3">
      <c r="A128" t="s">
        <v>1</v>
      </c>
      <c r="B128" s="1">
        <v>45073</v>
      </c>
      <c r="C128" t="s">
        <v>7</v>
      </c>
      <c r="D128" t="s">
        <v>10</v>
      </c>
      <c r="E128">
        <v>4</v>
      </c>
      <c r="F128">
        <v>17</v>
      </c>
      <c r="G128">
        <v>0</v>
      </c>
      <c r="H128">
        <v>0</v>
      </c>
      <c r="I128">
        <f>H128+G128</f>
        <v>0</v>
      </c>
      <c r="J128">
        <f>I128+F128</f>
        <v>17</v>
      </c>
      <c r="K128">
        <f>J128-F129</f>
        <v>0.39999999999999858</v>
      </c>
      <c r="M128">
        <f t="shared" si="24"/>
        <v>0.98360655737704927</v>
      </c>
      <c r="N128">
        <v>1</v>
      </c>
      <c r="O128">
        <v>2.5</v>
      </c>
      <c r="P128">
        <f>O128*70</f>
        <v>175</v>
      </c>
    </row>
    <row r="129" spans="1:18" x14ac:dyDescent="0.3">
      <c r="A129" t="s">
        <v>2</v>
      </c>
      <c r="B129" s="1">
        <v>45074</v>
      </c>
      <c r="C129" t="s">
        <v>7</v>
      </c>
      <c r="D129" t="s">
        <v>10</v>
      </c>
      <c r="E129">
        <v>4</v>
      </c>
      <c r="F129">
        <v>16.600000000000001</v>
      </c>
      <c r="G129">
        <v>0</v>
      </c>
      <c r="H129">
        <v>0</v>
      </c>
      <c r="I129">
        <f t="shared" ref="I129:I168" si="42">H129+G129</f>
        <v>0</v>
      </c>
      <c r="J129">
        <f t="shared" ref="J129:J168" si="43">I129+F129</f>
        <v>16.600000000000001</v>
      </c>
      <c r="K129">
        <f t="shared" ref="K129:K168" si="44">J129-F130</f>
        <v>0.30000000000000071</v>
      </c>
      <c r="L129">
        <f>K128+K129</f>
        <v>0.69999999999999929</v>
      </c>
      <c r="M129">
        <f t="shared" si="24"/>
        <v>0.91803278688524614</v>
      </c>
      <c r="N129">
        <v>2</v>
      </c>
      <c r="O129">
        <f t="shared" ref="O129:O168" si="45">O128+G129</f>
        <v>2.5</v>
      </c>
      <c r="P129">
        <f t="shared" ref="P129:P168" si="46">O129*70</f>
        <v>175</v>
      </c>
      <c r="Q129">
        <f t="shared" ref="Q129:Q168" si="47">0.98-M129</f>
        <v>6.1967213114753839E-2</v>
      </c>
      <c r="R129">
        <f>Q128+Q129</f>
        <v>6.1967213114753839E-2</v>
      </c>
    </row>
    <row r="130" spans="1:18" x14ac:dyDescent="0.3">
      <c r="A130" t="s">
        <v>3</v>
      </c>
      <c r="B130" s="1">
        <v>45075</v>
      </c>
      <c r="C130" t="s">
        <v>7</v>
      </c>
      <c r="D130" t="s">
        <v>10</v>
      </c>
      <c r="E130">
        <v>4</v>
      </c>
      <c r="F130">
        <v>16.3</v>
      </c>
      <c r="G130">
        <v>0.25</v>
      </c>
      <c r="H130">
        <v>0</v>
      </c>
      <c r="I130">
        <f t="shared" si="42"/>
        <v>0.25</v>
      </c>
      <c r="J130">
        <f t="shared" si="43"/>
        <v>16.55</v>
      </c>
      <c r="K130">
        <f t="shared" si="44"/>
        <v>0.55000000000000071</v>
      </c>
      <c r="L130">
        <f>L129+K130</f>
        <v>1.25</v>
      </c>
      <c r="M130">
        <f t="shared" si="24"/>
        <v>0.90983606557377061</v>
      </c>
      <c r="N130">
        <v>3</v>
      </c>
      <c r="O130">
        <f t="shared" si="45"/>
        <v>2.75</v>
      </c>
      <c r="P130">
        <f t="shared" si="46"/>
        <v>192.5</v>
      </c>
      <c r="Q130">
        <f t="shared" si="47"/>
        <v>7.0163934426229368E-2</v>
      </c>
      <c r="R130">
        <f>R129+Q130</f>
        <v>0.13213114754098321</v>
      </c>
    </row>
    <row r="131" spans="1:18" x14ac:dyDescent="0.3">
      <c r="A131" t="s">
        <v>4</v>
      </c>
      <c r="B131" s="1">
        <v>45076</v>
      </c>
      <c r="C131" t="s">
        <v>7</v>
      </c>
      <c r="D131" t="s">
        <v>10</v>
      </c>
      <c r="E131">
        <v>4</v>
      </c>
      <c r="F131">
        <v>16</v>
      </c>
      <c r="G131">
        <v>0.25</v>
      </c>
      <c r="H131">
        <v>0</v>
      </c>
      <c r="I131">
        <f t="shared" si="42"/>
        <v>0.25</v>
      </c>
      <c r="J131">
        <f t="shared" si="43"/>
        <v>16.25</v>
      </c>
      <c r="K131">
        <f t="shared" si="44"/>
        <v>0.55000000000000071</v>
      </c>
      <c r="L131">
        <f t="shared" ref="L131:L151" si="48">L130+K131</f>
        <v>1.8000000000000007</v>
      </c>
      <c r="M131">
        <f t="shared" ref="M131:M194" si="49">(J131-11)/6.1</f>
        <v>0.8606557377049181</v>
      </c>
      <c r="N131">
        <v>4</v>
      </c>
      <c r="O131">
        <f t="shared" si="45"/>
        <v>3</v>
      </c>
      <c r="P131">
        <f t="shared" si="46"/>
        <v>210</v>
      </c>
      <c r="Q131">
        <f t="shared" si="47"/>
        <v>0.11934426229508188</v>
      </c>
      <c r="R131">
        <f t="shared" ref="R131:R154" si="50">R130+Q131</f>
        <v>0.25147540983606509</v>
      </c>
    </row>
    <row r="132" spans="1:18" x14ac:dyDescent="0.3">
      <c r="A132" t="s">
        <v>5</v>
      </c>
      <c r="B132" s="1">
        <v>45077</v>
      </c>
      <c r="C132" t="s">
        <v>7</v>
      </c>
      <c r="D132" t="s">
        <v>10</v>
      </c>
      <c r="E132">
        <v>4</v>
      </c>
      <c r="F132">
        <v>15.7</v>
      </c>
      <c r="G132">
        <v>0</v>
      </c>
      <c r="H132">
        <v>0</v>
      </c>
      <c r="I132">
        <f t="shared" si="42"/>
        <v>0</v>
      </c>
      <c r="J132">
        <f t="shared" si="43"/>
        <v>15.7</v>
      </c>
      <c r="K132">
        <f t="shared" si="44"/>
        <v>0.29999999999999893</v>
      </c>
      <c r="L132">
        <f t="shared" si="48"/>
        <v>2.0999999999999996</v>
      </c>
      <c r="M132">
        <f t="shared" si="49"/>
        <v>0.77049180327868849</v>
      </c>
      <c r="N132">
        <v>5</v>
      </c>
      <c r="O132">
        <f t="shared" si="45"/>
        <v>3</v>
      </c>
      <c r="P132">
        <f t="shared" si="46"/>
        <v>210</v>
      </c>
      <c r="Q132">
        <f t="shared" si="47"/>
        <v>0.20950819672131149</v>
      </c>
      <c r="R132">
        <f t="shared" si="50"/>
        <v>0.46098360655737658</v>
      </c>
    </row>
    <row r="133" spans="1:18" x14ac:dyDescent="0.3">
      <c r="A133" t="s">
        <v>6</v>
      </c>
      <c r="B133" s="1">
        <v>45078</v>
      </c>
      <c r="C133" t="s">
        <v>7</v>
      </c>
      <c r="D133" t="s">
        <v>10</v>
      </c>
      <c r="E133">
        <v>4</v>
      </c>
      <c r="F133">
        <v>15.4</v>
      </c>
      <c r="G133">
        <v>0.25</v>
      </c>
      <c r="H133">
        <v>0</v>
      </c>
      <c r="I133">
        <f t="shared" si="42"/>
        <v>0.25</v>
      </c>
      <c r="J133">
        <f t="shared" si="43"/>
        <v>15.65</v>
      </c>
      <c r="K133">
        <f t="shared" si="44"/>
        <v>0.25</v>
      </c>
      <c r="L133">
        <f t="shared" si="48"/>
        <v>2.3499999999999996</v>
      </c>
      <c r="M133">
        <f t="shared" si="49"/>
        <v>0.76229508196721318</v>
      </c>
      <c r="N133">
        <v>6</v>
      </c>
      <c r="O133">
        <f t="shared" si="45"/>
        <v>3.25</v>
      </c>
      <c r="P133">
        <f t="shared" si="46"/>
        <v>227.5</v>
      </c>
      <c r="Q133">
        <f t="shared" si="47"/>
        <v>0.2177049180327868</v>
      </c>
      <c r="R133">
        <f t="shared" si="50"/>
        <v>0.67868852459016338</v>
      </c>
    </row>
    <row r="134" spans="1:18" x14ac:dyDescent="0.3">
      <c r="A134" t="s">
        <v>0</v>
      </c>
      <c r="B134" s="1">
        <v>45079</v>
      </c>
      <c r="C134" t="s">
        <v>7</v>
      </c>
      <c r="D134" t="s">
        <v>10</v>
      </c>
      <c r="E134">
        <v>4</v>
      </c>
      <c r="F134">
        <v>15.4</v>
      </c>
      <c r="G134">
        <v>0.25</v>
      </c>
      <c r="H134">
        <v>0</v>
      </c>
      <c r="I134">
        <f t="shared" si="42"/>
        <v>0.25</v>
      </c>
      <c r="J134">
        <f t="shared" si="43"/>
        <v>15.65</v>
      </c>
      <c r="K134">
        <f t="shared" si="44"/>
        <v>0.25</v>
      </c>
      <c r="L134">
        <f t="shared" si="48"/>
        <v>2.5999999999999996</v>
      </c>
      <c r="M134">
        <f t="shared" si="49"/>
        <v>0.76229508196721318</v>
      </c>
      <c r="N134">
        <v>7</v>
      </c>
      <c r="O134">
        <f t="shared" si="45"/>
        <v>3.5</v>
      </c>
      <c r="P134">
        <f t="shared" si="46"/>
        <v>245</v>
      </c>
      <c r="Q134">
        <f t="shared" si="47"/>
        <v>0.2177049180327868</v>
      </c>
      <c r="R134">
        <f t="shared" si="50"/>
        <v>0.89639344262295018</v>
      </c>
    </row>
    <row r="135" spans="1:18" x14ac:dyDescent="0.3">
      <c r="A135" t="s">
        <v>1</v>
      </c>
      <c r="B135" s="1">
        <v>45080</v>
      </c>
      <c r="C135" t="s">
        <v>7</v>
      </c>
      <c r="D135" t="s">
        <v>10</v>
      </c>
      <c r="E135">
        <v>4</v>
      </c>
      <c r="F135">
        <v>15.4</v>
      </c>
      <c r="G135">
        <v>0</v>
      </c>
      <c r="H135">
        <v>0</v>
      </c>
      <c r="I135">
        <f t="shared" si="42"/>
        <v>0</v>
      </c>
      <c r="J135">
        <f t="shared" si="43"/>
        <v>15.4</v>
      </c>
      <c r="K135">
        <f t="shared" si="44"/>
        <v>0.5</v>
      </c>
      <c r="L135">
        <f t="shared" si="48"/>
        <v>3.0999999999999996</v>
      </c>
      <c r="M135">
        <f t="shared" si="49"/>
        <v>0.7213114754098362</v>
      </c>
      <c r="N135">
        <v>8</v>
      </c>
      <c r="O135">
        <f t="shared" si="45"/>
        <v>3.5</v>
      </c>
      <c r="P135">
        <f t="shared" si="46"/>
        <v>245</v>
      </c>
      <c r="Q135">
        <f t="shared" si="47"/>
        <v>0.25868852459016378</v>
      </c>
      <c r="R135">
        <f t="shared" si="50"/>
        <v>1.1550819672131141</v>
      </c>
    </row>
    <row r="136" spans="1:18" x14ac:dyDescent="0.3">
      <c r="A136" t="s">
        <v>2</v>
      </c>
      <c r="B136" s="1">
        <v>45081</v>
      </c>
      <c r="C136" t="s">
        <v>7</v>
      </c>
      <c r="D136" t="s">
        <v>10</v>
      </c>
      <c r="E136">
        <v>4</v>
      </c>
      <c r="F136">
        <v>14.9</v>
      </c>
      <c r="G136">
        <v>0</v>
      </c>
      <c r="H136">
        <v>0</v>
      </c>
      <c r="I136">
        <f t="shared" si="42"/>
        <v>0</v>
      </c>
      <c r="J136">
        <f t="shared" si="43"/>
        <v>14.9</v>
      </c>
      <c r="K136">
        <f t="shared" si="44"/>
        <v>0.30000000000000071</v>
      </c>
      <c r="L136">
        <f t="shared" si="48"/>
        <v>3.4000000000000004</v>
      </c>
      <c r="M136">
        <f t="shared" si="49"/>
        <v>0.63934426229508201</v>
      </c>
      <c r="N136">
        <v>9</v>
      </c>
      <c r="O136">
        <f t="shared" si="45"/>
        <v>3.5</v>
      </c>
      <c r="P136">
        <f t="shared" si="46"/>
        <v>245</v>
      </c>
      <c r="Q136">
        <f t="shared" si="47"/>
        <v>0.34065573770491797</v>
      </c>
      <c r="R136">
        <f t="shared" si="50"/>
        <v>1.495737704918032</v>
      </c>
    </row>
    <row r="137" spans="1:18" x14ac:dyDescent="0.3">
      <c r="A137" t="s">
        <v>3</v>
      </c>
      <c r="B137" s="1">
        <v>45082</v>
      </c>
      <c r="C137" t="s">
        <v>7</v>
      </c>
      <c r="D137" t="s">
        <v>10</v>
      </c>
      <c r="E137">
        <v>4</v>
      </c>
      <c r="F137">
        <v>14.6</v>
      </c>
      <c r="G137">
        <v>0.25</v>
      </c>
      <c r="H137">
        <v>0</v>
      </c>
      <c r="I137">
        <f t="shared" si="42"/>
        <v>0.25</v>
      </c>
      <c r="J137">
        <f t="shared" si="43"/>
        <v>14.85</v>
      </c>
      <c r="K137">
        <f t="shared" si="44"/>
        <v>0.25</v>
      </c>
      <c r="L137">
        <f t="shared" si="48"/>
        <v>3.6500000000000004</v>
      </c>
      <c r="M137">
        <f t="shared" si="49"/>
        <v>0.63114754098360648</v>
      </c>
      <c r="N137">
        <v>10</v>
      </c>
      <c r="O137">
        <f t="shared" si="45"/>
        <v>3.75</v>
      </c>
      <c r="P137">
        <f t="shared" si="46"/>
        <v>262.5</v>
      </c>
      <c r="Q137">
        <f t="shared" si="47"/>
        <v>0.3488524590163935</v>
      </c>
      <c r="R137">
        <f t="shared" si="50"/>
        <v>1.8445901639344255</v>
      </c>
    </row>
    <row r="138" spans="1:18" x14ac:dyDescent="0.3">
      <c r="A138" t="s">
        <v>4</v>
      </c>
      <c r="B138" s="1">
        <v>45083</v>
      </c>
      <c r="C138" t="s">
        <v>7</v>
      </c>
      <c r="D138" t="s">
        <v>10</v>
      </c>
      <c r="E138">
        <v>4</v>
      </c>
      <c r="F138">
        <v>14.6</v>
      </c>
      <c r="G138">
        <v>0.25</v>
      </c>
      <c r="H138">
        <v>0</v>
      </c>
      <c r="I138">
        <f t="shared" si="42"/>
        <v>0.25</v>
      </c>
      <c r="J138">
        <f t="shared" si="43"/>
        <v>14.85</v>
      </c>
      <c r="K138">
        <f t="shared" si="44"/>
        <v>0.54999999999999893</v>
      </c>
      <c r="L138">
        <f t="shared" si="48"/>
        <v>4.1999999999999993</v>
      </c>
      <c r="M138">
        <f t="shared" si="49"/>
        <v>0.63114754098360648</v>
      </c>
      <c r="N138">
        <v>11</v>
      </c>
      <c r="O138">
        <f t="shared" si="45"/>
        <v>4</v>
      </c>
      <c r="P138">
        <f t="shared" si="46"/>
        <v>280</v>
      </c>
      <c r="Q138">
        <f t="shared" si="47"/>
        <v>0.3488524590163935</v>
      </c>
      <c r="R138">
        <f t="shared" si="50"/>
        <v>2.193442622950819</v>
      </c>
    </row>
    <row r="139" spans="1:18" x14ac:dyDescent="0.3">
      <c r="A139" t="s">
        <v>5</v>
      </c>
      <c r="B139" s="1">
        <v>45084</v>
      </c>
      <c r="C139" t="s">
        <v>7</v>
      </c>
      <c r="D139" t="s">
        <v>10</v>
      </c>
      <c r="E139">
        <v>4</v>
      </c>
      <c r="F139">
        <v>14.3</v>
      </c>
      <c r="G139">
        <v>0</v>
      </c>
      <c r="H139">
        <v>0</v>
      </c>
      <c r="I139">
        <f t="shared" si="42"/>
        <v>0</v>
      </c>
      <c r="J139">
        <f t="shared" si="43"/>
        <v>14.3</v>
      </c>
      <c r="K139">
        <f t="shared" si="44"/>
        <v>0.5</v>
      </c>
      <c r="L139">
        <f t="shared" si="48"/>
        <v>4.6999999999999993</v>
      </c>
      <c r="M139">
        <f t="shared" si="49"/>
        <v>0.54098360655737721</v>
      </c>
      <c r="N139">
        <v>12</v>
      </c>
      <c r="O139">
        <f t="shared" si="45"/>
        <v>4</v>
      </c>
      <c r="P139">
        <f t="shared" si="46"/>
        <v>280</v>
      </c>
      <c r="Q139">
        <f t="shared" si="47"/>
        <v>0.43901639344262278</v>
      </c>
      <c r="R139">
        <f t="shared" si="50"/>
        <v>2.632459016393442</v>
      </c>
    </row>
    <row r="140" spans="1:18" x14ac:dyDescent="0.3">
      <c r="A140" t="s">
        <v>6</v>
      </c>
      <c r="B140" s="1">
        <v>45085</v>
      </c>
      <c r="C140" t="s">
        <v>7</v>
      </c>
      <c r="D140" t="s">
        <v>10</v>
      </c>
      <c r="E140">
        <v>4</v>
      </c>
      <c r="F140">
        <v>13.8</v>
      </c>
      <c r="G140">
        <v>0.25</v>
      </c>
      <c r="H140">
        <v>0</v>
      </c>
      <c r="I140">
        <f t="shared" si="42"/>
        <v>0.25</v>
      </c>
      <c r="J140">
        <f t="shared" si="43"/>
        <v>14.05</v>
      </c>
      <c r="K140">
        <f t="shared" si="44"/>
        <v>0.35000000000000142</v>
      </c>
      <c r="L140">
        <f t="shared" si="48"/>
        <v>5.0500000000000007</v>
      </c>
      <c r="M140">
        <f t="shared" si="49"/>
        <v>0.50000000000000011</v>
      </c>
      <c r="N140">
        <v>13</v>
      </c>
      <c r="O140">
        <f t="shared" si="45"/>
        <v>4.25</v>
      </c>
      <c r="P140">
        <f t="shared" si="46"/>
        <v>297.5</v>
      </c>
      <c r="Q140">
        <f t="shared" si="47"/>
        <v>0.47999999999999987</v>
      </c>
      <c r="R140">
        <f t="shared" si="50"/>
        <v>3.112459016393442</v>
      </c>
    </row>
    <row r="141" spans="1:18" x14ac:dyDescent="0.3">
      <c r="A141" t="s">
        <v>0</v>
      </c>
      <c r="B141" s="1">
        <v>45086</v>
      </c>
      <c r="C141" t="s">
        <v>7</v>
      </c>
      <c r="D141" t="s">
        <v>10</v>
      </c>
      <c r="E141">
        <v>4</v>
      </c>
      <c r="F141">
        <v>13.7</v>
      </c>
      <c r="G141">
        <v>0.25</v>
      </c>
      <c r="H141">
        <v>0</v>
      </c>
      <c r="I141">
        <f t="shared" si="42"/>
        <v>0.25</v>
      </c>
      <c r="J141">
        <f t="shared" si="43"/>
        <v>13.95</v>
      </c>
      <c r="K141">
        <f t="shared" si="44"/>
        <v>0.64999999999999858</v>
      </c>
      <c r="L141">
        <f t="shared" si="48"/>
        <v>5.6999999999999993</v>
      </c>
      <c r="M141">
        <f t="shared" si="49"/>
        <v>0.48360655737704911</v>
      </c>
      <c r="N141">
        <v>14</v>
      </c>
      <c r="O141">
        <f t="shared" si="45"/>
        <v>4.5</v>
      </c>
      <c r="P141">
        <f t="shared" si="46"/>
        <v>315</v>
      </c>
      <c r="Q141">
        <f t="shared" si="47"/>
        <v>0.49639344262295088</v>
      </c>
      <c r="R141">
        <f t="shared" si="50"/>
        <v>3.6088524590163931</v>
      </c>
    </row>
    <row r="142" spans="1:18" x14ac:dyDescent="0.3">
      <c r="A142" t="s">
        <v>1</v>
      </c>
      <c r="B142" s="1">
        <v>45087</v>
      </c>
      <c r="C142" t="s">
        <v>7</v>
      </c>
      <c r="D142" t="s">
        <v>10</v>
      </c>
      <c r="E142">
        <v>4</v>
      </c>
      <c r="F142">
        <v>13.3</v>
      </c>
      <c r="G142">
        <v>0</v>
      </c>
      <c r="H142">
        <v>0</v>
      </c>
      <c r="I142">
        <f t="shared" si="42"/>
        <v>0</v>
      </c>
      <c r="J142">
        <f t="shared" si="43"/>
        <v>13.3</v>
      </c>
      <c r="K142">
        <f t="shared" si="44"/>
        <v>0.60000000000000142</v>
      </c>
      <c r="L142">
        <f t="shared" si="48"/>
        <v>6.3000000000000007</v>
      </c>
      <c r="M142">
        <f t="shared" si="49"/>
        <v>0.37704918032786899</v>
      </c>
      <c r="N142">
        <v>15</v>
      </c>
      <c r="O142">
        <f t="shared" si="45"/>
        <v>4.5</v>
      </c>
      <c r="P142">
        <f t="shared" si="46"/>
        <v>315</v>
      </c>
      <c r="Q142">
        <f t="shared" si="47"/>
        <v>0.60295081967213093</v>
      </c>
      <c r="R142">
        <f t="shared" si="50"/>
        <v>4.2118032786885244</v>
      </c>
    </row>
    <row r="143" spans="1:18" x14ac:dyDescent="0.3">
      <c r="A143" t="s">
        <v>2</v>
      </c>
      <c r="B143" s="1">
        <v>45088</v>
      </c>
      <c r="C143" t="s">
        <v>7</v>
      </c>
      <c r="D143" t="s">
        <v>10</v>
      </c>
      <c r="E143">
        <v>4</v>
      </c>
      <c r="F143">
        <v>12.7</v>
      </c>
      <c r="G143">
        <v>0</v>
      </c>
      <c r="H143">
        <v>0</v>
      </c>
      <c r="I143">
        <f t="shared" si="42"/>
        <v>0</v>
      </c>
      <c r="J143">
        <f t="shared" si="43"/>
        <v>12.7</v>
      </c>
      <c r="K143">
        <f t="shared" si="44"/>
        <v>9.9999999999999645E-2</v>
      </c>
      <c r="L143">
        <f t="shared" si="48"/>
        <v>6.4</v>
      </c>
      <c r="M143">
        <f t="shared" si="49"/>
        <v>0.27868852459016386</v>
      </c>
      <c r="N143">
        <v>16</v>
      </c>
      <c r="O143">
        <f t="shared" si="45"/>
        <v>4.5</v>
      </c>
      <c r="P143">
        <f t="shared" si="46"/>
        <v>315</v>
      </c>
      <c r="Q143">
        <f t="shared" si="47"/>
        <v>0.70131147540983618</v>
      </c>
      <c r="R143">
        <f t="shared" si="50"/>
        <v>4.9131147540983608</v>
      </c>
    </row>
    <row r="144" spans="1:18" x14ac:dyDescent="0.3">
      <c r="A144" t="s">
        <v>3</v>
      </c>
      <c r="B144" s="1">
        <v>45089</v>
      </c>
      <c r="C144" t="s">
        <v>7</v>
      </c>
      <c r="D144" t="s">
        <v>10</v>
      </c>
      <c r="E144">
        <v>4</v>
      </c>
      <c r="F144">
        <v>12.6</v>
      </c>
      <c r="G144">
        <v>0.5</v>
      </c>
      <c r="H144">
        <v>0</v>
      </c>
      <c r="I144">
        <f t="shared" si="42"/>
        <v>0.5</v>
      </c>
      <c r="J144">
        <f t="shared" si="43"/>
        <v>13.1</v>
      </c>
      <c r="K144">
        <f t="shared" si="44"/>
        <v>9.9999999999999645E-2</v>
      </c>
      <c r="L144">
        <f t="shared" si="48"/>
        <v>6.5</v>
      </c>
      <c r="M144">
        <f t="shared" si="49"/>
        <v>0.34426229508196715</v>
      </c>
      <c r="N144">
        <v>17</v>
      </c>
      <c r="O144">
        <f t="shared" si="45"/>
        <v>5</v>
      </c>
      <c r="P144">
        <f t="shared" si="46"/>
        <v>350</v>
      </c>
      <c r="Q144">
        <f t="shared" si="47"/>
        <v>0.63573770491803283</v>
      </c>
      <c r="R144">
        <f t="shared" si="50"/>
        <v>5.5488524590163939</v>
      </c>
    </row>
    <row r="145" spans="1:18" x14ac:dyDescent="0.3">
      <c r="A145" t="s">
        <v>4</v>
      </c>
      <c r="B145" s="1">
        <v>45090</v>
      </c>
      <c r="C145" t="s">
        <v>7</v>
      </c>
      <c r="D145" t="s">
        <v>10</v>
      </c>
      <c r="E145">
        <v>4</v>
      </c>
      <c r="F145">
        <v>13</v>
      </c>
      <c r="G145">
        <v>0</v>
      </c>
      <c r="H145">
        <f t="shared" ref="H145:H151" si="51">13-F145-G145</f>
        <v>0</v>
      </c>
      <c r="I145">
        <f t="shared" si="42"/>
        <v>0</v>
      </c>
      <c r="J145">
        <f t="shared" si="43"/>
        <v>13</v>
      </c>
      <c r="K145">
        <f t="shared" si="44"/>
        <v>0.40000000000000036</v>
      </c>
      <c r="L145">
        <f t="shared" si="48"/>
        <v>6.9</v>
      </c>
      <c r="M145">
        <f t="shared" si="49"/>
        <v>0.32786885245901642</v>
      </c>
      <c r="N145">
        <v>18</v>
      </c>
      <c r="O145">
        <f t="shared" si="45"/>
        <v>5</v>
      </c>
      <c r="P145">
        <f t="shared" si="46"/>
        <v>350</v>
      </c>
      <c r="Q145">
        <f t="shared" si="47"/>
        <v>0.65213114754098356</v>
      </c>
      <c r="R145">
        <f t="shared" si="50"/>
        <v>6.2009836065573776</v>
      </c>
    </row>
    <row r="146" spans="1:18" x14ac:dyDescent="0.3">
      <c r="A146" t="s">
        <v>5</v>
      </c>
      <c r="B146" s="1">
        <v>45091</v>
      </c>
      <c r="C146" t="s">
        <v>7</v>
      </c>
      <c r="D146" t="s">
        <v>10</v>
      </c>
      <c r="E146">
        <v>4</v>
      </c>
      <c r="F146">
        <v>12.6</v>
      </c>
      <c r="G146">
        <v>0</v>
      </c>
      <c r="H146">
        <f t="shared" si="51"/>
        <v>0.40000000000000036</v>
      </c>
      <c r="I146">
        <f t="shared" si="42"/>
        <v>0.40000000000000036</v>
      </c>
      <c r="J146">
        <f t="shared" si="43"/>
        <v>13</v>
      </c>
      <c r="K146">
        <f t="shared" si="44"/>
        <v>0.5</v>
      </c>
      <c r="L146">
        <f t="shared" si="48"/>
        <v>7.4</v>
      </c>
      <c r="M146">
        <f t="shared" si="49"/>
        <v>0.32786885245901642</v>
      </c>
      <c r="N146">
        <v>19</v>
      </c>
      <c r="O146">
        <f t="shared" si="45"/>
        <v>5</v>
      </c>
      <c r="P146">
        <f t="shared" si="46"/>
        <v>350</v>
      </c>
      <c r="Q146">
        <f t="shared" si="47"/>
        <v>0.65213114754098356</v>
      </c>
      <c r="R146">
        <f t="shared" si="50"/>
        <v>6.8531147540983612</v>
      </c>
    </row>
    <row r="147" spans="1:18" x14ac:dyDescent="0.3">
      <c r="A147" t="s">
        <v>6</v>
      </c>
      <c r="B147" s="1">
        <v>45092</v>
      </c>
      <c r="C147" t="s">
        <v>7</v>
      </c>
      <c r="D147" t="s">
        <v>10</v>
      </c>
      <c r="E147">
        <v>4</v>
      </c>
      <c r="F147">
        <v>12.5</v>
      </c>
      <c r="G147">
        <v>0.5</v>
      </c>
      <c r="H147">
        <f t="shared" si="51"/>
        <v>0</v>
      </c>
      <c r="I147">
        <f t="shared" si="42"/>
        <v>0.5</v>
      </c>
      <c r="J147">
        <f t="shared" si="43"/>
        <v>13</v>
      </c>
      <c r="K147">
        <f t="shared" si="44"/>
        <v>0.40000000000000036</v>
      </c>
      <c r="L147">
        <f t="shared" si="48"/>
        <v>7.8000000000000007</v>
      </c>
      <c r="M147">
        <f t="shared" si="49"/>
        <v>0.32786885245901642</v>
      </c>
      <c r="N147">
        <v>20</v>
      </c>
      <c r="O147">
        <f t="shared" si="45"/>
        <v>5.5</v>
      </c>
      <c r="P147">
        <f t="shared" si="46"/>
        <v>385</v>
      </c>
      <c r="Q147">
        <f t="shared" si="47"/>
        <v>0.65213114754098356</v>
      </c>
      <c r="R147">
        <f t="shared" si="50"/>
        <v>7.5052459016393449</v>
      </c>
    </row>
    <row r="148" spans="1:18" x14ac:dyDescent="0.3">
      <c r="A148" t="s">
        <v>0</v>
      </c>
      <c r="B148" s="1">
        <v>45093</v>
      </c>
      <c r="C148" t="s">
        <v>7</v>
      </c>
      <c r="D148" t="s">
        <v>10</v>
      </c>
      <c r="E148">
        <v>4</v>
      </c>
      <c r="F148">
        <v>12.6</v>
      </c>
      <c r="G148">
        <v>0</v>
      </c>
      <c r="H148">
        <f t="shared" si="51"/>
        <v>0.40000000000000036</v>
      </c>
      <c r="I148">
        <f t="shared" si="42"/>
        <v>0.40000000000000036</v>
      </c>
      <c r="J148">
        <f t="shared" si="43"/>
        <v>13</v>
      </c>
      <c r="K148">
        <f t="shared" si="44"/>
        <v>0.5</v>
      </c>
      <c r="L148">
        <f t="shared" si="48"/>
        <v>8.3000000000000007</v>
      </c>
      <c r="M148">
        <f t="shared" si="49"/>
        <v>0.32786885245901642</v>
      </c>
      <c r="N148">
        <v>21</v>
      </c>
      <c r="O148">
        <f t="shared" si="45"/>
        <v>5.5</v>
      </c>
      <c r="P148">
        <f t="shared" si="46"/>
        <v>385</v>
      </c>
      <c r="Q148">
        <f t="shared" si="47"/>
        <v>0.65213114754098356</v>
      </c>
      <c r="R148">
        <f t="shared" si="50"/>
        <v>8.1573770491803277</v>
      </c>
    </row>
    <row r="149" spans="1:18" x14ac:dyDescent="0.3">
      <c r="A149" t="s">
        <v>1</v>
      </c>
      <c r="B149" s="1">
        <v>45094</v>
      </c>
      <c r="C149" t="s">
        <v>7</v>
      </c>
      <c r="D149" t="s">
        <v>10</v>
      </c>
      <c r="E149">
        <v>4</v>
      </c>
      <c r="F149">
        <v>12.5</v>
      </c>
      <c r="G149">
        <v>0</v>
      </c>
      <c r="H149">
        <f t="shared" si="51"/>
        <v>0.5</v>
      </c>
      <c r="I149">
        <f t="shared" si="42"/>
        <v>0.5</v>
      </c>
      <c r="J149">
        <f t="shared" si="43"/>
        <v>13</v>
      </c>
      <c r="K149">
        <f t="shared" si="44"/>
        <v>0.19999999999999929</v>
      </c>
      <c r="L149">
        <f t="shared" si="48"/>
        <v>8.5</v>
      </c>
      <c r="M149">
        <f t="shared" si="49"/>
        <v>0.32786885245901642</v>
      </c>
      <c r="N149">
        <v>22</v>
      </c>
      <c r="O149">
        <f t="shared" si="45"/>
        <v>5.5</v>
      </c>
      <c r="P149">
        <f t="shared" si="46"/>
        <v>385</v>
      </c>
      <c r="Q149">
        <f t="shared" si="47"/>
        <v>0.65213114754098356</v>
      </c>
      <c r="R149">
        <f t="shared" si="50"/>
        <v>8.8095081967213105</v>
      </c>
    </row>
    <row r="150" spans="1:18" x14ac:dyDescent="0.3">
      <c r="A150" t="s">
        <v>2</v>
      </c>
      <c r="B150" s="1">
        <v>45095</v>
      </c>
      <c r="C150" t="s">
        <v>7</v>
      </c>
      <c r="D150" t="s">
        <v>10</v>
      </c>
      <c r="E150">
        <v>4</v>
      </c>
      <c r="F150">
        <v>12.8</v>
      </c>
      <c r="G150">
        <v>0</v>
      </c>
      <c r="H150">
        <f t="shared" si="51"/>
        <v>0.19999999999999929</v>
      </c>
      <c r="I150">
        <f t="shared" si="42"/>
        <v>0.19999999999999929</v>
      </c>
      <c r="J150">
        <f t="shared" si="43"/>
        <v>13</v>
      </c>
      <c r="K150">
        <f t="shared" si="44"/>
        <v>0.59999999999999964</v>
      </c>
      <c r="L150">
        <f t="shared" si="48"/>
        <v>9.1</v>
      </c>
      <c r="M150">
        <f t="shared" si="49"/>
        <v>0.32786885245901642</v>
      </c>
      <c r="N150">
        <v>23</v>
      </c>
      <c r="O150">
        <f t="shared" si="45"/>
        <v>5.5</v>
      </c>
      <c r="P150">
        <f t="shared" si="46"/>
        <v>385</v>
      </c>
      <c r="Q150">
        <f t="shared" si="47"/>
        <v>0.65213114754098356</v>
      </c>
      <c r="R150">
        <f t="shared" si="50"/>
        <v>9.4616393442622932</v>
      </c>
    </row>
    <row r="151" spans="1:18" x14ac:dyDescent="0.3">
      <c r="A151" t="s">
        <v>3</v>
      </c>
      <c r="B151" s="1">
        <v>45096</v>
      </c>
      <c r="C151" t="s">
        <v>7</v>
      </c>
      <c r="D151" t="s">
        <v>10</v>
      </c>
      <c r="E151">
        <v>4</v>
      </c>
      <c r="F151">
        <v>12.4</v>
      </c>
      <c r="G151">
        <v>0.5</v>
      </c>
      <c r="H151">
        <f t="shared" si="51"/>
        <v>9.9999999999999645E-2</v>
      </c>
      <c r="I151">
        <f t="shared" si="42"/>
        <v>0.59999999999999964</v>
      </c>
      <c r="J151">
        <f t="shared" si="43"/>
        <v>13</v>
      </c>
      <c r="K151">
        <f t="shared" si="44"/>
        <v>0.5</v>
      </c>
      <c r="L151">
        <f t="shared" si="48"/>
        <v>9.6</v>
      </c>
      <c r="M151">
        <f t="shared" si="49"/>
        <v>0.32786885245901642</v>
      </c>
      <c r="N151">
        <v>24</v>
      </c>
      <c r="O151">
        <f t="shared" si="45"/>
        <v>6</v>
      </c>
      <c r="P151">
        <f t="shared" si="46"/>
        <v>420</v>
      </c>
      <c r="Q151">
        <f t="shared" si="47"/>
        <v>0.65213114754098356</v>
      </c>
      <c r="R151">
        <f t="shared" si="50"/>
        <v>10.113770491803276</v>
      </c>
    </row>
    <row r="152" spans="1:18" x14ac:dyDescent="0.3">
      <c r="A152" t="s">
        <v>4</v>
      </c>
      <c r="B152" s="1">
        <v>45097</v>
      </c>
      <c r="C152" t="s">
        <v>7</v>
      </c>
      <c r="D152" t="s">
        <v>10</v>
      </c>
      <c r="E152">
        <v>4</v>
      </c>
      <c r="F152">
        <v>12.5</v>
      </c>
      <c r="G152">
        <v>0</v>
      </c>
      <c r="H152">
        <v>0</v>
      </c>
      <c r="I152">
        <f t="shared" si="42"/>
        <v>0</v>
      </c>
      <c r="J152">
        <f t="shared" si="43"/>
        <v>12.5</v>
      </c>
      <c r="K152">
        <f t="shared" si="44"/>
        <v>0.5</v>
      </c>
      <c r="L152">
        <f>L151+K152</f>
        <v>10.1</v>
      </c>
      <c r="M152">
        <f t="shared" si="49"/>
        <v>0.24590163934426232</v>
      </c>
      <c r="N152">
        <v>25</v>
      </c>
      <c r="O152">
        <f t="shared" si="45"/>
        <v>6</v>
      </c>
      <c r="P152">
        <f t="shared" si="46"/>
        <v>420</v>
      </c>
      <c r="Q152">
        <f t="shared" si="47"/>
        <v>0.73409836065573764</v>
      </c>
      <c r="R152">
        <f t="shared" si="50"/>
        <v>10.847868852459014</v>
      </c>
    </row>
    <row r="153" spans="1:18" x14ac:dyDescent="0.3">
      <c r="A153" t="s">
        <v>5</v>
      </c>
      <c r="B153" s="1">
        <v>45098</v>
      </c>
      <c r="C153" t="s">
        <v>7</v>
      </c>
      <c r="D153" t="s">
        <v>10</v>
      </c>
      <c r="E153">
        <v>4</v>
      </c>
      <c r="F153">
        <v>12</v>
      </c>
      <c r="G153">
        <v>0</v>
      </c>
      <c r="H153">
        <f>12.2-F153-G153</f>
        <v>0.19999999999999929</v>
      </c>
      <c r="I153">
        <f t="shared" si="42"/>
        <v>0.19999999999999929</v>
      </c>
      <c r="J153">
        <f t="shared" si="43"/>
        <v>12.2</v>
      </c>
      <c r="K153">
        <f t="shared" si="44"/>
        <v>0.59999999999999964</v>
      </c>
      <c r="L153">
        <f t="shared" ref="L153:L168" si="52">L152+K153</f>
        <v>10.7</v>
      </c>
      <c r="M153">
        <f t="shared" si="49"/>
        <v>0.19672131147540972</v>
      </c>
      <c r="N153">
        <v>26</v>
      </c>
      <c r="O153">
        <f t="shared" si="45"/>
        <v>6</v>
      </c>
      <c r="P153">
        <f t="shared" si="46"/>
        <v>420</v>
      </c>
      <c r="Q153">
        <f t="shared" si="47"/>
        <v>0.78327868852459026</v>
      </c>
      <c r="R153">
        <f t="shared" si="50"/>
        <v>11.631147540983603</v>
      </c>
    </row>
    <row r="154" spans="1:18" x14ac:dyDescent="0.3">
      <c r="A154" t="s">
        <v>6</v>
      </c>
      <c r="B154" s="1">
        <v>45099</v>
      </c>
      <c r="C154" t="s">
        <v>7</v>
      </c>
      <c r="D154" t="s">
        <v>10</v>
      </c>
      <c r="E154">
        <v>4</v>
      </c>
      <c r="F154">
        <v>11.6</v>
      </c>
      <c r="G154">
        <v>0.5</v>
      </c>
      <c r="H154">
        <f>12.2-F154-G154</f>
        <v>9.9999999999999645E-2</v>
      </c>
      <c r="I154">
        <f t="shared" si="42"/>
        <v>0.59999999999999964</v>
      </c>
      <c r="J154">
        <f t="shared" si="43"/>
        <v>12.2</v>
      </c>
      <c r="K154">
        <f t="shared" si="44"/>
        <v>0.5</v>
      </c>
      <c r="L154">
        <f t="shared" si="52"/>
        <v>11.2</v>
      </c>
      <c r="M154">
        <f t="shared" si="49"/>
        <v>0.19672131147540972</v>
      </c>
      <c r="N154">
        <v>27</v>
      </c>
      <c r="O154">
        <f t="shared" si="45"/>
        <v>6.5</v>
      </c>
      <c r="P154">
        <f t="shared" si="46"/>
        <v>455</v>
      </c>
      <c r="Q154">
        <f t="shared" si="47"/>
        <v>0.78327868852459026</v>
      </c>
      <c r="R154">
        <f t="shared" si="50"/>
        <v>12.414426229508193</v>
      </c>
    </row>
    <row r="155" spans="1:18" x14ac:dyDescent="0.3">
      <c r="A155" t="s">
        <v>0</v>
      </c>
      <c r="B155" s="1">
        <v>45100</v>
      </c>
      <c r="C155" t="s">
        <v>7</v>
      </c>
      <c r="D155" t="s">
        <v>10</v>
      </c>
      <c r="E155">
        <v>4</v>
      </c>
      <c r="F155">
        <v>11.7</v>
      </c>
      <c r="G155">
        <v>0</v>
      </c>
      <c r="H155">
        <f>12.1-F155-G155</f>
        <v>0.40000000000000036</v>
      </c>
      <c r="I155">
        <f t="shared" si="42"/>
        <v>0.40000000000000036</v>
      </c>
      <c r="J155">
        <f t="shared" si="43"/>
        <v>12.1</v>
      </c>
      <c r="K155">
        <f t="shared" si="44"/>
        <v>0.5</v>
      </c>
      <c r="L155">
        <f t="shared" si="52"/>
        <v>11.7</v>
      </c>
      <c r="M155">
        <f t="shared" si="49"/>
        <v>0.18032786885245897</v>
      </c>
      <c r="N155">
        <v>28</v>
      </c>
      <c r="O155">
        <f t="shared" si="45"/>
        <v>6.5</v>
      </c>
      <c r="P155">
        <f t="shared" si="46"/>
        <v>455</v>
      </c>
      <c r="Q155">
        <f t="shared" si="47"/>
        <v>0.79967213114754099</v>
      </c>
      <c r="R155">
        <f>R154+Q155</f>
        <v>13.214098360655733</v>
      </c>
    </row>
    <row r="156" spans="1:18" x14ac:dyDescent="0.3">
      <c r="A156" t="s">
        <v>1</v>
      </c>
      <c r="B156" s="1">
        <v>45101</v>
      </c>
      <c r="C156" t="s">
        <v>7</v>
      </c>
      <c r="D156" t="s">
        <v>10</v>
      </c>
      <c r="E156">
        <v>4</v>
      </c>
      <c r="F156">
        <v>11.6</v>
      </c>
      <c r="G156">
        <v>0</v>
      </c>
      <c r="H156">
        <f t="shared" ref="H156:H157" si="53">12.1-F156-G156</f>
        <v>0.5</v>
      </c>
      <c r="I156">
        <f t="shared" si="42"/>
        <v>0.5</v>
      </c>
      <c r="J156">
        <f t="shared" si="43"/>
        <v>12.1</v>
      </c>
      <c r="K156">
        <f t="shared" si="44"/>
        <v>0.59999999999999964</v>
      </c>
      <c r="L156">
        <f t="shared" si="52"/>
        <v>12.299999999999999</v>
      </c>
      <c r="M156">
        <f t="shared" si="49"/>
        <v>0.18032786885245897</v>
      </c>
      <c r="N156">
        <v>29</v>
      </c>
      <c r="O156">
        <f t="shared" si="45"/>
        <v>6.5</v>
      </c>
      <c r="P156">
        <f t="shared" si="46"/>
        <v>455</v>
      </c>
      <c r="Q156">
        <f t="shared" si="47"/>
        <v>0.79967213114754099</v>
      </c>
      <c r="R156">
        <f t="shared" ref="R156:R165" si="54">R155+Q156</f>
        <v>14.013770491803275</v>
      </c>
    </row>
    <row r="157" spans="1:18" x14ac:dyDescent="0.3">
      <c r="A157" t="s">
        <v>2</v>
      </c>
      <c r="B157" s="1">
        <v>45102</v>
      </c>
      <c r="C157" t="s">
        <v>7</v>
      </c>
      <c r="D157" t="s">
        <v>10</v>
      </c>
      <c r="E157">
        <v>4</v>
      </c>
      <c r="F157">
        <v>11.5</v>
      </c>
      <c r="G157">
        <v>0</v>
      </c>
      <c r="H157">
        <f t="shared" si="53"/>
        <v>0.59999999999999964</v>
      </c>
      <c r="I157">
        <f t="shared" si="42"/>
        <v>0.59999999999999964</v>
      </c>
      <c r="J157">
        <f t="shared" si="43"/>
        <v>12.1</v>
      </c>
      <c r="K157">
        <f t="shared" si="44"/>
        <v>0.40000000000000036</v>
      </c>
      <c r="L157">
        <f t="shared" si="52"/>
        <v>12.7</v>
      </c>
      <c r="M157">
        <f t="shared" si="49"/>
        <v>0.18032786885245897</v>
      </c>
      <c r="N157">
        <v>30</v>
      </c>
      <c r="O157">
        <f t="shared" si="45"/>
        <v>6.5</v>
      </c>
      <c r="P157">
        <f t="shared" si="46"/>
        <v>455</v>
      </c>
      <c r="Q157">
        <f t="shared" si="47"/>
        <v>0.79967213114754099</v>
      </c>
      <c r="R157">
        <f t="shared" si="54"/>
        <v>14.813442622950816</v>
      </c>
    </row>
    <row r="158" spans="1:18" x14ac:dyDescent="0.3">
      <c r="A158" t="s">
        <v>3</v>
      </c>
      <c r="B158" s="1">
        <v>45103</v>
      </c>
      <c r="C158" t="s">
        <v>7</v>
      </c>
      <c r="D158" t="s">
        <v>10</v>
      </c>
      <c r="E158">
        <v>4</v>
      </c>
      <c r="F158">
        <v>11.7</v>
      </c>
      <c r="G158">
        <v>0.5</v>
      </c>
      <c r="H158">
        <v>0</v>
      </c>
      <c r="I158">
        <f t="shared" si="42"/>
        <v>0.5</v>
      </c>
      <c r="J158">
        <f t="shared" si="43"/>
        <v>12.2</v>
      </c>
      <c r="K158">
        <f t="shared" si="44"/>
        <v>0.5</v>
      </c>
      <c r="L158">
        <f t="shared" si="52"/>
        <v>13.2</v>
      </c>
      <c r="M158">
        <f t="shared" si="49"/>
        <v>0.19672131147540972</v>
      </c>
      <c r="N158">
        <v>31</v>
      </c>
      <c r="O158">
        <f t="shared" si="45"/>
        <v>7</v>
      </c>
      <c r="P158">
        <f t="shared" si="46"/>
        <v>490</v>
      </c>
      <c r="Q158">
        <f t="shared" si="47"/>
        <v>0.78327868852459026</v>
      </c>
      <c r="R158">
        <f t="shared" si="54"/>
        <v>15.596721311475406</v>
      </c>
    </row>
    <row r="159" spans="1:18" x14ac:dyDescent="0.3">
      <c r="A159" t="s">
        <v>4</v>
      </c>
      <c r="B159" s="1">
        <v>45104</v>
      </c>
      <c r="C159" t="s">
        <v>7</v>
      </c>
      <c r="D159" t="s">
        <v>10</v>
      </c>
      <c r="E159">
        <v>4</v>
      </c>
      <c r="F159">
        <v>11.7</v>
      </c>
      <c r="G159">
        <v>0</v>
      </c>
      <c r="H159">
        <f>12.1-F159-G159</f>
        <v>0.40000000000000036</v>
      </c>
      <c r="I159">
        <f t="shared" si="42"/>
        <v>0.40000000000000036</v>
      </c>
      <c r="J159">
        <f t="shared" si="43"/>
        <v>12.1</v>
      </c>
      <c r="K159">
        <f t="shared" si="44"/>
        <v>0.5</v>
      </c>
      <c r="L159">
        <f t="shared" si="52"/>
        <v>13.7</v>
      </c>
      <c r="M159">
        <f t="shared" si="49"/>
        <v>0.18032786885245897</v>
      </c>
      <c r="N159">
        <v>32</v>
      </c>
      <c r="O159">
        <f t="shared" si="45"/>
        <v>7</v>
      </c>
      <c r="P159">
        <f t="shared" si="46"/>
        <v>490</v>
      </c>
      <c r="Q159">
        <f t="shared" si="47"/>
        <v>0.79967213114754099</v>
      </c>
      <c r="R159">
        <f t="shared" si="54"/>
        <v>16.396393442622948</v>
      </c>
    </row>
    <row r="160" spans="1:18" x14ac:dyDescent="0.3">
      <c r="A160" t="s">
        <v>5</v>
      </c>
      <c r="B160" s="1">
        <v>45105</v>
      </c>
      <c r="C160" t="s">
        <v>7</v>
      </c>
      <c r="D160" t="s">
        <v>10</v>
      </c>
      <c r="E160">
        <v>4</v>
      </c>
      <c r="F160">
        <v>11.6</v>
      </c>
      <c r="G160">
        <v>0</v>
      </c>
      <c r="H160">
        <f t="shared" ref="H160:H162" si="55">12.1-F160-G160</f>
        <v>0.5</v>
      </c>
      <c r="I160">
        <f t="shared" si="42"/>
        <v>0.5</v>
      </c>
      <c r="J160">
        <f t="shared" si="43"/>
        <v>12.1</v>
      </c>
      <c r="K160">
        <f t="shared" si="44"/>
        <v>0.5</v>
      </c>
      <c r="L160">
        <f t="shared" si="52"/>
        <v>14.2</v>
      </c>
      <c r="M160">
        <f t="shared" si="49"/>
        <v>0.18032786885245897</v>
      </c>
      <c r="N160">
        <v>33</v>
      </c>
      <c r="O160">
        <f t="shared" si="45"/>
        <v>7</v>
      </c>
      <c r="P160">
        <f t="shared" si="46"/>
        <v>490</v>
      </c>
      <c r="Q160">
        <f t="shared" si="47"/>
        <v>0.79967213114754099</v>
      </c>
      <c r="R160">
        <f t="shared" si="54"/>
        <v>17.19606557377049</v>
      </c>
    </row>
    <row r="161" spans="1:18" x14ac:dyDescent="0.3">
      <c r="A161" t="s">
        <v>6</v>
      </c>
      <c r="B161" s="1">
        <v>45106</v>
      </c>
      <c r="C161" t="s">
        <v>7</v>
      </c>
      <c r="D161" t="s">
        <v>10</v>
      </c>
      <c r="E161">
        <v>4</v>
      </c>
      <c r="F161">
        <v>11.6</v>
      </c>
      <c r="G161">
        <v>0.5</v>
      </c>
      <c r="H161">
        <f t="shared" si="55"/>
        <v>0</v>
      </c>
      <c r="I161">
        <f t="shared" si="42"/>
        <v>0.5</v>
      </c>
      <c r="J161">
        <f t="shared" si="43"/>
        <v>12.1</v>
      </c>
      <c r="K161">
        <f t="shared" si="44"/>
        <v>0.40000000000000036</v>
      </c>
      <c r="L161">
        <f t="shared" si="52"/>
        <v>14.6</v>
      </c>
      <c r="M161">
        <f t="shared" si="49"/>
        <v>0.18032786885245897</v>
      </c>
      <c r="N161">
        <v>34</v>
      </c>
      <c r="O161">
        <f t="shared" si="45"/>
        <v>7.5</v>
      </c>
      <c r="P161">
        <f t="shared" si="46"/>
        <v>525</v>
      </c>
      <c r="Q161">
        <f t="shared" si="47"/>
        <v>0.79967213114754099</v>
      </c>
      <c r="R161">
        <f t="shared" si="54"/>
        <v>17.995737704918032</v>
      </c>
    </row>
    <row r="162" spans="1:18" x14ac:dyDescent="0.3">
      <c r="A162" t="s">
        <v>0</v>
      </c>
      <c r="B162" s="1">
        <v>45107</v>
      </c>
      <c r="C162" t="s">
        <v>7</v>
      </c>
      <c r="D162" t="s">
        <v>10</v>
      </c>
      <c r="E162">
        <v>4</v>
      </c>
      <c r="F162">
        <v>11.7</v>
      </c>
      <c r="G162">
        <v>0</v>
      </c>
      <c r="H162">
        <f t="shared" si="55"/>
        <v>0.40000000000000036</v>
      </c>
      <c r="I162">
        <f t="shared" si="42"/>
        <v>0.40000000000000036</v>
      </c>
      <c r="J162">
        <f t="shared" si="43"/>
        <v>12.1</v>
      </c>
      <c r="K162">
        <f t="shared" si="44"/>
        <v>9.9999999999999645E-2</v>
      </c>
      <c r="L162">
        <f t="shared" si="52"/>
        <v>14.7</v>
      </c>
      <c r="M162">
        <f t="shared" si="49"/>
        <v>0.18032786885245897</v>
      </c>
      <c r="N162">
        <v>35</v>
      </c>
      <c r="O162">
        <f t="shared" si="45"/>
        <v>7.5</v>
      </c>
      <c r="P162">
        <f t="shared" si="46"/>
        <v>525</v>
      </c>
      <c r="Q162">
        <f t="shared" si="47"/>
        <v>0.79967213114754099</v>
      </c>
      <c r="R162">
        <f t="shared" si="54"/>
        <v>18.795409836065573</v>
      </c>
    </row>
    <row r="163" spans="1:18" x14ac:dyDescent="0.3">
      <c r="A163" t="s">
        <v>1</v>
      </c>
      <c r="B163" s="1">
        <v>45108</v>
      </c>
      <c r="C163" t="s">
        <v>7</v>
      </c>
      <c r="D163" t="s">
        <v>10</v>
      </c>
      <c r="E163">
        <v>4</v>
      </c>
      <c r="F163">
        <v>12</v>
      </c>
      <c r="G163">
        <v>0</v>
      </c>
      <c r="I163">
        <f t="shared" si="42"/>
        <v>0</v>
      </c>
      <c r="J163">
        <f t="shared" si="43"/>
        <v>12</v>
      </c>
      <c r="K163">
        <f t="shared" si="44"/>
        <v>-3.8000000000000007</v>
      </c>
      <c r="L163">
        <f t="shared" si="52"/>
        <v>10.899999999999999</v>
      </c>
      <c r="M163">
        <f t="shared" si="49"/>
        <v>0.16393442622950821</v>
      </c>
      <c r="N163">
        <v>36</v>
      </c>
      <c r="O163">
        <f t="shared" si="45"/>
        <v>7.5</v>
      </c>
      <c r="P163">
        <f t="shared" si="46"/>
        <v>525</v>
      </c>
      <c r="Q163">
        <f t="shared" si="47"/>
        <v>0.81606557377049183</v>
      </c>
      <c r="R163">
        <f t="shared" si="54"/>
        <v>19.611475409836064</v>
      </c>
    </row>
    <row r="164" spans="1:18" x14ac:dyDescent="0.3">
      <c r="A164" t="s">
        <v>2</v>
      </c>
      <c r="B164" s="1">
        <v>45109</v>
      </c>
      <c r="C164" t="s">
        <v>7</v>
      </c>
      <c r="D164" t="s">
        <v>10</v>
      </c>
      <c r="E164">
        <v>4</v>
      </c>
      <c r="F164">
        <v>15.8</v>
      </c>
      <c r="G164">
        <v>0</v>
      </c>
      <c r="H164">
        <v>0</v>
      </c>
      <c r="I164">
        <f t="shared" si="42"/>
        <v>0</v>
      </c>
      <c r="J164">
        <f t="shared" si="43"/>
        <v>15.8</v>
      </c>
      <c r="K164">
        <f t="shared" si="44"/>
        <v>0.40000000000000036</v>
      </c>
      <c r="L164">
        <f t="shared" si="52"/>
        <v>11.299999999999999</v>
      </c>
      <c r="M164">
        <f t="shared" si="49"/>
        <v>0.78688524590163955</v>
      </c>
      <c r="N164">
        <v>37</v>
      </c>
      <c r="O164">
        <f t="shared" si="45"/>
        <v>7.5</v>
      </c>
      <c r="P164">
        <f t="shared" si="46"/>
        <v>525</v>
      </c>
      <c r="Q164">
        <f t="shared" si="47"/>
        <v>0.19311475409836043</v>
      </c>
      <c r="R164">
        <f t="shared" si="54"/>
        <v>19.804590163934424</v>
      </c>
    </row>
    <row r="165" spans="1:18" x14ac:dyDescent="0.3">
      <c r="A165" t="s">
        <v>3</v>
      </c>
      <c r="B165" s="1">
        <v>45110</v>
      </c>
      <c r="C165" t="s">
        <v>7</v>
      </c>
      <c r="D165" t="s">
        <v>10</v>
      </c>
      <c r="E165">
        <v>4</v>
      </c>
      <c r="F165">
        <v>15.4</v>
      </c>
      <c r="G165">
        <v>0.5</v>
      </c>
      <c r="H165">
        <v>0</v>
      </c>
      <c r="I165">
        <f t="shared" si="42"/>
        <v>0.5</v>
      </c>
      <c r="J165">
        <f t="shared" si="43"/>
        <v>15.9</v>
      </c>
      <c r="K165">
        <f t="shared" si="44"/>
        <v>0.5</v>
      </c>
      <c r="L165">
        <f t="shared" si="52"/>
        <v>11.799999999999999</v>
      </c>
      <c r="M165">
        <f t="shared" si="49"/>
        <v>0.80327868852459028</v>
      </c>
      <c r="N165">
        <v>38</v>
      </c>
      <c r="O165">
        <f t="shared" si="45"/>
        <v>8</v>
      </c>
      <c r="P165">
        <f t="shared" si="46"/>
        <v>560</v>
      </c>
      <c r="Q165">
        <f t="shared" si="47"/>
        <v>0.1767213114754097</v>
      </c>
      <c r="R165">
        <f t="shared" si="54"/>
        <v>19.981311475409836</v>
      </c>
    </row>
    <row r="166" spans="1:18" x14ac:dyDescent="0.3">
      <c r="A166" t="s">
        <v>4</v>
      </c>
      <c r="B166" s="1">
        <v>45111</v>
      </c>
      <c r="C166" t="s">
        <v>7</v>
      </c>
      <c r="D166" t="s">
        <v>10</v>
      </c>
      <c r="E166">
        <v>4</v>
      </c>
      <c r="F166">
        <v>15.4</v>
      </c>
      <c r="G166">
        <v>0</v>
      </c>
      <c r="H166">
        <v>0</v>
      </c>
      <c r="I166">
        <f t="shared" si="42"/>
        <v>0</v>
      </c>
      <c r="J166">
        <f t="shared" si="43"/>
        <v>15.4</v>
      </c>
      <c r="K166">
        <f t="shared" si="44"/>
        <v>0.40000000000000036</v>
      </c>
      <c r="L166">
        <f t="shared" si="52"/>
        <v>12.2</v>
      </c>
      <c r="M166">
        <f t="shared" si="49"/>
        <v>0.7213114754098362</v>
      </c>
      <c r="N166">
        <v>39</v>
      </c>
      <c r="O166">
        <f t="shared" si="45"/>
        <v>8</v>
      </c>
      <c r="P166">
        <f t="shared" si="46"/>
        <v>560</v>
      </c>
      <c r="Q166">
        <f t="shared" si="47"/>
        <v>0.25868852459016378</v>
      </c>
      <c r="R166">
        <f t="shared" ref="R166:R168" si="56">R165+Q166</f>
        <v>20.239999999999998</v>
      </c>
    </row>
    <row r="167" spans="1:18" x14ac:dyDescent="0.3">
      <c r="A167" t="s">
        <v>5</v>
      </c>
      <c r="B167" s="1">
        <v>45112</v>
      </c>
      <c r="C167" t="s">
        <v>7</v>
      </c>
      <c r="D167" t="s">
        <v>10</v>
      </c>
      <c r="E167">
        <v>4</v>
      </c>
      <c r="F167">
        <v>15</v>
      </c>
      <c r="G167">
        <v>0</v>
      </c>
      <c r="H167">
        <v>0</v>
      </c>
      <c r="I167">
        <f t="shared" si="42"/>
        <v>0</v>
      </c>
      <c r="J167">
        <f t="shared" si="43"/>
        <v>15</v>
      </c>
      <c r="K167">
        <f t="shared" si="44"/>
        <v>0.59999999999999964</v>
      </c>
      <c r="L167">
        <f t="shared" si="52"/>
        <v>12.799999999999999</v>
      </c>
      <c r="M167">
        <f t="shared" si="49"/>
        <v>0.65573770491803285</v>
      </c>
      <c r="N167">
        <v>40</v>
      </c>
      <c r="O167">
        <f t="shared" si="45"/>
        <v>8</v>
      </c>
      <c r="P167">
        <f t="shared" si="46"/>
        <v>560</v>
      </c>
      <c r="Q167">
        <f t="shared" si="47"/>
        <v>0.32426229508196713</v>
      </c>
      <c r="R167">
        <f t="shared" si="56"/>
        <v>20.564262295081967</v>
      </c>
    </row>
    <row r="168" spans="1:18" x14ac:dyDescent="0.3">
      <c r="A168" t="s">
        <v>6</v>
      </c>
      <c r="B168" s="1">
        <v>45113</v>
      </c>
      <c r="C168" t="s">
        <v>7</v>
      </c>
      <c r="D168" t="s">
        <v>10</v>
      </c>
      <c r="E168">
        <v>4</v>
      </c>
      <c r="F168">
        <v>14.4</v>
      </c>
      <c r="G168">
        <v>0</v>
      </c>
      <c r="H168">
        <v>0</v>
      </c>
      <c r="I168">
        <f t="shared" si="42"/>
        <v>0</v>
      </c>
      <c r="J168">
        <f t="shared" si="43"/>
        <v>14.4</v>
      </c>
      <c r="K168">
        <f t="shared" si="44"/>
        <v>0.5</v>
      </c>
      <c r="L168">
        <f t="shared" si="52"/>
        <v>13.299999999999999</v>
      </c>
      <c r="M168">
        <f t="shared" si="49"/>
        <v>0.55737704918032793</v>
      </c>
      <c r="N168">
        <v>41</v>
      </c>
      <c r="O168">
        <f t="shared" si="45"/>
        <v>8</v>
      </c>
      <c r="P168">
        <f t="shared" si="46"/>
        <v>560</v>
      </c>
      <c r="Q168">
        <f t="shared" si="47"/>
        <v>0.42262295081967205</v>
      </c>
      <c r="R168">
        <f t="shared" si="56"/>
        <v>20.98688524590164</v>
      </c>
    </row>
    <row r="169" spans="1:18" x14ac:dyDescent="0.3">
      <c r="A169" t="s">
        <v>0</v>
      </c>
      <c r="B169" s="1">
        <v>45114</v>
      </c>
      <c r="C169" t="s">
        <v>7</v>
      </c>
      <c r="D169" t="s">
        <v>10</v>
      </c>
      <c r="E169">
        <v>4</v>
      </c>
      <c r="F169">
        <v>13.9</v>
      </c>
    </row>
    <row r="170" spans="1:18" x14ac:dyDescent="0.3">
      <c r="A170" t="s">
        <v>1</v>
      </c>
      <c r="B170" s="1">
        <v>45073</v>
      </c>
      <c r="C170" t="s">
        <v>7</v>
      </c>
      <c r="D170" t="s">
        <v>10</v>
      </c>
      <c r="E170">
        <v>5</v>
      </c>
      <c r="F170">
        <v>17</v>
      </c>
      <c r="G170">
        <v>0</v>
      </c>
      <c r="H170">
        <v>0</v>
      </c>
      <c r="I170">
        <f>H170+G170</f>
        <v>0</v>
      </c>
      <c r="J170">
        <f>I170+F170</f>
        <v>17</v>
      </c>
      <c r="K170">
        <f>J170-F171</f>
        <v>0.60000000000000142</v>
      </c>
      <c r="M170">
        <f t="shared" si="49"/>
        <v>0.98360655737704927</v>
      </c>
      <c r="N170">
        <v>1</v>
      </c>
      <c r="O170">
        <v>2.5</v>
      </c>
      <c r="P170">
        <f>O170*70</f>
        <v>175</v>
      </c>
    </row>
    <row r="171" spans="1:18" x14ac:dyDescent="0.3">
      <c r="A171" t="s">
        <v>2</v>
      </c>
      <c r="B171" s="1">
        <v>45074</v>
      </c>
      <c r="C171" t="s">
        <v>7</v>
      </c>
      <c r="D171" t="s">
        <v>10</v>
      </c>
      <c r="E171">
        <v>5</v>
      </c>
      <c r="F171">
        <v>16.399999999999999</v>
      </c>
      <c r="G171">
        <v>0</v>
      </c>
      <c r="H171">
        <v>0</v>
      </c>
      <c r="I171">
        <f t="shared" ref="I171:I207" si="57">H171+G171</f>
        <v>0</v>
      </c>
      <c r="J171">
        <f t="shared" ref="J171:J207" si="58">I171+F171</f>
        <v>16.399999999999999</v>
      </c>
      <c r="K171">
        <f t="shared" ref="K171:K207" si="59">J171-F172</f>
        <v>0.49999999999999822</v>
      </c>
      <c r="L171">
        <f>K170+K171</f>
        <v>1.0999999999999996</v>
      </c>
      <c r="M171">
        <f t="shared" si="49"/>
        <v>0.88524590163934413</v>
      </c>
      <c r="N171">
        <v>2</v>
      </c>
      <c r="O171">
        <f t="shared" ref="O171:O207" si="60">O170+G171</f>
        <v>2.5</v>
      </c>
      <c r="P171">
        <f t="shared" ref="P171:P234" si="61">O171*70</f>
        <v>175</v>
      </c>
      <c r="Q171">
        <f t="shared" ref="Q171:Q207" si="62">0.98-M171</f>
        <v>9.4754098360655847E-2</v>
      </c>
      <c r="R171">
        <f>Q170+Q171</f>
        <v>9.4754098360655847E-2</v>
      </c>
    </row>
    <row r="172" spans="1:18" x14ac:dyDescent="0.3">
      <c r="A172" t="s">
        <v>3</v>
      </c>
      <c r="B172" s="1">
        <v>45075</v>
      </c>
      <c r="C172" t="s">
        <v>7</v>
      </c>
      <c r="D172" t="s">
        <v>10</v>
      </c>
      <c r="E172">
        <v>5</v>
      </c>
      <c r="F172">
        <v>15.9</v>
      </c>
      <c r="G172">
        <v>0.25</v>
      </c>
      <c r="H172">
        <v>0</v>
      </c>
      <c r="I172">
        <f t="shared" si="57"/>
        <v>0.25</v>
      </c>
      <c r="J172">
        <f t="shared" si="58"/>
        <v>16.149999999999999</v>
      </c>
      <c r="K172">
        <f t="shared" si="59"/>
        <v>0.64999999999999858</v>
      </c>
      <c r="L172">
        <f>L171+K172</f>
        <v>1.7499999999999982</v>
      </c>
      <c r="M172">
        <f t="shared" si="49"/>
        <v>0.84426229508196704</v>
      </c>
      <c r="N172">
        <v>3</v>
      </c>
      <c r="O172">
        <f t="shared" si="60"/>
        <v>2.75</v>
      </c>
      <c r="P172">
        <f t="shared" si="61"/>
        <v>192.5</v>
      </c>
      <c r="Q172">
        <f t="shared" si="62"/>
        <v>0.13573770491803294</v>
      </c>
      <c r="R172">
        <f>R171+Q172</f>
        <v>0.23049180327868879</v>
      </c>
    </row>
    <row r="173" spans="1:18" x14ac:dyDescent="0.3">
      <c r="A173" t="s">
        <v>4</v>
      </c>
      <c r="B173" s="1">
        <v>45076</v>
      </c>
      <c r="C173" t="s">
        <v>7</v>
      </c>
      <c r="D173" t="s">
        <v>10</v>
      </c>
      <c r="E173">
        <v>5</v>
      </c>
      <c r="F173">
        <v>15.5</v>
      </c>
      <c r="G173">
        <v>0.25</v>
      </c>
      <c r="H173">
        <v>0</v>
      </c>
      <c r="I173">
        <f t="shared" si="57"/>
        <v>0.25</v>
      </c>
      <c r="J173">
        <f t="shared" si="58"/>
        <v>15.75</v>
      </c>
      <c r="K173">
        <f t="shared" si="59"/>
        <v>0.84999999999999964</v>
      </c>
      <c r="L173">
        <f t="shared" ref="L173:L193" si="63">L172+K173</f>
        <v>2.5999999999999979</v>
      </c>
      <c r="M173">
        <f t="shared" si="49"/>
        <v>0.77868852459016402</v>
      </c>
      <c r="N173">
        <v>4</v>
      </c>
      <c r="O173">
        <f t="shared" si="60"/>
        <v>3</v>
      </c>
      <c r="P173">
        <f t="shared" si="61"/>
        <v>210</v>
      </c>
      <c r="Q173">
        <f t="shared" si="62"/>
        <v>0.20131147540983596</v>
      </c>
      <c r="R173">
        <f t="shared" ref="R173:R196" si="64">R172+Q173</f>
        <v>0.43180327868852475</v>
      </c>
    </row>
    <row r="174" spans="1:18" x14ac:dyDescent="0.3">
      <c r="A174" t="s">
        <v>5</v>
      </c>
      <c r="B174" s="1">
        <v>45077</v>
      </c>
      <c r="C174" t="s">
        <v>7</v>
      </c>
      <c r="D174" t="s">
        <v>10</v>
      </c>
      <c r="E174">
        <v>5</v>
      </c>
      <c r="F174">
        <v>14.9</v>
      </c>
      <c r="G174">
        <v>0</v>
      </c>
      <c r="H174">
        <v>0</v>
      </c>
      <c r="I174">
        <f t="shared" si="57"/>
        <v>0</v>
      </c>
      <c r="J174">
        <f t="shared" si="58"/>
        <v>14.9</v>
      </c>
      <c r="K174">
        <f t="shared" si="59"/>
        <v>0.5</v>
      </c>
      <c r="L174">
        <f t="shared" si="63"/>
        <v>3.0999999999999979</v>
      </c>
      <c r="M174">
        <f t="shared" si="49"/>
        <v>0.63934426229508201</v>
      </c>
      <c r="N174">
        <v>5</v>
      </c>
      <c r="O174">
        <f t="shared" si="60"/>
        <v>3</v>
      </c>
      <c r="P174">
        <f t="shared" si="61"/>
        <v>210</v>
      </c>
      <c r="Q174">
        <f t="shared" si="62"/>
        <v>0.34065573770491797</v>
      </c>
      <c r="R174">
        <f t="shared" si="64"/>
        <v>0.77245901639344272</v>
      </c>
    </row>
    <row r="175" spans="1:18" x14ac:dyDescent="0.3">
      <c r="A175" t="s">
        <v>6</v>
      </c>
      <c r="B175" s="1">
        <v>45078</v>
      </c>
      <c r="C175" t="s">
        <v>7</v>
      </c>
      <c r="D175" t="s">
        <v>10</v>
      </c>
      <c r="E175">
        <v>5</v>
      </c>
      <c r="F175">
        <v>14.4</v>
      </c>
      <c r="G175">
        <v>0.25</v>
      </c>
      <c r="H175">
        <v>0</v>
      </c>
      <c r="I175">
        <f t="shared" si="57"/>
        <v>0.25</v>
      </c>
      <c r="J175">
        <f t="shared" si="58"/>
        <v>14.65</v>
      </c>
      <c r="K175">
        <f t="shared" si="59"/>
        <v>0.45000000000000107</v>
      </c>
      <c r="L175">
        <f t="shared" si="63"/>
        <v>3.5499999999999989</v>
      </c>
      <c r="M175">
        <f t="shared" si="49"/>
        <v>0.59836065573770503</v>
      </c>
      <c r="N175">
        <v>6</v>
      </c>
      <c r="O175">
        <f t="shared" si="60"/>
        <v>3.25</v>
      </c>
      <c r="P175">
        <f t="shared" si="61"/>
        <v>227.5</v>
      </c>
      <c r="Q175">
        <f t="shared" si="62"/>
        <v>0.38163934426229496</v>
      </c>
      <c r="R175">
        <f t="shared" si="64"/>
        <v>1.1540983606557376</v>
      </c>
    </row>
    <row r="176" spans="1:18" x14ac:dyDescent="0.3">
      <c r="A176" t="s">
        <v>0</v>
      </c>
      <c r="B176" s="1">
        <v>45079</v>
      </c>
      <c r="C176" t="s">
        <v>7</v>
      </c>
      <c r="D176" t="s">
        <v>10</v>
      </c>
      <c r="E176">
        <v>5</v>
      </c>
      <c r="F176">
        <v>14.2</v>
      </c>
      <c r="G176">
        <v>0.25</v>
      </c>
      <c r="H176">
        <v>0</v>
      </c>
      <c r="I176">
        <f t="shared" si="57"/>
        <v>0.25</v>
      </c>
      <c r="J176">
        <f t="shared" si="58"/>
        <v>14.45</v>
      </c>
      <c r="K176">
        <f t="shared" si="59"/>
        <v>0.44999999999999929</v>
      </c>
      <c r="L176">
        <f t="shared" si="63"/>
        <v>3.9999999999999982</v>
      </c>
      <c r="M176">
        <f t="shared" si="49"/>
        <v>0.56557377049180324</v>
      </c>
      <c r="N176">
        <v>7</v>
      </c>
      <c r="O176">
        <f t="shared" si="60"/>
        <v>3.5</v>
      </c>
      <c r="P176">
        <f t="shared" si="61"/>
        <v>245</v>
      </c>
      <c r="Q176">
        <f t="shared" si="62"/>
        <v>0.41442622950819674</v>
      </c>
      <c r="R176">
        <f t="shared" si="64"/>
        <v>1.5685245901639342</v>
      </c>
    </row>
    <row r="177" spans="1:18" x14ac:dyDescent="0.3">
      <c r="A177" t="s">
        <v>1</v>
      </c>
      <c r="B177" s="1">
        <v>45080</v>
      </c>
      <c r="C177" t="s">
        <v>7</v>
      </c>
      <c r="D177" t="s">
        <v>10</v>
      </c>
      <c r="E177">
        <v>5</v>
      </c>
      <c r="F177">
        <v>14</v>
      </c>
      <c r="G177">
        <v>0</v>
      </c>
      <c r="H177">
        <v>0</v>
      </c>
      <c r="I177">
        <f t="shared" si="57"/>
        <v>0</v>
      </c>
      <c r="J177">
        <f t="shared" si="58"/>
        <v>14</v>
      </c>
      <c r="K177">
        <f t="shared" si="59"/>
        <v>0.5</v>
      </c>
      <c r="L177">
        <f t="shared" si="63"/>
        <v>4.4999999999999982</v>
      </c>
      <c r="M177">
        <f t="shared" si="49"/>
        <v>0.49180327868852464</v>
      </c>
      <c r="N177">
        <v>8</v>
      </c>
      <c r="O177">
        <f t="shared" si="60"/>
        <v>3.5</v>
      </c>
      <c r="P177">
        <f t="shared" si="61"/>
        <v>245</v>
      </c>
      <c r="Q177">
        <f t="shared" si="62"/>
        <v>0.48819672131147535</v>
      </c>
      <c r="R177">
        <f t="shared" si="64"/>
        <v>2.0567213114754095</v>
      </c>
    </row>
    <row r="178" spans="1:18" x14ac:dyDescent="0.3">
      <c r="A178" t="s">
        <v>2</v>
      </c>
      <c r="B178" s="1">
        <v>45081</v>
      </c>
      <c r="C178" t="s">
        <v>7</v>
      </c>
      <c r="D178" t="s">
        <v>10</v>
      </c>
      <c r="E178">
        <v>5</v>
      </c>
      <c r="F178">
        <v>13.5</v>
      </c>
      <c r="G178">
        <v>0</v>
      </c>
      <c r="H178">
        <v>0</v>
      </c>
      <c r="I178">
        <f t="shared" si="57"/>
        <v>0</v>
      </c>
      <c r="J178">
        <f t="shared" si="58"/>
        <v>13.5</v>
      </c>
      <c r="K178">
        <f t="shared" si="59"/>
        <v>0.5</v>
      </c>
      <c r="L178">
        <f t="shared" si="63"/>
        <v>4.9999999999999982</v>
      </c>
      <c r="M178">
        <f t="shared" si="49"/>
        <v>0.4098360655737705</v>
      </c>
      <c r="N178">
        <v>9</v>
      </c>
      <c r="O178">
        <f t="shared" si="60"/>
        <v>3.5</v>
      </c>
      <c r="P178">
        <f t="shared" si="61"/>
        <v>245</v>
      </c>
      <c r="Q178">
        <f t="shared" si="62"/>
        <v>0.57016393442622948</v>
      </c>
      <c r="R178">
        <f t="shared" si="64"/>
        <v>2.6268852459016392</v>
      </c>
    </row>
    <row r="179" spans="1:18" x14ac:dyDescent="0.3">
      <c r="A179" t="s">
        <v>3</v>
      </c>
      <c r="B179" s="1">
        <v>45082</v>
      </c>
      <c r="C179" t="s">
        <v>7</v>
      </c>
      <c r="D179" t="s">
        <v>10</v>
      </c>
      <c r="E179">
        <v>5</v>
      </c>
      <c r="F179">
        <v>13</v>
      </c>
      <c r="G179">
        <v>0.25</v>
      </c>
      <c r="H179">
        <v>0</v>
      </c>
      <c r="I179">
        <f t="shared" si="57"/>
        <v>0.25</v>
      </c>
      <c r="J179">
        <f t="shared" si="58"/>
        <v>13.25</v>
      </c>
      <c r="K179">
        <f t="shared" si="59"/>
        <v>0.44999999999999929</v>
      </c>
      <c r="L179">
        <f t="shared" si="63"/>
        <v>5.4499999999999975</v>
      </c>
      <c r="M179">
        <f t="shared" si="49"/>
        <v>0.36885245901639346</v>
      </c>
      <c r="N179">
        <v>10</v>
      </c>
      <c r="O179">
        <f t="shared" si="60"/>
        <v>3.75</v>
      </c>
      <c r="P179">
        <f t="shared" si="61"/>
        <v>262.5</v>
      </c>
      <c r="Q179">
        <f t="shared" si="62"/>
        <v>0.61114754098360646</v>
      </c>
      <c r="R179">
        <f t="shared" si="64"/>
        <v>3.2380327868852454</v>
      </c>
    </row>
    <row r="180" spans="1:18" x14ac:dyDescent="0.3">
      <c r="A180" t="s">
        <v>4</v>
      </c>
      <c r="B180" s="1">
        <v>45083</v>
      </c>
      <c r="C180" t="s">
        <v>7</v>
      </c>
      <c r="D180" t="s">
        <v>10</v>
      </c>
      <c r="E180">
        <v>5</v>
      </c>
      <c r="F180">
        <v>12.8</v>
      </c>
      <c r="G180">
        <v>0.25</v>
      </c>
      <c r="H180">
        <v>0</v>
      </c>
      <c r="I180">
        <f t="shared" si="57"/>
        <v>0.25</v>
      </c>
      <c r="J180">
        <f t="shared" si="58"/>
        <v>13.05</v>
      </c>
      <c r="K180">
        <f t="shared" si="59"/>
        <v>0.75</v>
      </c>
      <c r="L180">
        <f t="shared" si="63"/>
        <v>6.1999999999999975</v>
      </c>
      <c r="M180">
        <f t="shared" si="49"/>
        <v>0.33606557377049195</v>
      </c>
      <c r="N180">
        <v>11</v>
      </c>
      <c r="O180">
        <f t="shared" si="60"/>
        <v>4</v>
      </c>
      <c r="P180">
        <f t="shared" si="61"/>
        <v>280</v>
      </c>
      <c r="Q180">
        <f t="shared" si="62"/>
        <v>0.64393442622950803</v>
      </c>
      <c r="R180">
        <f t="shared" si="64"/>
        <v>3.8819672131147533</v>
      </c>
    </row>
    <row r="181" spans="1:18" x14ac:dyDescent="0.3">
      <c r="A181" t="s">
        <v>5</v>
      </c>
      <c r="B181" s="1">
        <v>45084</v>
      </c>
      <c r="C181" t="s">
        <v>7</v>
      </c>
      <c r="D181" t="s">
        <v>10</v>
      </c>
      <c r="E181">
        <v>5</v>
      </c>
      <c r="F181">
        <v>12.3</v>
      </c>
      <c r="G181">
        <v>0</v>
      </c>
      <c r="H181">
        <f t="shared" ref="H181:H184" si="65">13-F181-G181</f>
        <v>0.69999999999999929</v>
      </c>
      <c r="I181">
        <f t="shared" si="57"/>
        <v>0.69999999999999929</v>
      </c>
      <c r="J181">
        <f t="shared" si="58"/>
        <v>13</v>
      </c>
      <c r="K181">
        <f t="shared" si="59"/>
        <v>0.59999999999999964</v>
      </c>
      <c r="L181">
        <f t="shared" si="63"/>
        <v>6.7999999999999972</v>
      </c>
      <c r="M181">
        <f t="shared" si="49"/>
        <v>0.32786885245901642</v>
      </c>
      <c r="N181">
        <v>12</v>
      </c>
      <c r="O181">
        <f t="shared" si="60"/>
        <v>4</v>
      </c>
      <c r="P181">
        <f t="shared" si="61"/>
        <v>280</v>
      </c>
      <c r="Q181">
        <f t="shared" si="62"/>
        <v>0.65213114754098356</v>
      </c>
      <c r="R181">
        <f t="shared" si="64"/>
        <v>4.5340983606557366</v>
      </c>
    </row>
    <row r="182" spans="1:18" x14ac:dyDescent="0.3">
      <c r="A182" t="s">
        <v>6</v>
      </c>
      <c r="B182" s="1">
        <v>45085</v>
      </c>
      <c r="C182" t="s">
        <v>7</v>
      </c>
      <c r="D182" t="s">
        <v>10</v>
      </c>
      <c r="E182">
        <v>5</v>
      </c>
      <c r="F182">
        <v>12.4</v>
      </c>
      <c r="G182">
        <v>0.25</v>
      </c>
      <c r="H182">
        <f t="shared" si="65"/>
        <v>0.34999999999999964</v>
      </c>
      <c r="I182">
        <f t="shared" si="57"/>
        <v>0.59999999999999964</v>
      </c>
      <c r="J182">
        <f t="shared" si="58"/>
        <v>13</v>
      </c>
      <c r="K182">
        <f t="shared" si="59"/>
        <v>0.59999999999999964</v>
      </c>
      <c r="L182">
        <f t="shared" si="63"/>
        <v>7.3999999999999968</v>
      </c>
      <c r="M182">
        <f t="shared" si="49"/>
        <v>0.32786885245901642</v>
      </c>
      <c r="N182">
        <v>13</v>
      </c>
      <c r="O182">
        <f t="shared" si="60"/>
        <v>4.25</v>
      </c>
      <c r="P182">
        <f t="shared" si="61"/>
        <v>297.5</v>
      </c>
      <c r="Q182">
        <f t="shared" si="62"/>
        <v>0.65213114754098356</v>
      </c>
      <c r="R182">
        <f t="shared" si="64"/>
        <v>5.1862295081967202</v>
      </c>
    </row>
    <row r="183" spans="1:18" x14ac:dyDescent="0.3">
      <c r="A183" t="s">
        <v>0</v>
      </c>
      <c r="B183" s="1">
        <v>45086</v>
      </c>
      <c r="C183" t="s">
        <v>7</v>
      </c>
      <c r="D183" t="s">
        <v>10</v>
      </c>
      <c r="E183">
        <v>5</v>
      </c>
      <c r="F183">
        <v>12.4</v>
      </c>
      <c r="G183">
        <v>0.25</v>
      </c>
      <c r="H183">
        <f t="shared" si="65"/>
        <v>0.34999999999999964</v>
      </c>
      <c r="I183">
        <f t="shared" si="57"/>
        <v>0.59999999999999964</v>
      </c>
      <c r="J183">
        <f t="shared" si="58"/>
        <v>13</v>
      </c>
      <c r="K183">
        <f t="shared" si="59"/>
        <v>0.90000000000000036</v>
      </c>
      <c r="L183">
        <f t="shared" si="63"/>
        <v>8.2999999999999972</v>
      </c>
      <c r="M183">
        <f t="shared" si="49"/>
        <v>0.32786885245901642</v>
      </c>
      <c r="N183">
        <v>14</v>
      </c>
      <c r="O183">
        <f t="shared" si="60"/>
        <v>4.5</v>
      </c>
      <c r="P183">
        <f t="shared" si="61"/>
        <v>315</v>
      </c>
      <c r="Q183">
        <f t="shared" si="62"/>
        <v>0.65213114754098356</v>
      </c>
      <c r="R183">
        <f t="shared" si="64"/>
        <v>5.8383606557377039</v>
      </c>
    </row>
    <row r="184" spans="1:18" x14ac:dyDescent="0.3">
      <c r="A184" t="s">
        <v>1</v>
      </c>
      <c r="B184" s="1">
        <v>45087</v>
      </c>
      <c r="C184" t="s">
        <v>7</v>
      </c>
      <c r="D184" t="s">
        <v>10</v>
      </c>
      <c r="E184">
        <v>5</v>
      </c>
      <c r="F184">
        <v>12.1</v>
      </c>
      <c r="G184">
        <v>0</v>
      </c>
      <c r="H184">
        <f t="shared" si="65"/>
        <v>0.90000000000000036</v>
      </c>
      <c r="I184">
        <f t="shared" si="57"/>
        <v>0.90000000000000036</v>
      </c>
      <c r="J184">
        <f t="shared" si="58"/>
        <v>13</v>
      </c>
      <c r="K184">
        <f t="shared" si="59"/>
        <v>0.90000000000000036</v>
      </c>
      <c r="L184">
        <f t="shared" si="63"/>
        <v>9.1999999999999975</v>
      </c>
      <c r="M184">
        <f t="shared" si="49"/>
        <v>0.32786885245901642</v>
      </c>
      <c r="N184">
        <v>15</v>
      </c>
      <c r="O184">
        <f t="shared" si="60"/>
        <v>4.5</v>
      </c>
      <c r="P184">
        <f t="shared" si="61"/>
        <v>315</v>
      </c>
      <c r="Q184">
        <f t="shared" si="62"/>
        <v>0.65213114754098356</v>
      </c>
      <c r="R184">
        <f t="shared" si="64"/>
        <v>6.4904918032786876</v>
      </c>
    </row>
    <row r="185" spans="1:18" x14ac:dyDescent="0.3">
      <c r="A185" t="s">
        <v>2</v>
      </c>
      <c r="B185" s="1">
        <v>45088</v>
      </c>
      <c r="C185" t="s">
        <v>7</v>
      </c>
      <c r="D185" t="s">
        <v>10</v>
      </c>
      <c r="E185">
        <v>5</v>
      </c>
      <c r="F185">
        <v>12.1</v>
      </c>
      <c r="G185">
        <v>0</v>
      </c>
      <c r="H185">
        <f t="shared" ref="H185:H188" si="66">13-F185-G185</f>
        <v>0.90000000000000036</v>
      </c>
      <c r="I185">
        <f t="shared" si="57"/>
        <v>0.90000000000000036</v>
      </c>
      <c r="J185">
        <f t="shared" si="58"/>
        <v>13</v>
      </c>
      <c r="K185">
        <f t="shared" si="59"/>
        <v>0.90000000000000036</v>
      </c>
      <c r="L185">
        <f t="shared" si="63"/>
        <v>10.099999999999998</v>
      </c>
      <c r="M185">
        <f t="shared" si="49"/>
        <v>0.32786885245901642</v>
      </c>
      <c r="N185">
        <v>16</v>
      </c>
      <c r="O185">
        <f t="shared" si="60"/>
        <v>4.5</v>
      </c>
      <c r="P185">
        <f t="shared" si="61"/>
        <v>315</v>
      </c>
      <c r="Q185">
        <f t="shared" si="62"/>
        <v>0.65213114754098356</v>
      </c>
      <c r="R185">
        <f t="shared" si="64"/>
        <v>7.1426229508196712</v>
      </c>
    </row>
    <row r="186" spans="1:18" x14ac:dyDescent="0.3">
      <c r="A186" t="s">
        <v>3</v>
      </c>
      <c r="B186" s="1">
        <v>45089</v>
      </c>
      <c r="C186" t="s">
        <v>7</v>
      </c>
      <c r="D186" t="s">
        <v>10</v>
      </c>
      <c r="E186">
        <v>5</v>
      </c>
      <c r="F186">
        <v>12.1</v>
      </c>
      <c r="G186">
        <v>0.5</v>
      </c>
      <c r="H186">
        <f t="shared" si="66"/>
        <v>0.40000000000000036</v>
      </c>
      <c r="I186">
        <f t="shared" si="57"/>
        <v>0.90000000000000036</v>
      </c>
      <c r="J186">
        <f t="shared" si="58"/>
        <v>13</v>
      </c>
      <c r="K186">
        <f t="shared" si="59"/>
        <v>0.30000000000000071</v>
      </c>
      <c r="L186">
        <f t="shared" si="63"/>
        <v>10.399999999999999</v>
      </c>
      <c r="M186">
        <f t="shared" si="49"/>
        <v>0.32786885245901642</v>
      </c>
      <c r="N186">
        <v>17</v>
      </c>
      <c r="O186">
        <f t="shared" si="60"/>
        <v>5</v>
      </c>
      <c r="P186">
        <f t="shared" si="61"/>
        <v>350</v>
      </c>
      <c r="Q186">
        <f t="shared" si="62"/>
        <v>0.65213114754098356</v>
      </c>
      <c r="R186">
        <f t="shared" si="64"/>
        <v>7.7947540983606549</v>
      </c>
    </row>
    <row r="187" spans="1:18" x14ac:dyDescent="0.3">
      <c r="A187" t="s">
        <v>4</v>
      </c>
      <c r="B187" s="1">
        <v>45090</v>
      </c>
      <c r="C187" t="s">
        <v>7</v>
      </c>
      <c r="D187" t="s">
        <v>10</v>
      </c>
      <c r="E187">
        <v>5</v>
      </c>
      <c r="F187">
        <v>12.7</v>
      </c>
      <c r="G187">
        <v>0</v>
      </c>
      <c r="H187">
        <f t="shared" si="66"/>
        <v>0.30000000000000071</v>
      </c>
      <c r="I187">
        <f t="shared" si="57"/>
        <v>0.30000000000000071</v>
      </c>
      <c r="J187">
        <f t="shared" si="58"/>
        <v>13</v>
      </c>
      <c r="K187">
        <f t="shared" si="59"/>
        <v>0.59999999999999964</v>
      </c>
      <c r="L187">
        <f t="shared" si="63"/>
        <v>10.999999999999998</v>
      </c>
      <c r="M187">
        <f t="shared" si="49"/>
        <v>0.32786885245901642</v>
      </c>
      <c r="N187">
        <v>18</v>
      </c>
      <c r="O187">
        <f t="shared" si="60"/>
        <v>5</v>
      </c>
      <c r="P187">
        <f t="shared" si="61"/>
        <v>350</v>
      </c>
      <c r="Q187">
        <f t="shared" si="62"/>
        <v>0.65213114754098356</v>
      </c>
      <c r="R187">
        <f t="shared" si="64"/>
        <v>8.4468852459016386</v>
      </c>
    </row>
    <row r="188" spans="1:18" x14ac:dyDescent="0.3">
      <c r="A188" t="s">
        <v>5</v>
      </c>
      <c r="B188" s="1">
        <v>45091</v>
      </c>
      <c r="C188" t="s">
        <v>7</v>
      </c>
      <c r="D188" t="s">
        <v>10</v>
      </c>
      <c r="E188">
        <v>5</v>
      </c>
      <c r="F188">
        <v>12.4</v>
      </c>
      <c r="G188">
        <v>0</v>
      </c>
      <c r="H188">
        <f t="shared" si="66"/>
        <v>0.59999999999999964</v>
      </c>
      <c r="I188">
        <f t="shared" si="57"/>
        <v>0.59999999999999964</v>
      </c>
      <c r="J188">
        <f t="shared" si="58"/>
        <v>13</v>
      </c>
      <c r="K188">
        <f t="shared" si="59"/>
        <v>0.69999999999999929</v>
      </c>
      <c r="L188">
        <f t="shared" si="63"/>
        <v>11.699999999999998</v>
      </c>
      <c r="M188">
        <f t="shared" si="49"/>
        <v>0.32786885245901642</v>
      </c>
      <c r="N188">
        <v>19</v>
      </c>
      <c r="O188">
        <f t="shared" si="60"/>
        <v>5</v>
      </c>
      <c r="P188">
        <f t="shared" si="61"/>
        <v>350</v>
      </c>
      <c r="Q188">
        <f t="shared" si="62"/>
        <v>0.65213114754098356</v>
      </c>
      <c r="R188">
        <f t="shared" si="64"/>
        <v>9.0990163934426214</v>
      </c>
    </row>
    <row r="189" spans="1:18" x14ac:dyDescent="0.3">
      <c r="A189" t="s">
        <v>6</v>
      </c>
      <c r="B189" s="1">
        <v>45092</v>
      </c>
      <c r="C189" t="s">
        <v>7</v>
      </c>
      <c r="D189" t="s">
        <v>10</v>
      </c>
      <c r="E189">
        <v>5</v>
      </c>
      <c r="F189">
        <v>12.3</v>
      </c>
      <c r="G189">
        <v>0</v>
      </c>
      <c r="H189">
        <v>0</v>
      </c>
      <c r="I189">
        <f t="shared" si="57"/>
        <v>0</v>
      </c>
      <c r="J189">
        <f t="shared" si="58"/>
        <v>12.3</v>
      </c>
      <c r="K189">
        <f t="shared" si="59"/>
        <v>0.80000000000000071</v>
      </c>
      <c r="L189">
        <f t="shared" si="63"/>
        <v>12.499999999999998</v>
      </c>
      <c r="M189">
        <f t="shared" si="49"/>
        <v>0.21311475409836078</v>
      </c>
      <c r="N189">
        <v>20</v>
      </c>
      <c r="O189">
        <f t="shared" si="60"/>
        <v>5</v>
      </c>
      <c r="P189">
        <f t="shared" si="61"/>
        <v>350</v>
      </c>
      <c r="Q189">
        <f t="shared" si="62"/>
        <v>0.7668852459016392</v>
      </c>
      <c r="R189">
        <f t="shared" si="64"/>
        <v>9.8659016393442602</v>
      </c>
    </row>
    <row r="190" spans="1:18" x14ac:dyDescent="0.3">
      <c r="A190" t="s">
        <v>0</v>
      </c>
      <c r="B190" s="1">
        <v>45093</v>
      </c>
      <c r="C190" t="s">
        <v>7</v>
      </c>
      <c r="D190" t="s">
        <v>10</v>
      </c>
      <c r="E190">
        <v>5</v>
      </c>
      <c r="F190">
        <v>11.5</v>
      </c>
      <c r="G190">
        <v>0.5</v>
      </c>
      <c r="H190">
        <v>0</v>
      </c>
      <c r="I190">
        <f t="shared" si="57"/>
        <v>0.5</v>
      </c>
      <c r="J190">
        <f t="shared" si="58"/>
        <v>12</v>
      </c>
      <c r="K190">
        <f t="shared" si="59"/>
        <v>0.5</v>
      </c>
      <c r="L190">
        <f t="shared" si="63"/>
        <v>12.999999999999998</v>
      </c>
      <c r="M190">
        <f t="shared" si="49"/>
        <v>0.16393442622950821</v>
      </c>
      <c r="N190">
        <v>21</v>
      </c>
      <c r="O190">
        <f t="shared" si="60"/>
        <v>5.5</v>
      </c>
      <c r="P190">
        <f t="shared" si="61"/>
        <v>385</v>
      </c>
      <c r="Q190">
        <f t="shared" si="62"/>
        <v>0.81606557377049183</v>
      </c>
      <c r="R190">
        <f t="shared" si="64"/>
        <v>10.681967213114753</v>
      </c>
    </row>
    <row r="191" spans="1:18" x14ac:dyDescent="0.3">
      <c r="A191" t="s">
        <v>1</v>
      </c>
      <c r="B191" s="1">
        <v>45094</v>
      </c>
      <c r="C191" t="s">
        <v>7</v>
      </c>
      <c r="D191" t="s">
        <v>10</v>
      </c>
      <c r="E191">
        <v>5</v>
      </c>
      <c r="F191">
        <v>11.5</v>
      </c>
      <c r="G191">
        <v>0</v>
      </c>
      <c r="H191">
        <f>12.2-F191-G191</f>
        <v>0.69999999999999929</v>
      </c>
      <c r="I191">
        <f t="shared" si="57"/>
        <v>0.69999999999999929</v>
      </c>
      <c r="J191">
        <f t="shared" si="58"/>
        <v>12.2</v>
      </c>
      <c r="K191">
        <f t="shared" si="59"/>
        <v>0.69999999999999929</v>
      </c>
      <c r="L191">
        <f t="shared" si="63"/>
        <v>13.699999999999998</v>
      </c>
      <c r="M191">
        <f t="shared" si="49"/>
        <v>0.19672131147540972</v>
      </c>
      <c r="N191">
        <v>22</v>
      </c>
      <c r="O191">
        <f t="shared" si="60"/>
        <v>5.5</v>
      </c>
      <c r="P191">
        <f t="shared" si="61"/>
        <v>385</v>
      </c>
      <c r="Q191">
        <f t="shared" si="62"/>
        <v>0.78327868852459026</v>
      </c>
      <c r="R191">
        <f t="shared" si="64"/>
        <v>11.465245901639342</v>
      </c>
    </row>
    <row r="192" spans="1:18" x14ac:dyDescent="0.3">
      <c r="A192" t="s">
        <v>2</v>
      </c>
      <c r="B192" s="1">
        <v>45095</v>
      </c>
      <c r="C192" t="s">
        <v>7</v>
      </c>
      <c r="D192" t="s">
        <v>10</v>
      </c>
      <c r="E192">
        <v>5</v>
      </c>
      <c r="F192">
        <v>11.5</v>
      </c>
      <c r="G192">
        <v>0</v>
      </c>
      <c r="H192">
        <f t="shared" ref="H192:H193" si="67">12.2-F192-G192</f>
        <v>0.69999999999999929</v>
      </c>
      <c r="I192">
        <f t="shared" si="57"/>
        <v>0.69999999999999929</v>
      </c>
      <c r="J192">
        <f t="shared" si="58"/>
        <v>12.2</v>
      </c>
      <c r="K192">
        <f t="shared" si="59"/>
        <v>0.69999999999999929</v>
      </c>
      <c r="L192">
        <f t="shared" si="63"/>
        <v>14.399999999999997</v>
      </c>
      <c r="M192">
        <f t="shared" si="49"/>
        <v>0.19672131147540972</v>
      </c>
      <c r="N192">
        <v>23</v>
      </c>
      <c r="O192">
        <f t="shared" si="60"/>
        <v>5.5</v>
      </c>
      <c r="P192">
        <f t="shared" si="61"/>
        <v>385</v>
      </c>
      <c r="Q192">
        <f t="shared" si="62"/>
        <v>0.78327868852459026</v>
      </c>
      <c r="R192">
        <f t="shared" si="64"/>
        <v>12.248524590163932</v>
      </c>
    </row>
    <row r="193" spans="1:18" x14ac:dyDescent="0.3">
      <c r="A193" t="s">
        <v>3</v>
      </c>
      <c r="B193" s="1">
        <v>45096</v>
      </c>
      <c r="C193" t="s">
        <v>7</v>
      </c>
      <c r="D193" t="s">
        <v>10</v>
      </c>
      <c r="E193">
        <v>5</v>
      </c>
      <c r="F193">
        <v>11.5</v>
      </c>
      <c r="G193">
        <v>0.5</v>
      </c>
      <c r="H193">
        <f t="shared" si="67"/>
        <v>0.19999999999999929</v>
      </c>
      <c r="I193">
        <f t="shared" si="57"/>
        <v>0.69999999999999929</v>
      </c>
      <c r="J193">
        <f t="shared" si="58"/>
        <v>12.2</v>
      </c>
      <c r="K193">
        <f t="shared" si="59"/>
        <v>0.79999999999999893</v>
      </c>
      <c r="L193">
        <f t="shared" si="63"/>
        <v>15.199999999999996</v>
      </c>
      <c r="M193">
        <f t="shared" si="49"/>
        <v>0.19672131147540972</v>
      </c>
      <c r="N193">
        <v>24</v>
      </c>
      <c r="O193">
        <f t="shared" si="60"/>
        <v>6</v>
      </c>
      <c r="P193">
        <f t="shared" si="61"/>
        <v>420</v>
      </c>
      <c r="Q193">
        <f t="shared" si="62"/>
        <v>0.78327868852459026</v>
      </c>
      <c r="R193">
        <f t="shared" si="64"/>
        <v>13.031803278688521</v>
      </c>
    </row>
    <row r="194" spans="1:18" x14ac:dyDescent="0.3">
      <c r="A194" t="s">
        <v>4</v>
      </c>
      <c r="B194" s="1">
        <v>45097</v>
      </c>
      <c r="C194" t="s">
        <v>7</v>
      </c>
      <c r="D194" t="s">
        <v>10</v>
      </c>
      <c r="E194">
        <v>5</v>
      </c>
      <c r="F194">
        <v>11.4</v>
      </c>
      <c r="G194">
        <v>0</v>
      </c>
      <c r="H194">
        <f>12.2-F194-G194</f>
        <v>0.79999999999999893</v>
      </c>
      <c r="I194">
        <f t="shared" si="57"/>
        <v>0.79999999999999893</v>
      </c>
      <c r="J194">
        <f t="shared" si="58"/>
        <v>12.2</v>
      </c>
      <c r="K194">
        <f t="shared" si="59"/>
        <v>0.69999999999999929</v>
      </c>
      <c r="L194">
        <f>L193+K194</f>
        <v>15.899999999999995</v>
      </c>
      <c r="M194">
        <f t="shared" si="49"/>
        <v>0.19672131147540972</v>
      </c>
      <c r="N194">
        <v>25</v>
      </c>
      <c r="O194">
        <f t="shared" si="60"/>
        <v>6</v>
      </c>
      <c r="P194">
        <f t="shared" si="61"/>
        <v>420</v>
      </c>
      <c r="Q194">
        <f t="shared" si="62"/>
        <v>0.78327868852459026</v>
      </c>
      <c r="R194">
        <f t="shared" si="64"/>
        <v>13.815081967213111</v>
      </c>
    </row>
    <row r="195" spans="1:18" x14ac:dyDescent="0.3">
      <c r="A195" t="s">
        <v>5</v>
      </c>
      <c r="B195" s="1">
        <v>45098</v>
      </c>
      <c r="C195" t="s">
        <v>7</v>
      </c>
      <c r="D195" t="s">
        <v>10</v>
      </c>
      <c r="E195">
        <v>5</v>
      </c>
      <c r="F195">
        <v>11.5</v>
      </c>
      <c r="G195">
        <v>0</v>
      </c>
      <c r="H195">
        <f>12.1-F195-G195</f>
        <v>0.59999999999999964</v>
      </c>
      <c r="I195">
        <f t="shared" si="57"/>
        <v>0.59999999999999964</v>
      </c>
      <c r="J195">
        <f t="shared" si="58"/>
        <v>12.1</v>
      </c>
      <c r="K195">
        <f t="shared" si="59"/>
        <v>0.69999999999999929</v>
      </c>
      <c r="L195">
        <f t="shared" ref="L195:L207" si="68">L194+K195</f>
        <v>16.599999999999994</v>
      </c>
      <c r="M195">
        <f t="shared" ref="M195:M258" si="69">(J195-11)/6.1</f>
        <v>0.18032786885245897</v>
      </c>
      <c r="N195">
        <v>26</v>
      </c>
      <c r="O195">
        <f t="shared" si="60"/>
        <v>6</v>
      </c>
      <c r="P195">
        <f t="shared" si="61"/>
        <v>420</v>
      </c>
      <c r="Q195">
        <f t="shared" si="62"/>
        <v>0.79967213114754099</v>
      </c>
      <c r="R195">
        <f t="shared" si="64"/>
        <v>14.614754098360653</v>
      </c>
    </row>
    <row r="196" spans="1:18" x14ac:dyDescent="0.3">
      <c r="A196" t="s">
        <v>6</v>
      </c>
      <c r="B196" s="1">
        <v>45099</v>
      </c>
      <c r="C196" t="s">
        <v>7</v>
      </c>
      <c r="D196" t="s">
        <v>10</v>
      </c>
      <c r="E196">
        <v>5</v>
      </c>
      <c r="F196">
        <v>11.4</v>
      </c>
      <c r="G196">
        <v>0.5</v>
      </c>
      <c r="H196">
        <f t="shared" ref="H196:H198" si="70">12.1-F196-G196</f>
        <v>0.19999999999999929</v>
      </c>
      <c r="I196">
        <f t="shared" si="57"/>
        <v>0.69999999999999929</v>
      </c>
      <c r="J196">
        <f t="shared" si="58"/>
        <v>12.1</v>
      </c>
      <c r="K196">
        <f t="shared" si="59"/>
        <v>0.69999999999999929</v>
      </c>
      <c r="L196">
        <f t="shared" si="68"/>
        <v>17.299999999999994</v>
      </c>
      <c r="M196">
        <f t="shared" si="69"/>
        <v>0.18032786885245897</v>
      </c>
      <c r="N196">
        <v>27</v>
      </c>
      <c r="O196">
        <f t="shared" si="60"/>
        <v>6.5</v>
      </c>
      <c r="P196">
        <f t="shared" si="61"/>
        <v>455</v>
      </c>
      <c r="Q196">
        <f t="shared" si="62"/>
        <v>0.79967213114754099</v>
      </c>
      <c r="R196">
        <f t="shared" si="64"/>
        <v>15.414426229508194</v>
      </c>
    </row>
    <row r="197" spans="1:18" x14ac:dyDescent="0.3">
      <c r="A197" t="s">
        <v>0</v>
      </c>
      <c r="B197" s="1">
        <v>45100</v>
      </c>
      <c r="C197" t="s">
        <v>7</v>
      </c>
      <c r="D197" t="s">
        <v>10</v>
      </c>
      <c r="E197">
        <v>5</v>
      </c>
      <c r="F197">
        <v>11.4</v>
      </c>
      <c r="G197">
        <v>0</v>
      </c>
      <c r="H197">
        <f t="shared" si="70"/>
        <v>0.69999999999999929</v>
      </c>
      <c r="I197">
        <f t="shared" si="57"/>
        <v>0.69999999999999929</v>
      </c>
      <c r="J197">
        <f t="shared" si="58"/>
        <v>12.1</v>
      </c>
      <c r="K197">
        <f t="shared" si="59"/>
        <v>0.59999999999999964</v>
      </c>
      <c r="L197">
        <f t="shared" si="68"/>
        <v>17.899999999999991</v>
      </c>
      <c r="M197">
        <f t="shared" si="69"/>
        <v>0.18032786885245897</v>
      </c>
      <c r="N197">
        <v>28</v>
      </c>
      <c r="O197">
        <f t="shared" si="60"/>
        <v>6.5</v>
      </c>
      <c r="P197">
        <f t="shared" si="61"/>
        <v>455</v>
      </c>
      <c r="Q197">
        <f t="shared" si="62"/>
        <v>0.79967213114754099</v>
      </c>
      <c r="R197">
        <f>R196+Q197</f>
        <v>16.214098360655736</v>
      </c>
    </row>
    <row r="198" spans="1:18" x14ac:dyDescent="0.3">
      <c r="A198" t="s">
        <v>1</v>
      </c>
      <c r="B198" s="1">
        <v>45101</v>
      </c>
      <c r="C198" t="s">
        <v>7</v>
      </c>
      <c r="D198" t="s">
        <v>10</v>
      </c>
      <c r="E198">
        <v>5</v>
      </c>
      <c r="F198">
        <v>11.5</v>
      </c>
      <c r="G198">
        <v>0</v>
      </c>
      <c r="H198">
        <f t="shared" si="70"/>
        <v>0.59999999999999964</v>
      </c>
      <c r="I198">
        <f t="shared" si="57"/>
        <v>0.59999999999999964</v>
      </c>
      <c r="J198">
        <f t="shared" si="58"/>
        <v>12.1</v>
      </c>
      <c r="K198">
        <f t="shared" si="59"/>
        <v>0.79999999999999893</v>
      </c>
      <c r="L198">
        <f t="shared" si="68"/>
        <v>18.699999999999989</v>
      </c>
      <c r="M198">
        <f t="shared" si="69"/>
        <v>0.18032786885245897</v>
      </c>
      <c r="N198">
        <v>29</v>
      </c>
      <c r="O198">
        <f t="shared" si="60"/>
        <v>6.5</v>
      </c>
      <c r="P198">
        <f t="shared" si="61"/>
        <v>455</v>
      </c>
      <c r="Q198">
        <f t="shared" si="62"/>
        <v>0.79967213114754099</v>
      </c>
      <c r="R198">
        <f t="shared" ref="R198:R207" si="71">R197+Q198</f>
        <v>17.013770491803278</v>
      </c>
    </row>
    <row r="199" spans="1:18" x14ac:dyDescent="0.3">
      <c r="A199" t="s">
        <v>2</v>
      </c>
      <c r="B199" s="1">
        <v>45102</v>
      </c>
      <c r="C199" t="s">
        <v>7</v>
      </c>
      <c r="D199" t="s">
        <v>10</v>
      </c>
      <c r="E199">
        <v>5</v>
      </c>
      <c r="F199">
        <v>11.3</v>
      </c>
      <c r="G199">
        <v>0</v>
      </c>
      <c r="H199">
        <v>4.9000000000000004</v>
      </c>
      <c r="I199">
        <f t="shared" si="57"/>
        <v>4.9000000000000004</v>
      </c>
      <c r="J199">
        <f t="shared" si="58"/>
        <v>16.200000000000003</v>
      </c>
      <c r="K199">
        <f t="shared" si="59"/>
        <v>0.90000000000000213</v>
      </c>
      <c r="L199">
        <f t="shared" si="68"/>
        <v>19.599999999999991</v>
      </c>
      <c r="M199">
        <f t="shared" si="69"/>
        <v>0.85245901639344313</v>
      </c>
      <c r="N199">
        <v>30</v>
      </c>
      <c r="O199">
        <f t="shared" si="60"/>
        <v>6.5</v>
      </c>
      <c r="P199">
        <f t="shared" si="61"/>
        <v>455</v>
      </c>
      <c r="Q199">
        <f t="shared" si="62"/>
        <v>0.12754098360655686</v>
      </c>
      <c r="R199">
        <f t="shared" si="71"/>
        <v>17.141311475409836</v>
      </c>
    </row>
    <row r="200" spans="1:18" x14ac:dyDescent="0.3">
      <c r="A200" t="s">
        <v>3</v>
      </c>
      <c r="B200" s="1">
        <v>45103</v>
      </c>
      <c r="C200" t="s">
        <v>7</v>
      </c>
      <c r="D200" t="s">
        <v>10</v>
      </c>
      <c r="E200">
        <v>5</v>
      </c>
      <c r="F200">
        <v>15.3</v>
      </c>
      <c r="G200">
        <v>0.5</v>
      </c>
      <c r="H200">
        <v>0</v>
      </c>
      <c r="I200">
        <f t="shared" si="57"/>
        <v>0.5</v>
      </c>
      <c r="J200">
        <f t="shared" si="58"/>
        <v>15.8</v>
      </c>
      <c r="K200">
        <f t="shared" si="59"/>
        <v>0.60000000000000142</v>
      </c>
      <c r="L200">
        <f t="shared" si="68"/>
        <v>20.199999999999992</v>
      </c>
      <c r="M200">
        <f t="shared" si="69"/>
        <v>0.78688524590163955</v>
      </c>
      <c r="N200">
        <v>31</v>
      </c>
      <c r="O200">
        <f t="shared" si="60"/>
        <v>7</v>
      </c>
      <c r="P200">
        <f t="shared" si="61"/>
        <v>490</v>
      </c>
      <c r="Q200">
        <f t="shared" si="62"/>
        <v>0.19311475409836043</v>
      </c>
      <c r="R200">
        <f t="shared" si="71"/>
        <v>17.334426229508196</v>
      </c>
    </row>
    <row r="201" spans="1:18" x14ac:dyDescent="0.3">
      <c r="A201" t="s">
        <v>4</v>
      </c>
      <c r="B201" s="1">
        <v>45104</v>
      </c>
      <c r="C201" t="s">
        <v>7</v>
      </c>
      <c r="D201" t="s">
        <v>10</v>
      </c>
      <c r="E201">
        <v>5</v>
      </c>
      <c r="F201">
        <v>15.2</v>
      </c>
      <c r="G201">
        <v>0</v>
      </c>
      <c r="H201">
        <v>0</v>
      </c>
      <c r="I201">
        <f t="shared" si="57"/>
        <v>0</v>
      </c>
      <c r="J201">
        <f t="shared" si="58"/>
        <v>15.2</v>
      </c>
      <c r="K201">
        <f t="shared" si="59"/>
        <v>0.79999999999999893</v>
      </c>
      <c r="L201">
        <f t="shared" si="68"/>
        <v>20.999999999999993</v>
      </c>
      <c r="M201">
        <f t="shared" si="69"/>
        <v>0.6885245901639343</v>
      </c>
      <c r="N201">
        <v>32</v>
      </c>
      <c r="O201">
        <f t="shared" si="60"/>
        <v>7</v>
      </c>
      <c r="P201">
        <f t="shared" si="61"/>
        <v>490</v>
      </c>
      <c r="Q201">
        <f t="shared" si="62"/>
        <v>0.29147540983606568</v>
      </c>
      <c r="R201">
        <f t="shared" si="71"/>
        <v>17.625901639344264</v>
      </c>
    </row>
    <row r="202" spans="1:18" x14ac:dyDescent="0.3">
      <c r="A202" t="s">
        <v>5</v>
      </c>
      <c r="B202" s="1">
        <v>45105</v>
      </c>
      <c r="C202" t="s">
        <v>7</v>
      </c>
      <c r="D202" t="s">
        <v>10</v>
      </c>
      <c r="E202">
        <v>5</v>
      </c>
      <c r="F202">
        <v>14.4</v>
      </c>
      <c r="G202">
        <v>0</v>
      </c>
      <c r="H202">
        <v>0</v>
      </c>
      <c r="I202">
        <f t="shared" si="57"/>
        <v>0</v>
      </c>
      <c r="J202">
        <f t="shared" si="58"/>
        <v>14.4</v>
      </c>
      <c r="K202">
        <f t="shared" si="59"/>
        <v>0.70000000000000107</v>
      </c>
      <c r="L202">
        <f t="shared" si="68"/>
        <v>21.699999999999996</v>
      </c>
      <c r="M202">
        <f t="shared" si="69"/>
        <v>0.55737704918032793</v>
      </c>
      <c r="N202">
        <v>33</v>
      </c>
      <c r="O202">
        <f t="shared" si="60"/>
        <v>7</v>
      </c>
      <c r="P202">
        <f t="shared" si="61"/>
        <v>490</v>
      </c>
      <c r="Q202">
        <f t="shared" si="62"/>
        <v>0.42262295081967205</v>
      </c>
      <c r="R202">
        <f t="shared" si="71"/>
        <v>18.048524590163936</v>
      </c>
    </row>
    <row r="203" spans="1:18" x14ac:dyDescent="0.3">
      <c r="A203" t="s">
        <v>6</v>
      </c>
      <c r="B203" s="1">
        <v>45106</v>
      </c>
      <c r="C203" t="s">
        <v>7</v>
      </c>
      <c r="D203" t="s">
        <v>10</v>
      </c>
      <c r="E203">
        <v>5</v>
      </c>
      <c r="F203">
        <v>13.7</v>
      </c>
      <c r="G203">
        <v>0.5</v>
      </c>
      <c r="H203">
        <v>0</v>
      </c>
      <c r="I203">
        <f t="shared" si="57"/>
        <v>0.5</v>
      </c>
      <c r="J203">
        <f t="shared" si="58"/>
        <v>14.2</v>
      </c>
      <c r="K203">
        <f t="shared" si="59"/>
        <v>0.69999999999999929</v>
      </c>
      <c r="L203">
        <f t="shared" si="68"/>
        <v>22.399999999999995</v>
      </c>
      <c r="M203">
        <f t="shared" si="69"/>
        <v>0.52459016393442615</v>
      </c>
      <c r="N203">
        <v>34</v>
      </c>
      <c r="O203">
        <f t="shared" si="60"/>
        <v>7.5</v>
      </c>
      <c r="P203">
        <f t="shared" si="61"/>
        <v>525</v>
      </c>
      <c r="Q203">
        <f t="shared" si="62"/>
        <v>0.45540983606557384</v>
      </c>
      <c r="R203">
        <f t="shared" si="71"/>
        <v>18.50393442622951</v>
      </c>
    </row>
    <row r="204" spans="1:18" x14ac:dyDescent="0.3">
      <c r="A204" t="s">
        <v>0</v>
      </c>
      <c r="B204" s="1">
        <v>45107</v>
      </c>
      <c r="C204" t="s">
        <v>7</v>
      </c>
      <c r="D204" t="s">
        <v>10</v>
      </c>
      <c r="E204">
        <v>5</v>
      </c>
      <c r="F204">
        <v>13.5</v>
      </c>
      <c r="G204">
        <v>0</v>
      </c>
      <c r="H204">
        <v>0</v>
      </c>
      <c r="I204">
        <f t="shared" si="57"/>
        <v>0</v>
      </c>
      <c r="J204">
        <f t="shared" si="58"/>
        <v>13.5</v>
      </c>
      <c r="K204">
        <f t="shared" si="59"/>
        <v>0.30000000000000071</v>
      </c>
      <c r="L204">
        <f t="shared" si="68"/>
        <v>22.699999999999996</v>
      </c>
      <c r="M204">
        <f t="shared" si="69"/>
        <v>0.4098360655737705</v>
      </c>
      <c r="N204">
        <v>35</v>
      </c>
      <c r="O204">
        <f t="shared" si="60"/>
        <v>7.5</v>
      </c>
      <c r="P204">
        <f t="shared" si="61"/>
        <v>525</v>
      </c>
      <c r="Q204">
        <f t="shared" si="62"/>
        <v>0.57016393442622948</v>
      </c>
      <c r="R204">
        <f t="shared" si="71"/>
        <v>19.074098360655739</v>
      </c>
    </row>
    <row r="205" spans="1:18" x14ac:dyDescent="0.3">
      <c r="A205" t="s">
        <v>1</v>
      </c>
      <c r="B205" s="1">
        <v>45108</v>
      </c>
      <c r="C205" t="s">
        <v>7</v>
      </c>
      <c r="D205" t="s">
        <v>10</v>
      </c>
      <c r="E205">
        <v>5</v>
      </c>
      <c r="F205">
        <v>13.2</v>
      </c>
      <c r="G205">
        <v>0</v>
      </c>
      <c r="H205">
        <v>0</v>
      </c>
      <c r="I205">
        <f t="shared" si="57"/>
        <v>0</v>
      </c>
      <c r="J205">
        <f t="shared" si="58"/>
        <v>13.2</v>
      </c>
      <c r="K205">
        <f t="shared" si="59"/>
        <v>0.19999999999999929</v>
      </c>
      <c r="L205">
        <f t="shared" si="68"/>
        <v>22.899999999999995</v>
      </c>
      <c r="M205">
        <f t="shared" si="69"/>
        <v>0.36065573770491793</v>
      </c>
      <c r="N205">
        <v>36</v>
      </c>
      <c r="O205">
        <f t="shared" si="60"/>
        <v>7.5</v>
      </c>
      <c r="P205">
        <f t="shared" si="61"/>
        <v>525</v>
      </c>
      <c r="Q205">
        <f t="shared" si="62"/>
        <v>0.61934426229508199</v>
      </c>
      <c r="R205">
        <f t="shared" si="71"/>
        <v>19.693442622950823</v>
      </c>
    </row>
    <row r="206" spans="1:18" x14ac:dyDescent="0.3">
      <c r="A206" t="s">
        <v>2</v>
      </c>
      <c r="B206" s="1">
        <v>45109</v>
      </c>
      <c r="C206" t="s">
        <v>7</v>
      </c>
      <c r="D206" t="s">
        <v>10</v>
      </c>
      <c r="E206">
        <v>5</v>
      </c>
      <c r="F206">
        <v>13</v>
      </c>
      <c r="G206">
        <v>0</v>
      </c>
      <c r="H206">
        <v>0</v>
      </c>
      <c r="I206">
        <f t="shared" si="57"/>
        <v>0</v>
      </c>
      <c r="J206">
        <f t="shared" si="58"/>
        <v>13</v>
      </c>
      <c r="K206">
        <f t="shared" si="59"/>
        <v>0.40000000000000036</v>
      </c>
      <c r="L206">
        <f t="shared" si="68"/>
        <v>23.299999999999997</v>
      </c>
      <c r="M206">
        <f t="shared" si="69"/>
        <v>0.32786885245901642</v>
      </c>
      <c r="N206">
        <v>37</v>
      </c>
      <c r="O206">
        <f t="shared" si="60"/>
        <v>7.5</v>
      </c>
      <c r="P206">
        <f t="shared" si="61"/>
        <v>525</v>
      </c>
      <c r="Q206">
        <f t="shared" si="62"/>
        <v>0.65213114754098356</v>
      </c>
      <c r="R206">
        <f t="shared" si="71"/>
        <v>20.345573770491807</v>
      </c>
    </row>
    <row r="207" spans="1:18" x14ac:dyDescent="0.3">
      <c r="A207" t="s">
        <v>3</v>
      </c>
      <c r="B207" s="1">
        <v>45110</v>
      </c>
      <c r="C207" t="s">
        <v>7</v>
      </c>
      <c r="D207" t="s">
        <v>10</v>
      </c>
      <c r="E207">
        <v>5</v>
      </c>
      <c r="F207">
        <v>12.6</v>
      </c>
      <c r="G207">
        <v>0</v>
      </c>
      <c r="H207">
        <v>0</v>
      </c>
      <c r="I207">
        <f t="shared" si="57"/>
        <v>0</v>
      </c>
      <c r="J207">
        <f t="shared" si="58"/>
        <v>12.6</v>
      </c>
      <c r="K207">
        <f t="shared" si="59"/>
        <v>9.9999999999999645E-2</v>
      </c>
      <c r="L207">
        <f t="shared" si="68"/>
        <v>23.4</v>
      </c>
      <c r="M207">
        <f t="shared" si="69"/>
        <v>0.26229508196721307</v>
      </c>
      <c r="N207">
        <v>38</v>
      </c>
      <c r="O207">
        <f t="shared" si="60"/>
        <v>7.5</v>
      </c>
      <c r="P207">
        <f t="shared" si="61"/>
        <v>525</v>
      </c>
      <c r="Q207">
        <f t="shared" si="62"/>
        <v>0.71770491803278691</v>
      </c>
      <c r="R207">
        <f t="shared" si="71"/>
        <v>21.063278688524594</v>
      </c>
    </row>
    <row r="208" spans="1:18" x14ac:dyDescent="0.3">
      <c r="A208" t="s">
        <v>4</v>
      </c>
      <c r="B208" s="1">
        <v>45111</v>
      </c>
      <c r="C208" t="s">
        <v>7</v>
      </c>
      <c r="D208" t="s">
        <v>10</v>
      </c>
      <c r="E208">
        <v>5</v>
      </c>
      <c r="F208">
        <v>12.5</v>
      </c>
    </row>
    <row r="209" spans="1:18" x14ac:dyDescent="0.3">
      <c r="A209" t="s">
        <v>1</v>
      </c>
      <c r="B209" s="1">
        <v>45073</v>
      </c>
      <c r="C209" t="s">
        <v>7</v>
      </c>
      <c r="D209" t="s">
        <v>10</v>
      </c>
      <c r="E209">
        <v>6</v>
      </c>
      <c r="F209">
        <v>17</v>
      </c>
      <c r="G209">
        <v>0</v>
      </c>
      <c r="H209">
        <v>0</v>
      </c>
      <c r="I209">
        <f>H209+G209</f>
        <v>0</v>
      </c>
      <c r="J209">
        <f>I209+F209</f>
        <v>17</v>
      </c>
      <c r="K209">
        <f>J209-F210</f>
        <v>0.60000000000000142</v>
      </c>
      <c r="M209">
        <f t="shared" si="69"/>
        <v>0.98360655737704927</v>
      </c>
      <c r="N209">
        <v>1</v>
      </c>
      <c r="O209">
        <v>2.5</v>
      </c>
      <c r="P209">
        <f>O209*70</f>
        <v>175</v>
      </c>
    </row>
    <row r="210" spans="1:18" x14ac:dyDescent="0.3">
      <c r="A210" t="s">
        <v>2</v>
      </c>
      <c r="B210" s="1">
        <v>45074</v>
      </c>
      <c r="C210" t="s">
        <v>7</v>
      </c>
      <c r="D210" t="s">
        <v>10</v>
      </c>
      <c r="E210">
        <v>6</v>
      </c>
      <c r="F210">
        <v>16.399999999999999</v>
      </c>
      <c r="G210">
        <v>0</v>
      </c>
      <c r="H210">
        <v>0</v>
      </c>
      <c r="I210">
        <f t="shared" ref="I210:I246" si="72">H210+G210</f>
        <v>0</v>
      </c>
      <c r="J210">
        <f t="shared" ref="J210:J246" si="73">I210+F210</f>
        <v>16.399999999999999</v>
      </c>
      <c r="K210">
        <f t="shared" ref="K210:K246" si="74">J210-F211</f>
        <v>0.39999999999999858</v>
      </c>
      <c r="L210">
        <f>K209+K210</f>
        <v>1</v>
      </c>
      <c r="M210">
        <f t="shared" si="69"/>
        <v>0.88524590163934413</v>
      </c>
      <c r="N210">
        <v>2</v>
      </c>
      <c r="O210">
        <f t="shared" ref="O210:O246" si="75">O209+G210</f>
        <v>2.5</v>
      </c>
      <c r="P210">
        <f t="shared" si="61"/>
        <v>175</v>
      </c>
      <c r="Q210">
        <f t="shared" ref="Q210:Q246" si="76">0.98-M210</f>
        <v>9.4754098360655847E-2</v>
      </c>
      <c r="R210">
        <f>Q209+Q210</f>
        <v>9.4754098360655847E-2</v>
      </c>
    </row>
    <row r="211" spans="1:18" x14ac:dyDescent="0.3">
      <c r="A211" t="s">
        <v>3</v>
      </c>
      <c r="B211" s="1">
        <v>45075</v>
      </c>
      <c r="C211" t="s">
        <v>7</v>
      </c>
      <c r="D211" t="s">
        <v>10</v>
      </c>
      <c r="E211">
        <v>6</v>
      </c>
      <c r="F211">
        <v>16</v>
      </c>
      <c r="G211">
        <v>0.25</v>
      </c>
      <c r="H211">
        <v>0</v>
      </c>
      <c r="I211">
        <f t="shared" si="72"/>
        <v>0.25</v>
      </c>
      <c r="J211">
        <f t="shared" si="73"/>
        <v>16.25</v>
      </c>
      <c r="K211">
        <f t="shared" si="74"/>
        <v>0.65000000000000036</v>
      </c>
      <c r="L211">
        <f>L210+K211</f>
        <v>1.6500000000000004</v>
      </c>
      <c r="M211">
        <f t="shared" si="69"/>
        <v>0.8606557377049181</v>
      </c>
      <c r="N211">
        <v>3</v>
      </c>
      <c r="O211">
        <f t="shared" si="75"/>
        <v>2.75</v>
      </c>
      <c r="P211">
        <f t="shared" si="61"/>
        <v>192.5</v>
      </c>
      <c r="Q211">
        <f t="shared" si="76"/>
        <v>0.11934426229508188</v>
      </c>
      <c r="R211">
        <f>R210+Q211</f>
        <v>0.21409836065573773</v>
      </c>
    </row>
    <row r="212" spans="1:18" x14ac:dyDescent="0.3">
      <c r="A212" t="s">
        <v>4</v>
      </c>
      <c r="B212" s="1">
        <v>45076</v>
      </c>
      <c r="C212" t="s">
        <v>7</v>
      </c>
      <c r="D212" t="s">
        <v>10</v>
      </c>
      <c r="E212">
        <v>6</v>
      </c>
      <c r="F212">
        <v>15.6</v>
      </c>
      <c r="G212">
        <v>0.25</v>
      </c>
      <c r="H212">
        <v>0</v>
      </c>
      <c r="I212">
        <f t="shared" si="72"/>
        <v>0.25</v>
      </c>
      <c r="J212">
        <f t="shared" si="73"/>
        <v>15.85</v>
      </c>
      <c r="K212">
        <f t="shared" si="74"/>
        <v>0.75</v>
      </c>
      <c r="L212">
        <f t="shared" ref="L212:L232" si="77">L211+K212</f>
        <v>2.4000000000000004</v>
      </c>
      <c r="M212">
        <f t="shared" si="69"/>
        <v>0.79508196721311475</v>
      </c>
      <c r="N212">
        <v>4</v>
      </c>
      <c r="O212">
        <f t="shared" si="75"/>
        <v>3</v>
      </c>
      <c r="P212">
        <f t="shared" si="61"/>
        <v>210</v>
      </c>
      <c r="Q212">
        <f t="shared" si="76"/>
        <v>0.18491803278688523</v>
      </c>
      <c r="R212">
        <f t="shared" ref="R212:R235" si="78">R211+Q212</f>
        <v>0.39901639344262296</v>
      </c>
    </row>
    <row r="213" spans="1:18" x14ac:dyDescent="0.3">
      <c r="A213" t="s">
        <v>5</v>
      </c>
      <c r="B213" s="1">
        <v>45077</v>
      </c>
      <c r="C213" t="s">
        <v>7</v>
      </c>
      <c r="D213" t="s">
        <v>10</v>
      </c>
      <c r="E213">
        <v>6</v>
      </c>
      <c r="F213">
        <v>15.1</v>
      </c>
      <c r="G213">
        <v>0</v>
      </c>
      <c r="H213">
        <v>0</v>
      </c>
      <c r="I213">
        <f t="shared" si="72"/>
        <v>0</v>
      </c>
      <c r="J213">
        <f t="shared" si="73"/>
        <v>15.1</v>
      </c>
      <c r="K213">
        <f t="shared" si="74"/>
        <v>0.5</v>
      </c>
      <c r="L213">
        <f t="shared" si="77"/>
        <v>2.9000000000000004</v>
      </c>
      <c r="M213">
        <f t="shared" si="69"/>
        <v>0.67213114754098358</v>
      </c>
      <c r="N213">
        <v>5</v>
      </c>
      <c r="O213">
        <f t="shared" si="75"/>
        <v>3</v>
      </c>
      <c r="P213">
        <f t="shared" si="61"/>
        <v>210</v>
      </c>
      <c r="Q213">
        <f t="shared" si="76"/>
        <v>0.30786885245901641</v>
      </c>
      <c r="R213">
        <f t="shared" si="78"/>
        <v>0.70688524590163937</v>
      </c>
    </row>
    <row r="214" spans="1:18" x14ac:dyDescent="0.3">
      <c r="A214" t="s">
        <v>6</v>
      </c>
      <c r="B214" s="1">
        <v>45078</v>
      </c>
      <c r="C214" t="s">
        <v>7</v>
      </c>
      <c r="D214" t="s">
        <v>10</v>
      </c>
      <c r="E214">
        <v>6</v>
      </c>
      <c r="F214">
        <v>14.6</v>
      </c>
      <c r="G214">
        <v>0.25</v>
      </c>
      <c r="H214">
        <v>0</v>
      </c>
      <c r="I214">
        <f t="shared" si="72"/>
        <v>0.25</v>
      </c>
      <c r="J214">
        <f t="shared" si="73"/>
        <v>14.85</v>
      </c>
      <c r="K214">
        <f t="shared" si="74"/>
        <v>0.34999999999999964</v>
      </c>
      <c r="L214">
        <f t="shared" si="77"/>
        <v>3.25</v>
      </c>
      <c r="M214">
        <f t="shared" si="69"/>
        <v>0.63114754098360648</v>
      </c>
      <c r="N214">
        <v>6</v>
      </c>
      <c r="O214">
        <f t="shared" si="75"/>
        <v>3.25</v>
      </c>
      <c r="P214">
        <f t="shared" si="61"/>
        <v>227.5</v>
      </c>
      <c r="Q214">
        <f t="shared" si="76"/>
        <v>0.3488524590163935</v>
      </c>
      <c r="R214">
        <f t="shared" si="78"/>
        <v>1.055737704918033</v>
      </c>
    </row>
    <row r="215" spans="1:18" x14ac:dyDescent="0.3">
      <c r="A215" t="s">
        <v>0</v>
      </c>
      <c r="B215" s="1">
        <v>45079</v>
      </c>
      <c r="C215" t="s">
        <v>7</v>
      </c>
      <c r="D215" t="s">
        <v>10</v>
      </c>
      <c r="E215">
        <v>6</v>
      </c>
      <c r="F215">
        <v>14.5</v>
      </c>
      <c r="G215">
        <v>0.25</v>
      </c>
      <c r="H215">
        <v>0</v>
      </c>
      <c r="I215">
        <f t="shared" si="72"/>
        <v>0.25</v>
      </c>
      <c r="J215">
        <f t="shared" si="73"/>
        <v>14.75</v>
      </c>
      <c r="K215">
        <f t="shared" si="74"/>
        <v>0.34999999999999964</v>
      </c>
      <c r="L215">
        <f t="shared" si="77"/>
        <v>3.5999999999999996</v>
      </c>
      <c r="M215">
        <f t="shared" si="69"/>
        <v>0.61475409836065575</v>
      </c>
      <c r="N215">
        <v>7</v>
      </c>
      <c r="O215">
        <f t="shared" si="75"/>
        <v>3.5</v>
      </c>
      <c r="P215">
        <f t="shared" si="61"/>
        <v>245</v>
      </c>
      <c r="Q215">
        <f t="shared" si="76"/>
        <v>0.36524590163934423</v>
      </c>
      <c r="R215">
        <f t="shared" si="78"/>
        <v>1.4209836065573773</v>
      </c>
    </row>
    <row r="216" spans="1:18" x14ac:dyDescent="0.3">
      <c r="A216" t="s">
        <v>1</v>
      </c>
      <c r="B216" s="1">
        <v>45080</v>
      </c>
      <c r="C216" t="s">
        <v>7</v>
      </c>
      <c r="D216" t="s">
        <v>10</v>
      </c>
      <c r="E216">
        <v>6</v>
      </c>
      <c r="F216">
        <v>14.4</v>
      </c>
      <c r="G216">
        <v>0</v>
      </c>
      <c r="H216">
        <v>0</v>
      </c>
      <c r="I216">
        <f t="shared" si="72"/>
        <v>0</v>
      </c>
      <c r="J216">
        <f t="shared" si="73"/>
        <v>14.4</v>
      </c>
      <c r="K216">
        <f t="shared" si="74"/>
        <v>0.40000000000000036</v>
      </c>
      <c r="L216">
        <f t="shared" si="77"/>
        <v>4</v>
      </c>
      <c r="M216">
        <f t="shared" si="69"/>
        <v>0.55737704918032793</v>
      </c>
      <c r="N216">
        <v>8</v>
      </c>
      <c r="O216">
        <f t="shared" si="75"/>
        <v>3.5</v>
      </c>
      <c r="P216">
        <f t="shared" si="61"/>
        <v>245</v>
      </c>
      <c r="Q216">
        <f t="shared" si="76"/>
        <v>0.42262295081967205</v>
      </c>
      <c r="R216">
        <f t="shared" si="78"/>
        <v>1.8436065573770493</v>
      </c>
    </row>
    <row r="217" spans="1:18" x14ac:dyDescent="0.3">
      <c r="A217" t="s">
        <v>2</v>
      </c>
      <c r="B217" s="1">
        <v>45081</v>
      </c>
      <c r="C217" t="s">
        <v>7</v>
      </c>
      <c r="D217" t="s">
        <v>10</v>
      </c>
      <c r="E217">
        <v>6</v>
      </c>
      <c r="F217">
        <v>14</v>
      </c>
      <c r="G217">
        <v>0</v>
      </c>
      <c r="H217">
        <v>0</v>
      </c>
      <c r="I217">
        <f t="shared" si="72"/>
        <v>0</v>
      </c>
      <c r="J217">
        <f t="shared" si="73"/>
        <v>14</v>
      </c>
      <c r="K217">
        <f t="shared" si="74"/>
        <v>0.59999999999999964</v>
      </c>
      <c r="L217">
        <f t="shared" si="77"/>
        <v>4.5999999999999996</v>
      </c>
      <c r="M217">
        <f t="shared" si="69"/>
        <v>0.49180327868852464</v>
      </c>
      <c r="N217">
        <v>9</v>
      </c>
      <c r="O217">
        <f t="shared" si="75"/>
        <v>3.5</v>
      </c>
      <c r="P217">
        <f t="shared" si="61"/>
        <v>245</v>
      </c>
      <c r="Q217">
        <f t="shared" si="76"/>
        <v>0.48819672131147535</v>
      </c>
      <c r="R217">
        <f t="shared" si="78"/>
        <v>2.3318032786885245</v>
      </c>
    </row>
    <row r="218" spans="1:18" x14ac:dyDescent="0.3">
      <c r="A218" t="s">
        <v>3</v>
      </c>
      <c r="B218" s="1">
        <v>45082</v>
      </c>
      <c r="C218" t="s">
        <v>7</v>
      </c>
      <c r="D218" t="s">
        <v>10</v>
      </c>
      <c r="E218">
        <v>6</v>
      </c>
      <c r="F218">
        <v>13.4</v>
      </c>
      <c r="G218">
        <v>0.25</v>
      </c>
      <c r="H218">
        <v>0</v>
      </c>
      <c r="I218">
        <f t="shared" si="72"/>
        <v>0.25</v>
      </c>
      <c r="J218">
        <f t="shared" si="73"/>
        <v>13.65</v>
      </c>
      <c r="K218">
        <f t="shared" si="74"/>
        <v>0.34999999999999964</v>
      </c>
      <c r="L218">
        <f t="shared" si="77"/>
        <v>4.9499999999999993</v>
      </c>
      <c r="M218">
        <f t="shared" si="69"/>
        <v>0.43442622950819682</v>
      </c>
      <c r="N218">
        <v>10</v>
      </c>
      <c r="O218">
        <f t="shared" si="75"/>
        <v>3.75</v>
      </c>
      <c r="P218">
        <f t="shared" si="61"/>
        <v>262.5</v>
      </c>
      <c r="Q218">
        <f t="shared" si="76"/>
        <v>0.54557377049180311</v>
      </c>
      <c r="R218">
        <f t="shared" si="78"/>
        <v>2.8773770491803274</v>
      </c>
    </row>
    <row r="219" spans="1:18" x14ac:dyDescent="0.3">
      <c r="A219" t="s">
        <v>4</v>
      </c>
      <c r="B219" s="1">
        <v>45083</v>
      </c>
      <c r="C219" t="s">
        <v>7</v>
      </c>
      <c r="D219" t="s">
        <v>10</v>
      </c>
      <c r="E219">
        <v>6</v>
      </c>
      <c r="F219">
        <v>13.3</v>
      </c>
      <c r="G219">
        <v>0.25</v>
      </c>
      <c r="H219">
        <v>0</v>
      </c>
      <c r="I219">
        <f t="shared" si="72"/>
        <v>0.25</v>
      </c>
      <c r="J219">
        <f t="shared" si="73"/>
        <v>13.55</v>
      </c>
      <c r="K219">
        <f t="shared" si="74"/>
        <v>0.65000000000000036</v>
      </c>
      <c r="L219">
        <f t="shared" si="77"/>
        <v>5.6</v>
      </c>
      <c r="M219">
        <f t="shared" si="69"/>
        <v>0.41803278688524603</v>
      </c>
      <c r="N219">
        <v>11</v>
      </c>
      <c r="O219">
        <f t="shared" si="75"/>
        <v>4</v>
      </c>
      <c r="P219">
        <f t="shared" si="61"/>
        <v>280</v>
      </c>
      <c r="Q219">
        <f t="shared" si="76"/>
        <v>0.56196721311475395</v>
      </c>
      <c r="R219">
        <f t="shared" si="78"/>
        <v>3.4393442622950814</v>
      </c>
    </row>
    <row r="220" spans="1:18" x14ac:dyDescent="0.3">
      <c r="A220" t="s">
        <v>5</v>
      </c>
      <c r="B220" s="1">
        <v>45084</v>
      </c>
      <c r="C220" t="s">
        <v>7</v>
      </c>
      <c r="D220" t="s">
        <v>10</v>
      </c>
      <c r="E220">
        <v>6</v>
      </c>
      <c r="F220">
        <v>12.9</v>
      </c>
      <c r="G220">
        <v>0</v>
      </c>
      <c r="H220">
        <f t="shared" ref="H220:H227" si="79">13-F220-G220</f>
        <v>9.9999999999999645E-2</v>
      </c>
      <c r="I220">
        <f t="shared" si="72"/>
        <v>9.9999999999999645E-2</v>
      </c>
      <c r="J220">
        <f t="shared" si="73"/>
        <v>13</v>
      </c>
      <c r="K220">
        <f t="shared" si="74"/>
        <v>0.59999999999999964</v>
      </c>
      <c r="L220">
        <f t="shared" si="77"/>
        <v>6.1999999999999993</v>
      </c>
      <c r="M220">
        <f t="shared" si="69"/>
        <v>0.32786885245901642</v>
      </c>
      <c r="N220">
        <v>12</v>
      </c>
      <c r="O220">
        <f t="shared" si="75"/>
        <v>4</v>
      </c>
      <c r="P220">
        <f t="shared" si="61"/>
        <v>280</v>
      </c>
      <c r="Q220">
        <f t="shared" si="76"/>
        <v>0.65213114754098356</v>
      </c>
      <c r="R220">
        <f t="shared" si="78"/>
        <v>4.0914754098360646</v>
      </c>
    </row>
    <row r="221" spans="1:18" x14ac:dyDescent="0.3">
      <c r="A221" t="s">
        <v>6</v>
      </c>
      <c r="B221" s="1">
        <v>45085</v>
      </c>
      <c r="C221" t="s">
        <v>7</v>
      </c>
      <c r="D221" t="s">
        <v>10</v>
      </c>
      <c r="E221">
        <v>6</v>
      </c>
      <c r="F221">
        <v>12.4</v>
      </c>
      <c r="G221">
        <v>0.25</v>
      </c>
      <c r="H221">
        <f t="shared" si="79"/>
        <v>0.34999999999999964</v>
      </c>
      <c r="I221">
        <f t="shared" si="72"/>
        <v>0.59999999999999964</v>
      </c>
      <c r="J221">
        <f t="shared" si="73"/>
        <v>13</v>
      </c>
      <c r="K221">
        <f t="shared" si="74"/>
        <v>0.5</v>
      </c>
      <c r="L221">
        <f t="shared" si="77"/>
        <v>6.6999999999999993</v>
      </c>
      <c r="M221">
        <f t="shared" si="69"/>
        <v>0.32786885245901642</v>
      </c>
      <c r="N221">
        <v>13</v>
      </c>
      <c r="O221">
        <f t="shared" si="75"/>
        <v>4.25</v>
      </c>
      <c r="P221">
        <f t="shared" si="61"/>
        <v>297.5</v>
      </c>
      <c r="Q221">
        <f t="shared" si="76"/>
        <v>0.65213114754098356</v>
      </c>
      <c r="R221">
        <f t="shared" si="78"/>
        <v>4.7436065573770483</v>
      </c>
    </row>
    <row r="222" spans="1:18" x14ac:dyDescent="0.3">
      <c r="A222" t="s">
        <v>0</v>
      </c>
      <c r="B222" s="1">
        <v>45086</v>
      </c>
      <c r="C222" t="s">
        <v>7</v>
      </c>
      <c r="D222" t="s">
        <v>10</v>
      </c>
      <c r="E222">
        <v>6</v>
      </c>
      <c r="F222">
        <v>12.5</v>
      </c>
      <c r="G222">
        <v>0.25</v>
      </c>
      <c r="H222">
        <f t="shared" si="79"/>
        <v>0.25</v>
      </c>
      <c r="I222">
        <f t="shared" si="72"/>
        <v>0.5</v>
      </c>
      <c r="J222">
        <f t="shared" si="73"/>
        <v>13</v>
      </c>
      <c r="K222">
        <f t="shared" si="74"/>
        <v>0.59999999999999964</v>
      </c>
      <c r="L222">
        <f t="shared" si="77"/>
        <v>7.2999999999999989</v>
      </c>
      <c r="M222">
        <f t="shared" si="69"/>
        <v>0.32786885245901642</v>
      </c>
      <c r="N222">
        <v>14</v>
      </c>
      <c r="O222">
        <f t="shared" si="75"/>
        <v>4.5</v>
      </c>
      <c r="P222">
        <f t="shared" si="61"/>
        <v>315</v>
      </c>
      <c r="Q222">
        <f t="shared" si="76"/>
        <v>0.65213114754098356</v>
      </c>
      <c r="R222">
        <f t="shared" si="78"/>
        <v>5.395737704918032</v>
      </c>
    </row>
    <row r="223" spans="1:18" x14ac:dyDescent="0.3">
      <c r="A223" t="s">
        <v>1</v>
      </c>
      <c r="B223" s="1">
        <v>45087</v>
      </c>
      <c r="C223" t="s">
        <v>7</v>
      </c>
      <c r="D223" t="s">
        <v>10</v>
      </c>
      <c r="E223">
        <v>6</v>
      </c>
      <c r="F223">
        <v>12.4</v>
      </c>
      <c r="G223">
        <v>0</v>
      </c>
      <c r="H223">
        <f t="shared" si="79"/>
        <v>0.59999999999999964</v>
      </c>
      <c r="I223">
        <f t="shared" si="72"/>
        <v>0.59999999999999964</v>
      </c>
      <c r="J223">
        <f t="shared" si="73"/>
        <v>13</v>
      </c>
      <c r="K223">
        <f t="shared" si="74"/>
        <v>0.59999999999999964</v>
      </c>
      <c r="L223">
        <f t="shared" si="77"/>
        <v>7.8999999999999986</v>
      </c>
      <c r="M223">
        <f t="shared" si="69"/>
        <v>0.32786885245901642</v>
      </c>
      <c r="N223">
        <v>15</v>
      </c>
      <c r="O223">
        <f t="shared" si="75"/>
        <v>4.5</v>
      </c>
      <c r="P223">
        <f t="shared" si="61"/>
        <v>315</v>
      </c>
      <c r="Q223">
        <f t="shared" si="76"/>
        <v>0.65213114754098356</v>
      </c>
      <c r="R223">
        <f t="shared" si="78"/>
        <v>6.0478688524590156</v>
      </c>
    </row>
    <row r="224" spans="1:18" x14ac:dyDescent="0.3">
      <c r="A224" t="s">
        <v>2</v>
      </c>
      <c r="B224" s="1">
        <v>45088</v>
      </c>
      <c r="C224" t="s">
        <v>7</v>
      </c>
      <c r="D224" t="s">
        <v>10</v>
      </c>
      <c r="E224">
        <v>6</v>
      </c>
      <c r="F224">
        <v>12.4</v>
      </c>
      <c r="G224">
        <v>0</v>
      </c>
      <c r="H224">
        <f t="shared" si="79"/>
        <v>0.59999999999999964</v>
      </c>
      <c r="I224">
        <f t="shared" si="72"/>
        <v>0.59999999999999964</v>
      </c>
      <c r="J224">
        <f t="shared" si="73"/>
        <v>13</v>
      </c>
      <c r="K224">
        <f t="shared" si="74"/>
        <v>0.5</v>
      </c>
      <c r="L224">
        <f t="shared" si="77"/>
        <v>8.3999999999999986</v>
      </c>
      <c r="M224">
        <f t="shared" si="69"/>
        <v>0.32786885245901642</v>
      </c>
      <c r="N224">
        <v>16</v>
      </c>
      <c r="O224">
        <f t="shared" si="75"/>
        <v>4.5</v>
      </c>
      <c r="P224">
        <f t="shared" si="61"/>
        <v>315</v>
      </c>
      <c r="Q224">
        <f t="shared" si="76"/>
        <v>0.65213114754098356</v>
      </c>
      <c r="R224">
        <f t="shared" si="78"/>
        <v>6.6999999999999993</v>
      </c>
    </row>
    <row r="225" spans="1:18" x14ac:dyDescent="0.3">
      <c r="A225" t="s">
        <v>3</v>
      </c>
      <c r="B225" s="1">
        <v>45089</v>
      </c>
      <c r="C225" t="s">
        <v>7</v>
      </c>
      <c r="D225" t="s">
        <v>10</v>
      </c>
      <c r="E225">
        <v>6</v>
      </c>
      <c r="F225">
        <v>12.5</v>
      </c>
      <c r="G225">
        <v>0.5</v>
      </c>
      <c r="H225">
        <f t="shared" si="79"/>
        <v>0</v>
      </c>
      <c r="I225">
        <f t="shared" si="72"/>
        <v>0.5</v>
      </c>
      <c r="J225">
        <f t="shared" si="73"/>
        <v>13</v>
      </c>
      <c r="K225">
        <f t="shared" si="74"/>
        <v>0.30000000000000071</v>
      </c>
      <c r="L225">
        <f t="shared" si="77"/>
        <v>8.6999999999999993</v>
      </c>
      <c r="M225">
        <f t="shared" si="69"/>
        <v>0.32786885245901642</v>
      </c>
      <c r="N225">
        <v>17</v>
      </c>
      <c r="O225">
        <f t="shared" si="75"/>
        <v>5</v>
      </c>
      <c r="P225">
        <f t="shared" si="61"/>
        <v>350</v>
      </c>
      <c r="Q225">
        <f t="shared" si="76"/>
        <v>0.65213114754098356</v>
      </c>
      <c r="R225">
        <f t="shared" si="78"/>
        <v>7.352131147540983</v>
      </c>
    </row>
    <row r="226" spans="1:18" x14ac:dyDescent="0.3">
      <c r="A226" t="s">
        <v>4</v>
      </c>
      <c r="B226" s="1">
        <v>45090</v>
      </c>
      <c r="C226" t="s">
        <v>7</v>
      </c>
      <c r="D226" t="s">
        <v>10</v>
      </c>
      <c r="E226">
        <v>6</v>
      </c>
      <c r="F226">
        <v>12.7</v>
      </c>
      <c r="G226">
        <v>0</v>
      </c>
      <c r="H226">
        <f t="shared" si="79"/>
        <v>0.30000000000000071</v>
      </c>
      <c r="I226">
        <f t="shared" si="72"/>
        <v>0.30000000000000071</v>
      </c>
      <c r="J226">
        <f t="shared" si="73"/>
        <v>13</v>
      </c>
      <c r="K226">
        <f t="shared" si="74"/>
        <v>0.5</v>
      </c>
      <c r="L226">
        <f t="shared" si="77"/>
        <v>9.1999999999999993</v>
      </c>
      <c r="M226">
        <f t="shared" si="69"/>
        <v>0.32786885245901642</v>
      </c>
      <c r="N226">
        <v>18</v>
      </c>
      <c r="O226">
        <f t="shared" si="75"/>
        <v>5</v>
      </c>
      <c r="P226">
        <f t="shared" si="61"/>
        <v>350</v>
      </c>
      <c r="Q226">
        <f t="shared" si="76"/>
        <v>0.65213114754098356</v>
      </c>
      <c r="R226">
        <f t="shared" si="78"/>
        <v>8.0042622950819666</v>
      </c>
    </row>
    <row r="227" spans="1:18" x14ac:dyDescent="0.3">
      <c r="A227" t="s">
        <v>5</v>
      </c>
      <c r="B227" s="1">
        <v>45091</v>
      </c>
      <c r="C227" t="s">
        <v>7</v>
      </c>
      <c r="D227" t="s">
        <v>10</v>
      </c>
      <c r="E227">
        <v>6</v>
      </c>
      <c r="F227">
        <v>12.5</v>
      </c>
      <c r="G227">
        <v>0</v>
      </c>
      <c r="H227">
        <f t="shared" si="79"/>
        <v>0.5</v>
      </c>
      <c r="I227">
        <f t="shared" si="72"/>
        <v>0.5</v>
      </c>
      <c r="J227">
        <f t="shared" si="73"/>
        <v>13</v>
      </c>
      <c r="K227">
        <f t="shared" si="74"/>
        <v>0.5</v>
      </c>
      <c r="L227">
        <f t="shared" si="77"/>
        <v>9.6999999999999993</v>
      </c>
      <c r="M227">
        <f t="shared" si="69"/>
        <v>0.32786885245901642</v>
      </c>
      <c r="N227">
        <v>19</v>
      </c>
      <c r="O227">
        <f t="shared" si="75"/>
        <v>5</v>
      </c>
      <c r="P227">
        <f t="shared" si="61"/>
        <v>350</v>
      </c>
      <c r="Q227">
        <f t="shared" si="76"/>
        <v>0.65213114754098356</v>
      </c>
      <c r="R227">
        <f t="shared" si="78"/>
        <v>8.6563934426229494</v>
      </c>
    </row>
    <row r="228" spans="1:18" x14ac:dyDescent="0.3">
      <c r="A228" t="s">
        <v>6</v>
      </c>
      <c r="B228" s="1">
        <v>45092</v>
      </c>
      <c r="C228" t="s">
        <v>7</v>
      </c>
      <c r="D228" t="s">
        <v>10</v>
      </c>
      <c r="E228">
        <v>6</v>
      </c>
      <c r="F228">
        <v>12.5</v>
      </c>
      <c r="G228">
        <v>0</v>
      </c>
      <c r="H228">
        <v>0</v>
      </c>
      <c r="I228">
        <f t="shared" si="72"/>
        <v>0</v>
      </c>
      <c r="J228">
        <f t="shared" si="73"/>
        <v>12.5</v>
      </c>
      <c r="K228">
        <f t="shared" si="74"/>
        <v>0.69999999999999929</v>
      </c>
      <c r="L228">
        <f t="shared" si="77"/>
        <v>10.399999999999999</v>
      </c>
      <c r="M228">
        <f t="shared" si="69"/>
        <v>0.24590163934426232</v>
      </c>
      <c r="N228">
        <v>20</v>
      </c>
      <c r="O228">
        <f t="shared" si="75"/>
        <v>5</v>
      </c>
      <c r="P228">
        <f t="shared" si="61"/>
        <v>350</v>
      </c>
      <c r="Q228">
        <f t="shared" si="76"/>
        <v>0.73409836065573764</v>
      </c>
      <c r="R228">
        <f t="shared" si="78"/>
        <v>9.390491803278687</v>
      </c>
    </row>
    <row r="229" spans="1:18" x14ac:dyDescent="0.3">
      <c r="A229" t="s">
        <v>0</v>
      </c>
      <c r="B229" s="1">
        <v>45093</v>
      </c>
      <c r="C229" t="s">
        <v>7</v>
      </c>
      <c r="D229" t="s">
        <v>10</v>
      </c>
      <c r="E229">
        <v>6</v>
      </c>
      <c r="F229">
        <v>11.8</v>
      </c>
      <c r="G229">
        <v>0.5</v>
      </c>
      <c r="H229">
        <v>0</v>
      </c>
      <c r="I229">
        <f t="shared" si="72"/>
        <v>0.5</v>
      </c>
      <c r="J229">
        <f t="shared" si="73"/>
        <v>12.3</v>
      </c>
      <c r="K229">
        <f t="shared" si="74"/>
        <v>0.80000000000000071</v>
      </c>
      <c r="L229">
        <f t="shared" si="77"/>
        <v>11.2</v>
      </c>
      <c r="M229">
        <f t="shared" si="69"/>
        <v>0.21311475409836078</v>
      </c>
      <c r="N229">
        <v>21</v>
      </c>
      <c r="O229">
        <f t="shared" si="75"/>
        <v>5.5</v>
      </c>
      <c r="P229">
        <f t="shared" si="61"/>
        <v>385</v>
      </c>
      <c r="Q229">
        <f t="shared" si="76"/>
        <v>0.7668852459016392</v>
      </c>
      <c r="R229">
        <f t="shared" si="78"/>
        <v>10.157377049180326</v>
      </c>
    </row>
    <row r="230" spans="1:18" x14ac:dyDescent="0.3">
      <c r="A230" t="s">
        <v>1</v>
      </c>
      <c r="B230" s="1">
        <v>45094</v>
      </c>
      <c r="C230" t="s">
        <v>7</v>
      </c>
      <c r="D230" t="s">
        <v>10</v>
      </c>
      <c r="E230">
        <v>6</v>
      </c>
      <c r="F230">
        <v>11.5</v>
      </c>
      <c r="G230">
        <v>0</v>
      </c>
      <c r="H230">
        <f>12.2-F230-G230</f>
        <v>0.69999999999999929</v>
      </c>
      <c r="I230">
        <f t="shared" si="72"/>
        <v>0.69999999999999929</v>
      </c>
      <c r="J230">
        <f t="shared" si="73"/>
        <v>12.2</v>
      </c>
      <c r="K230">
        <f t="shared" si="74"/>
        <v>0.69999999999999929</v>
      </c>
      <c r="L230">
        <f t="shared" si="77"/>
        <v>11.899999999999999</v>
      </c>
      <c r="M230">
        <f t="shared" si="69"/>
        <v>0.19672131147540972</v>
      </c>
      <c r="N230">
        <v>22</v>
      </c>
      <c r="O230">
        <f t="shared" si="75"/>
        <v>5.5</v>
      </c>
      <c r="P230">
        <f t="shared" si="61"/>
        <v>385</v>
      </c>
      <c r="Q230">
        <f t="shared" si="76"/>
        <v>0.78327868852459026</v>
      </c>
      <c r="R230">
        <f t="shared" si="78"/>
        <v>10.940655737704915</v>
      </c>
    </row>
    <row r="231" spans="1:18" x14ac:dyDescent="0.3">
      <c r="A231" t="s">
        <v>2</v>
      </c>
      <c r="B231" s="1">
        <v>45095</v>
      </c>
      <c r="C231" t="s">
        <v>7</v>
      </c>
      <c r="D231" t="s">
        <v>10</v>
      </c>
      <c r="E231">
        <v>6</v>
      </c>
      <c r="F231">
        <v>11.5</v>
      </c>
      <c r="G231">
        <v>0</v>
      </c>
      <c r="H231">
        <f t="shared" ref="H231:H232" si="80">12.2-F231-G231</f>
        <v>0.69999999999999929</v>
      </c>
      <c r="I231">
        <f t="shared" si="72"/>
        <v>0.69999999999999929</v>
      </c>
      <c r="J231">
        <f t="shared" si="73"/>
        <v>12.2</v>
      </c>
      <c r="K231">
        <f t="shared" si="74"/>
        <v>1.0999999999999996</v>
      </c>
      <c r="L231">
        <f t="shared" si="77"/>
        <v>12.999999999999998</v>
      </c>
      <c r="M231">
        <f t="shared" si="69"/>
        <v>0.19672131147540972</v>
      </c>
      <c r="N231">
        <v>23</v>
      </c>
      <c r="O231">
        <f t="shared" si="75"/>
        <v>5.5</v>
      </c>
      <c r="P231">
        <f t="shared" si="61"/>
        <v>385</v>
      </c>
      <c r="Q231">
        <f t="shared" si="76"/>
        <v>0.78327868852459026</v>
      </c>
      <c r="R231">
        <f t="shared" si="78"/>
        <v>11.723934426229505</v>
      </c>
    </row>
    <row r="232" spans="1:18" x14ac:dyDescent="0.3">
      <c r="A232" t="s">
        <v>3</v>
      </c>
      <c r="B232" s="1">
        <v>45096</v>
      </c>
      <c r="C232" t="s">
        <v>7</v>
      </c>
      <c r="D232" t="s">
        <v>10</v>
      </c>
      <c r="E232">
        <v>6</v>
      </c>
      <c r="F232">
        <v>11.1</v>
      </c>
      <c r="G232">
        <v>0.5</v>
      </c>
      <c r="H232">
        <f t="shared" si="80"/>
        <v>0.59999999999999964</v>
      </c>
      <c r="I232">
        <f t="shared" si="72"/>
        <v>1.0999999999999996</v>
      </c>
      <c r="J232">
        <f t="shared" si="73"/>
        <v>12.2</v>
      </c>
      <c r="K232">
        <f t="shared" si="74"/>
        <v>0.69999999999999929</v>
      </c>
      <c r="L232">
        <f t="shared" si="77"/>
        <v>13.699999999999998</v>
      </c>
      <c r="M232">
        <f t="shared" si="69"/>
        <v>0.19672131147540972</v>
      </c>
      <c r="N232">
        <v>24</v>
      </c>
      <c r="O232">
        <f t="shared" si="75"/>
        <v>6</v>
      </c>
      <c r="P232">
        <f t="shared" si="61"/>
        <v>420</v>
      </c>
      <c r="Q232">
        <f t="shared" si="76"/>
        <v>0.78327868852459026</v>
      </c>
      <c r="R232">
        <f t="shared" si="78"/>
        <v>12.507213114754094</v>
      </c>
    </row>
    <row r="233" spans="1:18" x14ac:dyDescent="0.3">
      <c r="A233" t="s">
        <v>4</v>
      </c>
      <c r="B233" s="1">
        <v>45097</v>
      </c>
      <c r="C233" t="s">
        <v>7</v>
      </c>
      <c r="D233" t="s">
        <v>10</v>
      </c>
      <c r="E233">
        <v>6</v>
      </c>
      <c r="F233">
        <v>11.5</v>
      </c>
      <c r="G233">
        <v>0</v>
      </c>
      <c r="H233">
        <f>12.2-F233-G233</f>
        <v>0.69999999999999929</v>
      </c>
      <c r="I233">
        <f t="shared" si="72"/>
        <v>0.69999999999999929</v>
      </c>
      <c r="J233">
        <f t="shared" si="73"/>
        <v>12.2</v>
      </c>
      <c r="K233">
        <f t="shared" si="74"/>
        <v>0.69999999999999929</v>
      </c>
      <c r="L233">
        <f>L232+K233</f>
        <v>14.399999999999997</v>
      </c>
      <c r="M233">
        <f t="shared" si="69"/>
        <v>0.19672131147540972</v>
      </c>
      <c r="N233">
        <v>25</v>
      </c>
      <c r="O233">
        <f t="shared" si="75"/>
        <v>6</v>
      </c>
      <c r="P233">
        <f t="shared" si="61"/>
        <v>420</v>
      </c>
      <c r="Q233">
        <f t="shared" si="76"/>
        <v>0.78327868852459026</v>
      </c>
      <c r="R233">
        <f t="shared" si="78"/>
        <v>13.290491803278684</v>
      </c>
    </row>
    <row r="234" spans="1:18" x14ac:dyDescent="0.3">
      <c r="A234" t="s">
        <v>5</v>
      </c>
      <c r="B234" s="1">
        <v>45098</v>
      </c>
      <c r="C234" t="s">
        <v>7</v>
      </c>
      <c r="D234" t="s">
        <v>10</v>
      </c>
      <c r="E234">
        <v>6</v>
      </c>
      <c r="F234">
        <v>11.5</v>
      </c>
      <c r="G234">
        <v>0</v>
      </c>
      <c r="H234">
        <f>12.1-F234-G234</f>
        <v>0.59999999999999964</v>
      </c>
      <c r="I234">
        <f t="shared" si="72"/>
        <v>0.59999999999999964</v>
      </c>
      <c r="J234">
        <f t="shared" si="73"/>
        <v>12.1</v>
      </c>
      <c r="K234">
        <f t="shared" si="74"/>
        <v>0.69999999999999929</v>
      </c>
      <c r="L234">
        <f t="shared" ref="L234:L246" si="81">L233+K234</f>
        <v>15.099999999999996</v>
      </c>
      <c r="M234">
        <f t="shared" si="69"/>
        <v>0.18032786885245897</v>
      </c>
      <c r="N234">
        <v>26</v>
      </c>
      <c r="O234">
        <f t="shared" si="75"/>
        <v>6</v>
      </c>
      <c r="P234">
        <f t="shared" si="61"/>
        <v>420</v>
      </c>
      <c r="Q234">
        <f t="shared" si="76"/>
        <v>0.79967213114754099</v>
      </c>
      <c r="R234">
        <f t="shared" si="78"/>
        <v>14.090163934426226</v>
      </c>
    </row>
    <row r="235" spans="1:18" x14ac:dyDescent="0.3">
      <c r="A235" t="s">
        <v>6</v>
      </c>
      <c r="B235" s="1">
        <v>45099</v>
      </c>
      <c r="C235" t="s">
        <v>7</v>
      </c>
      <c r="D235" t="s">
        <v>10</v>
      </c>
      <c r="E235">
        <v>6</v>
      </c>
      <c r="F235">
        <v>11.4</v>
      </c>
      <c r="G235">
        <v>0.5</v>
      </c>
      <c r="H235">
        <f t="shared" ref="H235:H237" si="82">12.1-F235-G235</f>
        <v>0.19999999999999929</v>
      </c>
      <c r="I235">
        <f t="shared" si="72"/>
        <v>0.69999999999999929</v>
      </c>
      <c r="J235">
        <f t="shared" si="73"/>
        <v>12.1</v>
      </c>
      <c r="K235">
        <f t="shared" si="74"/>
        <v>0.59999999999999964</v>
      </c>
      <c r="L235">
        <f t="shared" si="81"/>
        <v>15.699999999999996</v>
      </c>
      <c r="M235">
        <f t="shared" si="69"/>
        <v>0.18032786885245897</v>
      </c>
      <c r="N235">
        <v>27</v>
      </c>
      <c r="O235">
        <f t="shared" si="75"/>
        <v>6.5</v>
      </c>
      <c r="P235">
        <f t="shared" ref="P235:P246" si="83">O235*70</f>
        <v>455</v>
      </c>
      <c r="Q235">
        <f t="shared" si="76"/>
        <v>0.79967213114754099</v>
      </c>
      <c r="R235">
        <f t="shared" si="78"/>
        <v>14.889836065573768</v>
      </c>
    </row>
    <row r="236" spans="1:18" x14ac:dyDescent="0.3">
      <c r="A236" t="s">
        <v>0</v>
      </c>
      <c r="B236" s="1">
        <v>45100</v>
      </c>
      <c r="C236" t="s">
        <v>7</v>
      </c>
      <c r="D236" t="s">
        <v>10</v>
      </c>
      <c r="E236">
        <v>6</v>
      </c>
      <c r="F236">
        <v>11.5</v>
      </c>
      <c r="G236">
        <v>0</v>
      </c>
      <c r="H236">
        <f t="shared" si="82"/>
        <v>0.59999999999999964</v>
      </c>
      <c r="I236">
        <f t="shared" si="72"/>
        <v>0.59999999999999964</v>
      </c>
      <c r="J236">
        <f t="shared" si="73"/>
        <v>12.1</v>
      </c>
      <c r="K236">
        <f t="shared" si="74"/>
        <v>0.59999999999999964</v>
      </c>
      <c r="L236">
        <f t="shared" si="81"/>
        <v>16.299999999999997</v>
      </c>
      <c r="M236">
        <f t="shared" si="69"/>
        <v>0.18032786885245897</v>
      </c>
      <c r="N236">
        <v>28</v>
      </c>
      <c r="O236">
        <f t="shared" si="75"/>
        <v>6.5</v>
      </c>
      <c r="P236">
        <f t="shared" si="83"/>
        <v>455</v>
      </c>
      <c r="Q236">
        <f t="shared" si="76"/>
        <v>0.79967213114754099</v>
      </c>
      <c r="R236">
        <f>R235+Q236</f>
        <v>15.689508196721309</v>
      </c>
    </row>
    <row r="237" spans="1:18" x14ac:dyDescent="0.3">
      <c r="A237" t="s">
        <v>1</v>
      </c>
      <c r="B237" s="1">
        <v>45101</v>
      </c>
      <c r="C237" t="s">
        <v>7</v>
      </c>
      <c r="D237" t="s">
        <v>10</v>
      </c>
      <c r="E237">
        <v>6</v>
      </c>
      <c r="F237">
        <v>11.5</v>
      </c>
      <c r="G237">
        <v>0</v>
      </c>
      <c r="H237">
        <f t="shared" si="82"/>
        <v>0.59999999999999964</v>
      </c>
      <c r="I237">
        <f t="shared" si="72"/>
        <v>0.59999999999999964</v>
      </c>
      <c r="J237">
        <f t="shared" si="73"/>
        <v>12.1</v>
      </c>
      <c r="K237">
        <f t="shared" si="74"/>
        <v>0.59999999999999964</v>
      </c>
      <c r="L237">
        <f t="shared" si="81"/>
        <v>16.899999999999999</v>
      </c>
      <c r="M237">
        <f t="shared" si="69"/>
        <v>0.18032786885245897</v>
      </c>
      <c r="N237">
        <v>29</v>
      </c>
      <c r="O237">
        <f t="shared" si="75"/>
        <v>6.5</v>
      </c>
      <c r="P237">
        <f t="shared" si="83"/>
        <v>455</v>
      </c>
      <c r="Q237">
        <f t="shared" si="76"/>
        <v>0.79967213114754099</v>
      </c>
      <c r="R237">
        <f t="shared" ref="R237:R246" si="84">R236+Q237</f>
        <v>16.489180327868851</v>
      </c>
    </row>
    <row r="238" spans="1:18" x14ac:dyDescent="0.3">
      <c r="A238" t="s">
        <v>2</v>
      </c>
      <c r="B238" s="1">
        <v>45102</v>
      </c>
      <c r="C238" t="s">
        <v>7</v>
      </c>
      <c r="D238" t="s">
        <v>10</v>
      </c>
      <c r="E238">
        <v>6</v>
      </c>
      <c r="F238">
        <v>11.5</v>
      </c>
      <c r="G238">
        <v>0</v>
      </c>
      <c r="H238">
        <v>4.7</v>
      </c>
      <c r="I238">
        <f t="shared" si="72"/>
        <v>4.7</v>
      </c>
      <c r="J238">
        <f t="shared" si="73"/>
        <v>16.2</v>
      </c>
      <c r="K238">
        <f t="shared" si="74"/>
        <v>0.79999999999999893</v>
      </c>
      <c r="L238">
        <f t="shared" si="81"/>
        <v>17.699999999999996</v>
      </c>
      <c r="M238">
        <f t="shared" si="69"/>
        <v>0.85245901639344257</v>
      </c>
      <c r="N238">
        <v>30</v>
      </c>
      <c r="O238">
        <f t="shared" si="75"/>
        <v>6.5</v>
      </c>
      <c r="P238">
        <f t="shared" si="83"/>
        <v>455</v>
      </c>
      <c r="Q238">
        <f t="shared" si="76"/>
        <v>0.12754098360655741</v>
      </c>
      <c r="R238">
        <f t="shared" si="84"/>
        <v>16.616721311475409</v>
      </c>
    </row>
    <row r="239" spans="1:18" x14ac:dyDescent="0.3">
      <c r="A239" t="s">
        <v>3</v>
      </c>
      <c r="B239" s="1">
        <v>45103</v>
      </c>
      <c r="C239" t="s">
        <v>7</v>
      </c>
      <c r="D239" t="s">
        <v>10</v>
      </c>
      <c r="E239">
        <v>6</v>
      </c>
      <c r="F239">
        <v>15.4</v>
      </c>
      <c r="G239">
        <v>0.5</v>
      </c>
      <c r="H239">
        <v>0</v>
      </c>
      <c r="I239">
        <f t="shared" si="72"/>
        <v>0.5</v>
      </c>
      <c r="J239">
        <f t="shared" si="73"/>
        <v>15.9</v>
      </c>
      <c r="K239">
        <f t="shared" si="74"/>
        <v>0.5</v>
      </c>
      <c r="L239">
        <f t="shared" si="81"/>
        <v>18.199999999999996</v>
      </c>
      <c r="M239">
        <f t="shared" si="69"/>
        <v>0.80327868852459028</v>
      </c>
      <c r="N239">
        <v>31</v>
      </c>
      <c r="O239">
        <f t="shared" si="75"/>
        <v>7</v>
      </c>
      <c r="P239">
        <f t="shared" si="83"/>
        <v>490</v>
      </c>
      <c r="Q239">
        <f t="shared" si="76"/>
        <v>0.1767213114754097</v>
      </c>
      <c r="R239">
        <f t="shared" si="84"/>
        <v>16.79344262295082</v>
      </c>
    </row>
    <row r="240" spans="1:18" x14ac:dyDescent="0.3">
      <c r="A240" t="s">
        <v>4</v>
      </c>
      <c r="B240" s="1">
        <v>45104</v>
      </c>
      <c r="C240" t="s">
        <v>7</v>
      </c>
      <c r="D240" t="s">
        <v>10</v>
      </c>
      <c r="E240">
        <v>6</v>
      </c>
      <c r="F240">
        <v>15.4</v>
      </c>
      <c r="G240">
        <v>0</v>
      </c>
      <c r="H240">
        <v>0</v>
      </c>
      <c r="I240">
        <f t="shared" si="72"/>
        <v>0</v>
      </c>
      <c r="J240">
        <f t="shared" si="73"/>
        <v>15.4</v>
      </c>
      <c r="K240">
        <f t="shared" si="74"/>
        <v>0.80000000000000071</v>
      </c>
      <c r="L240">
        <f t="shared" si="81"/>
        <v>18.999999999999996</v>
      </c>
      <c r="M240">
        <f t="shared" si="69"/>
        <v>0.7213114754098362</v>
      </c>
      <c r="N240">
        <v>32</v>
      </c>
      <c r="O240">
        <f t="shared" si="75"/>
        <v>7</v>
      </c>
      <c r="P240">
        <f t="shared" si="83"/>
        <v>490</v>
      </c>
      <c r="Q240">
        <f t="shared" si="76"/>
        <v>0.25868852459016378</v>
      </c>
      <c r="R240">
        <f t="shared" si="84"/>
        <v>17.052131147540983</v>
      </c>
    </row>
    <row r="241" spans="1:18" x14ac:dyDescent="0.3">
      <c r="A241" t="s">
        <v>5</v>
      </c>
      <c r="B241" s="1">
        <v>45105</v>
      </c>
      <c r="C241" t="s">
        <v>7</v>
      </c>
      <c r="D241" t="s">
        <v>10</v>
      </c>
      <c r="E241">
        <v>6</v>
      </c>
      <c r="F241">
        <v>14.6</v>
      </c>
      <c r="G241">
        <v>0</v>
      </c>
      <c r="H241">
        <v>0</v>
      </c>
      <c r="I241">
        <f t="shared" si="72"/>
        <v>0</v>
      </c>
      <c r="J241">
        <f t="shared" si="73"/>
        <v>14.6</v>
      </c>
      <c r="K241">
        <f t="shared" si="74"/>
        <v>0.69999999999999929</v>
      </c>
      <c r="L241">
        <f t="shared" si="81"/>
        <v>19.699999999999996</v>
      </c>
      <c r="M241">
        <f t="shared" si="69"/>
        <v>0.5901639344262295</v>
      </c>
      <c r="N241">
        <v>33</v>
      </c>
      <c r="O241">
        <f t="shared" si="75"/>
        <v>7</v>
      </c>
      <c r="P241">
        <f t="shared" si="83"/>
        <v>490</v>
      </c>
      <c r="Q241">
        <f t="shared" si="76"/>
        <v>0.38983606557377048</v>
      </c>
      <c r="R241">
        <f t="shared" si="84"/>
        <v>17.441967213114754</v>
      </c>
    </row>
    <row r="242" spans="1:18" x14ac:dyDescent="0.3">
      <c r="A242" t="s">
        <v>6</v>
      </c>
      <c r="B242" s="1">
        <v>45106</v>
      </c>
      <c r="C242" t="s">
        <v>7</v>
      </c>
      <c r="D242" t="s">
        <v>10</v>
      </c>
      <c r="E242">
        <v>6</v>
      </c>
      <c r="F242">
        <v>13.9</v>
      </c>
      <c r="G242">
        <v>0.5</v>
      </c>
      <c r="H242">
        <v>0</v>
      </c>
      <c r="I242">
        <f t="shared" si="72"/>
        <v>0.5</v>
      </c>
      <c r="J242">
        <f t="shared" si="73"/>
        <v>14.4</v>
      </c>
      <c r="K242">
        <f t="shared" si="74"/>
        <v>0.70000000000000107</v>
      </c>
      <c r="L242">
        <f t="shared" si="81"/>
        <v>20.399999999999999</v>
      </c>
      <c r="M242">
        <f t="shared" si="69"/>
        <v>0.55737704918032793</v>
      </c>
      <c r="N242">
        <v>34</v>
      </c>
      <c r="O242">
        <f t="shared" si="75"/>
        <v>7.5</v>
      </c>
      <c r="P242">
        <f t="shared" si="83"/>
        <v>525</v>
      </c>
      <c r="Q242">
        <f t="shared" si="76"/>
        <v>0.42262295081967205</v>
      </c>
      <c r="R242">
        <f t="shared" si="84"/>
        <v>17.864590163934427</v>
      </c>
    </row>
    <row r="243" spans="1:18" x14ac:dyDescent="0.3">
      <c r="A243" t="s">
        <v>0</v>
      </c>
      <c r="B243" s="1">
        <v>45107</v>
      </c>
      <c r="C243" t="s">
        <v>7</v>
      </c>
      <c r="D243" t="s">
        <v>10</v>
      </c>
      <c r="E243">
        <v>6</v>
      </c>
      <c r="F243">
        <v>13.7</v>
      </c>
      <c r="G243">
        <v>0</v>
      </c>
      <c r="H243">
        <v>0</v>
      </c>
      <c r="I243">
        <f t="shared" si="72"/>
        <v>0</v>
      </c>
      <c r="J243">
        <f t="shared" si="73"/>
        <v>13.7</v>
      </c>
      <c r="K243">
        <f t="shared" si="74"/>
        <v>0.29999999999999893</v>
      </c>
      <c r="L243">
        <f t="shared" si="81"/>
        <v>20.699999999999996</v>
      </c>
      <c r="M243">
        <f t="shared" si="69"/>
        <v>0.44262295081967207</v>
      </c>
      <c r="N243">
        <v>35</v>
      </c>
      <c r="O243">
        <f t="shared" si="75"/>
        <v>7.5</v>
      </c>
      <c r="P243">
        <f t="shared" si="83"/>
        <v>525</v>
      </c>
      <c r="Q243">
        <f t="shared" si="76"/>
        <v>0.53737704918032791</v>
      </c>
      <c r="R243">
        <f t="shared" si="84"/>
        <v>18.401967213114755</v>
      </c>
    </row>
    <row r="244" spans="1:18" x14ac:dyDescent="0.3">
      <c r="A244" t="s">
        <v>1</v>
      </c>
      <c r="B244" s="1">
        <v>45108</v>
      </c>
      <c r="C244" t="s">
        <v>7</v>
      </c>
      <c r="D244" t="s">
        <v>10</v>
      </c>
      <c r="E244">
        <v>6</v>
      </c>
      <c r="F244">
        <v>13.4</v>
      </c>
      <c r="G244">
        <v>0</v>
      </c>
      <c r="H244">
        <v>0</v>
      </c>
      <c r="I244">
        <f t="shared" si="72"/>
        <v>0</v>
      </c>
      <c r="J244">
        <f t="shared" si="73"/>
        <v>13.4</v>
      </c>
      <c r="K244">
        <f t="shared" si="74"/>
        <v>0.20000000000000107</v>
      </c>
      <c r="L244">
        <f t="shared" si="81"/>
        <v>20.9</v>
      </c>
      <c r="M244">
        <f t="shared" si="69"/>
        <v>0.39344262295081978</v>
      </c>
      <c r="N244">
        <v>36</v>
      </c>
      <c r="O244">
        <f t="shared" si="75"/>
        <v>7.5</v>
      </c>
      <c r="P244">
        <f t="shared" si="83"/>
        <v>525</v>
      </c>
      <c r="Q244">
        <f t="shared" si="76"/>
        <v>0.58655737704918021</v>
      </c>
      <c r="R244">
        <f t="shared" si="84"/>
        <v>18.988524590163934</v>
      </c>
    </row>
    <row r="245" spans="1:18" x14ac:dyDescent="0.3">
      <c r="A245" t="s">
        <v>2</v>
      </c>
      <c r="B245" s="1">
        <v>45109</v>
      </c>
      <c r="C245" t="s">
        <v>7</v>
      </c>
      <c r="D245" t="s">
        <v>10</v>
      </c>
      <c r="E245">
        <v>6</v>
      </c>
      <c r="F245">
        <v>13.2</v>
      </c>
      <c r="G245">
        <v>0</v>
      </c>
      <c r="H245">
        <v>0</v>
      </c>
      <c r="I245">
        <f t="shared" si="72"/>
        <v>0</v>
      </c>
      <c r="J245">
        <f t="shared" si="73"/>
        <v>13.2</v>
      </c>
      <c r="K245">
        <f t="shared" si="74"/>
        <v>0.59999999999999964</v>
      </c>
      <c r="L245">
        <f t="shared" si="81"/>
        <v>21.5</v>
      </c>
      <c r="M245">
        <f t="shared" si="69"/>
        <v>0.36065573770491793</v>
      </c>
      <c r="N245">
        <v>37</v>
      </c>
      <c r="O245">
        <f t="shared" si="75"/>
        <v>7.5</v>
      </c>
      <c r="P245">
        <f t="shared" si="83"/>
        <v>525</v>
      </c>
      <c r="Q245">
        <f t="shared" si="76"/>
        <v>0.61934426229508199</v>
      </c>
      <c r="R245">
        <f t="shared" si="84"/>
        <v>19.607868852459017</v>
      </c>
    </row>
    <row r="246" spans="1:18" x14ac:dyDescent="0.3">
      <c r="A246" t="s">
        <v>3</v>
      </c>
      <c r="B246" s="1">
        <v>45110</v>
      </c>
      <c r="C246" t="s">
        <v>7</v>
      </c>
      <c r="D246" t="s">
        <v>10</v>
      </c>
      <c r="E246">
        <v>6</v>
      </c>
      <c r="F246">
        <v>12.6</v>
      </c>
      <c r="G246">
        <v>0</v>
      </c>
      <c r="H246">
        <v>0</v>
      </c>
      <c r="I246">
        <f t="shared" si="72"/>
        <v>0</v>
      </c>
      <c r="J246">
        <f t="shared" si="73"/>
        <v>12.6</v>
      </c>
      <c r="K246">
        <f t="shared" si="74"/>
        <v>0</v>
      </c>
      <c r="L246">
        <f t="shared" si="81"/>
        <v>21.5</v>
      </c>
      <c r="M246">
        <f t="shared" si="69"/>
        <v>0.26229508196721307</v>
      </c>
      <c r="N246">
        <v>38</v>
      </c>
      <c r="O246">
        <f t="shared" si="75"/>
        <v>7.5</v>
      </c>
      <c r="P246">
        <f t="shared" si="83"/>
        <v>525</v>
      </c>
      <c r="Q246">
        <f t="shared" si="76"/>
        <v>0.71770491803278691</v>
      </c>
      <c r="R246">
        <f t="shared" si="84"/>
        <v>20.325573770491804</v>
      </c>
    </row>
    <row r="247" spans="1:18" x14ac:dyDescent="0.3">
      <c r="A247" t="s">
        <v>4</v>
      </c>
      <c r="B247" s="1">
        <v>45111</v>
      </c>
      <c r="C247" t="s">
        <v>7</v>
      </c>
      <c r="D247" t="s">
        <v>10</v>
      </c>
      <c r="E247">
        <v>6</v>
      </c>
      <c r="F247">
        <v>12.6</v>
      </c>
    </row>
    <row r="248" spans="1:18" x14ac:dyDescent="0.3">
      <c r="A248" t="s">
        <v>1</v>
      </c>
      <c r="B248" s="1">
        <v>45073</v>
      </c>
      <c r="C248" t="s">
        <v>7</v>
      </c>
      <c r="D248" t="s">
        <v>10</v>
      </c>
      <c r="E248">
        <v>7</v>
      </c>
      <c r="F248">
        <v>17.100000000000001</v>
      </c>
      <c r="G248">
        <v>0</v>
      </c>
      <c r="H248">
        <v>0</v>
      </c>
      <c r="I248">
        <f>H248+G248</f>
        <v>0</v>
      </c>
      <c r="J248">
        <f>I248+F248</f>
        <v>17.100000000000001</v>
      </c>
      <c r="K248">
        <f>J248-F249</f>
        <v>0.10000000000000142</v>
      </c>
      <c r="M248">
        <f t="shared" si="69"/>
        <v>1.0000000000000002</v>
      </c>
      <c r="N248">
        <v>1</v>
      </c>
      <c r="O248">
        <v>2.5</v>
      </c>
      <c r="P248">
        <f>O248*70</f>
        <v>175</v>
      </c>
    </row>
    <row r="249" spans="1:18" x14ac:dyDescent="0.3">
      <c r="A249" t="s">
        <v>2</v>
      </c>
      <c r="B249" s="1">
        <v>45074</v>
      </c>
      <c r="C249" t="s">
        <v>7</v>
      </c>
      <c r="D249" t="s">
        <v>10</v>
      </c>
      <c r="E249">
        <v>7</v>
      </c>
      <c r="F249">
        <v>17</v>
      </c>
      <c r="G249">
        <v>0</v>
      </c>
      <c r="H249">
        <v>0</v>
      </c>
      <c r="I249">
        <f t="shared" ref="I249:I288" si="85">H249+G249</f>
        <v>0</v>
      </c>
      <c r="J249">
        <f t="shared" ref="J249:J288" si="86">I249+F249</f>
        <v>17</v>
      </c>
      <c r="K249">
        <f t="shared" ref="K249:K288" si="87">J249-F250</f>
        <v>0.10000000000000142</v>
      </c>
      <c r="L249">
        <f>K248+K249</f>
        <v>0.20000000000000284</v>
      </c>
      <c r="M249">
        <f t="shared" si="69"/>
        <v>0.98360655737704927</v>
      </c>
      <c r="N249">
        <v>2</v>
      </c>
      <c r="O249">
        <f t="shared" ref="O249:O288" si="88">O248+G249</f>
        <v>2.5</v>
      </c>
      <c r="P249">
        <f t="shared" ref="P249:P288" si="89">O249*70</f>
        <v>175</v>
      </c>
      <c r="Q249">
        <f t="shared" ref="Q249:Q288" si="90">0.98-M249</f>
        <v>-3.6065573770492909E-3</v>
      </c>
      <c r="R249">
        <f>Q248+Q249</f>
        <v>-3.6065573770492909E-3</v>
      </c>
    </row>
    <row r="250" spans="1:18" x14ac:dyDescent="0.3">
      <c r="A250" t="s">
        <v>3</v>
      </c>
      <c r="B250" s="1">
        <v>45075</v>
      </c>
      <c r="C250" t="s">
        <v>7</v>
      </c>
      <c r="D250" t="s">
        <v>10</v>
      </c>
      <c r="E250">
        <v>7</v>
      </c>
      <c r="F250">
        <v>16.899999999999999</v>
      </c>
      <c r="G250">
        <v>0.25</v>
      </c>
      <c r="H250">
        <v>0</v>
      </c>
      <c r="I250">
        <f t="shared" si="85"/>
        <v>0.25</v>
      </c>
      <c r="J250">
        <f t="shared" si="86"/>
        <v>17.149999999999999</v>
      </c>
      <c r="K250">
        <f t="shared" si="87"/>
        <v>0.34999999999999787</v>
      </c>
      <c r="L250">
        <f>L249+K250</f>
        <v>0.55000000000000071</v>
      </c>
      <c r="M250">
        <f t="shared" si="69"/>
        <v>1.0081967213114753</v>
      </c>
      <c r="N250">
        <v>3</v>
      </c>
      <c r="O250">
        <f t="shared" si="88"/>
        <v>2.75</v>
      </c>
      <c r="P250">
        <f t="shared" si="89"/>
        <v>192.5</v>
      </c>
      <c r="Q250">
        <f t="shared" si="90"/>
        <v>-2.8196721311475326E-2</v>
      </c>
      <c r="R250">
        <f>R249+Q250</f>
        <v>-3.1803278688524617E-2</v>
      </c>
    </row>
    <row r="251" spans="1:18" x14ac:dyDescent="0.3">
      <c r="A251" t="s">
        <v>4</v>
      </c>
      <c r="B251" s="1">
        <v>45076</v>
      </c>
      <c r="C251" t="s">
        <v>7</v>
      </c>
      <c r="D251" t="s">
        <v>10</v>
      </c>
      <c r="E251">
        <v>7</v>
      </c>
      <c r="F251">
        <v>16.8</v>
      </c>
      <c r="G251">
        <v>0.25</v>
      </c>
      <c r="H251">
        <v>0</v>
      </c>
      <c r="I251">
        <f t="shared" si="85"/>
        <v>0.25</v>
      </c>
      <c r="J251">
        <f t="shared" si="86"/>
        <v>17.05</v>
      </c>
      <c r="K251">
        <f t="shared" si="87"/>
        <v>0.55000000000000071</v>
      </c>
      <c r="L251">
        <f t="shared" ref="L251:L271" si="91">L250+K251</f>
        <v>1.1000000000000014</v>
      </c>
      <c r="M251">
        <f t="shared" si="69"/>
        <v>0.9918032786885248</v>
      </c>
      <c r="N251">
        <v>4</v>
      </c>
      <c r="O251">
        <f t="shared" si="88"/>
        <v>3</v>
      </c>
      <c r="P251">
        <f t="shared" si="89"/>
        <v>210</v>
      </c>
      <c r="Q251">
        <f t="shared" si="90"/>
        <v>-1.1803278688524821E-2</v>
      </c>
      <c r="R251">
        <f t="shared" ref="R251:R274" si="92">R250+Q251</f>
        <v>-4.3606557377049437E-2</v>
      </c>
    </row>
    <row r="252" spans="1:18" x14ac:dyDescent="0.3">
      <c r="A252" t="s">
        <v>5</v>
      </c>
      <c r="B252" s="1">
        <v>45077</v>
      </c>
      <c r="C252" t="s">
        <v>7</v>
      </c>
      <c r="D252" t="s">
        <v>10</v>
      </c>
      <c r="E252">
        <v>7</v>
      </c>
      <c r="F252">
        <v>16.5</v>
      </c>
      <c r="G252">
        <v>0</v>
      </c>
      <c r="H252">
        <v>0</v>
      </c>
      <c r="I252">
        <f t="shared" si="85"/>
        <v>0</v>
      </c>
      <c r="J252">
        <f t="shared" si="86"/>
        <v>16.5</v>
      </c>
      <c r="K252">
        <f t="shared" si="87"/>
        <v>0.39999999999999858</v>
      </c>
      <c r="L252">
        <f t="shared" si="91"/>
        <v>1.5</v>
      </c>
      <c r="M252">
        <f t="shared" si="69"/>
        <v>0.90163934426229508</v>
      </c>
      <c r="N252">
        <v>5</v>
      </c>
      <c r="O252">
        <f t="shared" si="88"/>
        <v>3</v>
      </c>
      <c r="P252">
        <f t="shared" si="89"/>
        <v>210</v>
      </c>
      <c r="Q252">
        <f t="shared" si="90"/>
        <v>7.8360655737704898E-2</v>
      </c>
      <c r="R252">
        <f t="shared" si="92"/>
        <v>3.4754098360655461E-2</v>
      </c>
    </row>
    <row r="253" spans="1:18" x14ac:dyDescent="0.3">
      <c r="A253" t="s">
        <v>6</v>
      </c>
      <c r="B253" s="1">
        <v>45078</v>
      </c>
      <c r="C253" t="s">
        <v>7</v>
      </c>
      <c r="D253" t="s">
        <v>10</v>
      </c>
      <c r="E253">
        <v>7</v>
      </c>
      <c r="F253">
        <v>16.100000000000001</v>
      </c>
      <c r="G253">
        <v>0.25</v>
      </c>
      <c r="H253">
        <v>0</v>
      </c>
      <c r="I253">
        <f t="shared" si="85"/>
        <v>0.25</v>
      </c>
      <c r="J253">
        <f t="shared" si="86"/>
        <v>16.350000000000001</v>
      </c>
      <c r="K253">
        <f t="shared" si="87"/>
        <v>0.25</v>
      </c>
      <c r="L253">
        <f t="shared" si="91"/>
        <v>1.75</v>
      </c>
      <c r="M253">
        <f t="shared" si="69"/>
        <v>0.87704918032786916</v>
      </c>
      <c r="N253">
        <v>6</v>
      </c>
      <c r="O253">
        <f t="shared" si="88"/>
        <v>3.25</v>
      </c>
      <c r="P253">
        <f t="shared" si="89"/>
        <v>227.5</v>
      </c>
      <c r="Q253">
        <f t="shared" si="90"/>
        <v>0.10295081967213082</v>
      </c>
      <c r="R253">
        <f t="shared" si="92"/>
        <v>0.13770491803278628</v>
      </c>
    </row>
    <row r="254" spans="1:18" x14ac:dyDescent="0.3">
      <c r="A254" t="s">
        <v>0</v>
      </c>
      <c r="B254" s="1">
        <v>45079</v>
      </c>
      <c r="C254" t="s">
        <v>7</v>
      </c>
      <c r="D254" t="s">
        <v>10</v>
      </c>
      <c r="E254">
        <v>7</v>
      </c>
      <c r="F254">
        <v>16.100000000000001</v>
      </c>
      <c r="G254">
        <v>0.25</v>
      </c>
      <c r="H254">
        <v>0</v>
      </c>
      <c r="I254">
        <f t="shared" si="85"/>
        <v>0.25</v>
      </c>
      <c r="J254">
        <f t="shared" si="86"/>
        <v>16.350000000000001</v>
      </c>
      <c r="K254">
        <f t="shared" si="87"/>
        <v>0.15000000000000213</v>
      </c>
      <c r="L254">
        <f t="shared" si="91"/>
        <v>1.9000000000000021</v>
      </c>
      <c r="M254">
        <f t="shared" si="69"/>
        <v>0.87704918032786916</v>
      </c>
      <c r="N254">
        <v>7</v>
      </c>
      <c r="O254">
        <f t="shared" si="88"/>
        <v>3.5</v>
      </c>
      <c r="P254">
        <f t="shared" si="89"/>
        <v>245</v>
      </c>
      <c r="Q254">
        <f t="shared" si="90"/>
        <v>0.10295081967213082</v>
      </c>
      <c r="R254">
        <f t="shared" si="92"/>
        <v>0.24065573770491711</v>
      </c>
    </row>
    <row r="255" spans="1:18" x14ac:dyDescent="0.3">
      <c r="A255" t="s">
        <v>1</v>
      </c>
      <c r="B255" s="1">
        <v>45080</v>
      </c>
      <c r="C255" t="s">
        <v>7</v>
      </c>
      <c r="D255" t="s">
        <v>10</v>
      </c>
      <c r="E255">
        <v>7</v>
      </c>
      <c r="F255">
        <v>16.2</v>
      </c>
      <c r="G255">
        <v>0</v>
      </c>
      <c r="H255">
        <v>0</v>
      </c>
      <c r="I255">
        <f t="shared" si="85"/>
        <v>0</v>
      </c>
      <c r="J255">
        <f t="shared" si="86"/>
        <v>16.2</v>
      </c>
      <c r="K255">
        <f t="shared" si="87"/>
        <v>0.29999999999999893</v>
      </c>
      <c r="L255">
        <f t="shared" si="91"/>
        <v>2.2000000000000011</v>
      </c>
      <c r="M255">
        <f t="shared" si="69"/>
        <v>0.85245901639344257</v>
      </c>
      <c r="N255">
        <v>8</v>
      </c>
      <c r="O255">
        <f t="shared" si="88"/>
        <v>3.5</v>
      </c>
      <c r="P255">
        <f t="shared" si="89"/>
        <v>245</v>
      </c>
      <c r="Q255">
        <f t="shared" si="90"/>
        <v>0.12754098360655741</v>
      </c>
      <c r="R255">
        <f t="shared" si="92"/>
        <v>0.36819672131147452</v>
      </c>
    </row>
    <row r="256" spans="1:18" x14ac:dyDescent="0.3">
      <c r="A256" t="s">
        <v>2</v>
      </c>
      <c r="B256" s="1">
        <v>45081</v>
      </c>
      <c r="C256" t="s">
        <v>7</v>
      </c>
      <c r="D256" t="s">
        <v>10</v>
      </c>
      <c r="E256">
        <v>7</v>
      </c>
      <c r="F256">
        <v>15.9</v>
      </c>
      <c r="G256">
        <v>0</v>
      </c>
      <c r="H256">
        <v>0</v>
      </c>
      <c r="I256">
        <f t="shared" si="85"/>
        <v>0</v>
      </c>
      <c r="J256">
        <f t="shared" si="86"/>
        <v>15.9</v>
      </c>
      <c r="K256">
        <f t="shared" si="87"/>
        <v>0.30000000000000071</v>
      </c>
      <c r="L256">
        <f t="shared" si="91"/>
        <v>2.5000000000000018</v>
      </c>
      <c r="M256">
        <f t="shared" si="69"/>
        <v>0.80327868852459028</v>
      </c>
      <c r="N256">
        <v>9</v>
      </c>
      <c r="O256">
        <f t="shared" si="88"/>
        <v>3.5</v>
      </c>
      <c r="P256">
        <f t="shared" si="89"/>
        <v>245</v>
      </c>
      <c r="Q256">
        <f t="shared" si="90"/>
        <v>0.1767213114754097</v>
      </c>
      <c r="R256">
        <f t="shared" si="92"/>
        <v>0.54491803278688422</v>
      </c>
    </row>
    <row r="257" spans="1:18" x14ac:dyDescent="0.3">
      <c r="A257" t="s">
        <v>3</v>
      </c>
      <c r="B257" s="1">
        <v>45082</v>
      </c>
      <c r="C257" t="s">
        <v>7</v>
      </c>
      <c r="D257" t="s">
        <v>10</v>
      </c>
      <c r="E257">
        <v>7</v>
      </c>
      <c r="F257">
        <v>15.6</v>
      </c>
      <c r="G257">
        <v>0.25</v>
      </c>
      <c r="H257">
        <v>0</v>
      </c>
      <c r="I257">
        <f t="shared" si="85"/>
        <v>0.25</v>
      </c>
      <c r="J257">
        <f t="shared" si="86"/>
        <v>15.85</v>
      </c>
      <c r="K257">
        <f t="shared" si="87"/>
        <v>0.34999999999999964</v>
      </c>
      <c r="L257">
        <f t="shared" si="91"/>
        <v>2.8500000000000014</v>
      </c>
      <c r="M257">
        <f t="shared" si="69"/>
        <v>0.79508196721311475</v>
      </c>
      <c r="N257">
        <v>10</v>
      </c>
      <c r="O257">
        <f t="shared" si="88"/>
        <v>3.75</v>
      </c>
      <c r="P257">
        <f t="shared" si="89"/>
        <v>262.5</v>
      </c>
      <c r="Q257">
        <f t="shared" si="90"/>
        <v>0.18491803278688523</v>
      </c>
      <c r="R257">
        <f t="shared" si="92"/>
        <v>0.72983606557376945</v>
      </c>
    </row>
    <row r="258" spans="1:18" x14ac:dyDescent="0.3">
      <c r="A258" t="s">
        <v>4</v>
      </c>
      <c r="B258" s="1">
        <v>45083</v>
      </c>
      <c r="C258" t="s">
        <v>7</v>
      </c>
      <c r="D258" t="s">
        <v>10</v>
      </c>
      <c r="E258">
        <v>7</v>
      </c>
      <c r="F258">
        <v>15.5</v>
      </c>
      <c r="G258">
        <v>0.25</v>
      </c>
      <c r="H258">
        <v>0</v>
      </c>
      <c r="I258">
        <f t="shared" si="85"/>
        <v>0.25</v>
      </c>
      <c r="J258">
        <f t="shared" si="86"/>
        <v>15.75</v>
      </c>
      <c r="K258">
        <f t="shared" si="87"/>
        <v>0.44999999999999929</v>
      </c>
      <c r="L258">
        <f t="shared" si="91"/>
        <v>3.3000000000000007</v>
      </c>
      <c r="M258">
        <f t="shared" si="69"/>
        <v>0.77868852459016402</v>
      </c>
      <c r="N258">
        <v>11</v>
      </c>
      <c r="O258">
        <f t="shared" si="88"/>
        <v>4</v>
      </c>
      <c r="P258">
        <f t="shared" si="89"/>
        <v>280</v>
      </c>
      <c r="Q258">
        <f t="shared" si="90"/>
        <v>0.20131147540983596</v>
      </c>
      <c r="R258">
        <f t="shared" si="92"/>
        <v>0.93114754098360542</v>
      </c>
    </row>
    <row r="259" spans="1:18" x14ac:dyDescent="0.3">
      <c r="A259" t="s">
        <v>5</v>
      </c>
      <c r="B259" s="1">
        <v>45084</v>
      </c>
      <c r="C259" t="s">
        <v>7</v>
      </c>
      <c r="D259" t="s">
        <v>10</v>
      </c>
      <c r="E259">
        <v>7</v>
      </c>
      <c r="F259">
        <v>15.3</v>
      </c>
      <c r="G259">
        <v>0</v>
      </c>
      <c r="H259">
        <v>0</v>
      </c>
      <c r="I259">
        <f t="shared" si="85"/>
        <v>0</v>
      </c>
      <c r="J259">
        <f t="shared" si="86"/>
        <v>15.3</v>
      </c>
      <c r="K259">
        <f t="shared" si="87"/>
        <v>0.5</v>
      </c>
      <c r="L259">
        <f t="shared" si="91"/>
        <v>3.8000000000000007</v>
      </c>
      <c r="M259">
        <f t="shared" ref="M259:M322" si="93">(J259-11)/6.1</f>
        <v>0.70491803278688536</v>
      </c>
      <c r="N259">
        <v>12</v>
      </c>
      <c r="O259">
        <f t="shared" si="88"/>
        <v>4</v>
      </c>
      <c r="P259">
        <f t="shared" si="89"/>
        <v>280</v>
      </c>
      <c r="Q259">
        <f t="shared" si="90"/>
        <v>0.27508196721311462</v>
      </c>
      <c r="R259">
        <f t="shared" si="92"/>
        <v>1.20622950819672</v>
      </c>
    </row>
    <row r="260" spans="1:18" x14ac:dyDescent="0.3">
      <c r="A260" t="s">
        <v>6</v>
      </c>
      <c r="B260" s="1">
        <v>45085</v>
      </c>
      <c r="C260" t="s">
        <v>7</v>
      </c>
      <c r="D260" t="s">
        <v>10</v>
      </c>
      <c r="E260">
        <v>7</v>
      </c>
      <c r="F260">
        <v>14.8</v>
      </c>
      <c r="G260">
        <v>0.25</v>
      </c>
      <c r="H260">
        <v>0</v>
      </c>
      <c r="I260">
        <f t="shared" si="85"/>
        <v>0.25</v>
      </c>
      <c r="J260">
        <f t="shared" si="86"/>
        <v>15.05</v>
      </c>
      <c r="K260">
        <f t="shared" si="87"/>
        <v>0.35000000000000142</v>
      </c>
      <c r="L260">
        <f t="shared" si="91"/>
        <v>4.1500000000000021</v>
      </c>
      <c r="M260">
        <f t="shared" si="93"/>
        <v>0.66393442622950838</v>
      </c>
      <c r="N260">
        <v>13</v>
      </c>
      <c r="O260">
        <f t="shared" si="88"/>
        <v>4.25</v>
      </c>
      <c r="P260">
        <f t="shared" si="89"/>
        <v>297.5</v>
      </c>
      <c r="Q260">
        <f t="shared" si="90"/>
        <v>0.3160655737704916</v>
      </c>
      <c r="R260">
        <f t="shared" si="92"/>
        <v>1.5222950819672116</v>
      </c>
    </row>
    <row r="261" spans="1:18" x14ac:dyDescent="0.3">
      <c r="A261" t="s">
        <v>0</v>
      </c>
      <c r="B261" s="1">
        <v>45086</v>
      </c>
      <c r="C261" t="s">
        <v>7</v>
      </c>
      <c r="D261" t="s">
        <v>10</v>
      </c>
      <c r="E261">
        <v>7</v>
      </c>
      <c r="F261">
        <v>14.7</v>
      </c>
      <c r="G261">
        <v>0.25</v>
      </c>
      <c r="H261">
        <v>0</v>
      </c>
      <c r="I261">
        <f t="shared" si="85"/>
        <v>0.25</v>
      </c>
      <c r="J261">
        <f t="shared" si="86"/>
        <v>14.95</v>
      </c>
      <c r="K261">
        <f t="shared" si="87"/>
        <v>0.64999999999999858</v>
      </c>
      <c r="L261">
        <f t="shared" si="91"/>
        <v>4.8000000000000007</v>
      </c>
      <c r="M261">
        <f t="shared" si="93"/>
        <v>0.64754098360655732</v>
      </c>
      <c r="N261">
        <v>14</v>
      </c>
      <c r="O261">
        <f t="shared" si="88"/>
        <v>4.5</v>
      </c>
      <c r="P261">
        <f t="shared" si="89"/>
        <v>315</v>
      </c>
      <c r="Q261">
        <f t="shared" si="90"/>
        <v>0.33245901639344266</v>
      </c>
      <c r="R261">
        <f t="shared" si="92"/>
        <v>1.8547540983606543</v>
      </c>
    </row>
    <row r="262" spans="1:18" x14ac:dyDescent="0.3">
      <c r="A262" t="s">
        <v>1</v>
      </c>
      <c r="B262" s="1">
        <v>45087</v>
      </c>
      <c r="C262" t="s">
        <v>7</v>
      </c>
      <c r="D262" t="s">
        <v>10</v>
      </c>
      <c r="E262">
        <v>7</v>
      </c>
      <c r="F262">
        <v>14.3</v>
      </c>
      <c r="G262">
        <v>0</v>
      </c>
      <c r="H262">
        <v>0</v>
      </c>
      <c r="I262">
        <f t="shared" si="85"/>
        <v>0</v>
      </c>
      <c r="J262">
        <f t="shared" si="86"/>
        <v>14.3</v>
      </c>
      <c r="K262">
        <f t="shared" si="87"/>
        <v>0.5</v>
      </c>
      <c r="L262">
        <f t="shared" si="91"/>
        <v>5.3000000000000007</v>
      </c>
      <c r="M262">
        <f t="shared" si="93"/>
        <v>0.54098360655737721</v>
      </c>
      <c r="N262">
        <v>15</v>
      </c>
      <c r="O262">
        <f t="shared" si="88"/>
        <v>4.5</v>
      </c>
      <c r="P262">
        <f t="shared" si="89"/>
        <v>315</v>
      </c>
      <c r="Q262">
        <f t="shared" si="90"/>
        <v>0.43901639344262278</v>
      </c>
      <c r="R262">
        <f t="shared" si="92"/>
        <v>2.2937704918032771</v>
      </c>
    </row>
    <row r="263" spans="1:18" x14ac:dyDescent="0.3">
      <c r="A263" t="s">
        <v>2</v>
      </c>
      <c r="B263" s="1">
        <v>45088</v>
      </c>
      <c r="C263" t="s">
        <v>7</v>
      </c>
      <c r="D263" t="s">
        <v>10</v>
      </c>
      <c r="E263">
        <v>7</v>
      </c>
      <c r="F263">
        <v>13.8</v>
      </c>
      <c r="G263">
        <v>0</v>
      </c>
      <c r="H263">
        <v>0</v>
      </c>
      <c r="I263">
        <f t="shared" si="85"/>
        <v>0</v>
      </c>
      <c r="J263">
        <f t="shared" si="86"/>
        <v>13.8</v>
      </c>
      <c r="K263">
        <f t="shared" si="87"/>
        <v>0.40000000000000036</v>
      </c>
      <c r="L263">
        <f t="shared" si="91"/>
        <v>5.7000000000000011</v>
      </c>
      <c r="M263">
        <f t="shared" si="93"/>
        <v>0.45901639344262307</v>
      </c>
      <c r="N263">
        <v>16</v>
      </c>
      <c r="O263">
        <f t="shared" si="88"/>
        <v>4.5</v>
      </c>
      <c r="P263">
        <f t="shared" si="89"/>
        <v>315</v>
      </c>
      <c r="Q263">
        <f t="shared" si="90"/>
        <v>0.52098360655737697</v>
      </c>
      <c r="R263">
        <f t="shared" si="92"/>
        <v>2.814754098360654</v>
      </c>
    </row>
    <row r="264" spans="1:18" x14ac:dyDescent="0.3">
      <c r="A264" t="s">
        <v>3</v>
      </c>
      <c r="B264" s="1">
        <v>45089</v>
      </c>
      <c r="C264" t="s">
        <v>7</v>
      </c>
      <c r="D264" t="s">
        <v>10</v>
      </c>
      <c r="E264">
        <v>7</v>
      </c>
      <c r="F264">
        <v>13.4</v>
      </c>
      <c r="G264">
        <v>0.5</v>
      </c>
      <c r="H264">
        <v>0</v>
      </c>
      <c r="I264">
        <f t="shared" si="85"/>
        <v>0.5</v>
      </c>
      <c r="J264">
        <f t="shared" si="86"/>
        <v>13.9</v>
      </c>
      <c r="K264">
        <f t="shared" si="87"/>
        <v>0.30000000000000071</v>
      </c>
      <c r="L264">
        <f t="shared" si="91"/>
        <v>6.0000000000000018</v>
      </c>
      <c r="M264">
        <f t="shared" si="93"/>
        <v>0.47540983606557385</v>
      </c>
      <c r="N264">
        <v>17</v>
      </c>
      <c r="O264">
        <f t="shared" si="88"/>
        <v>5</v>
      </c>
      <c r="P264">
        <f t="shared" si="89"/>
        <v>350</v>
      </c>
      <c r="Q264">
        <f t="shared" si="90"/>
        <v>0.50459016393442613</v>
      </c>
      <c r="R264">
        <f t="shared" si="92"/>
        <v>3.31934426229508</v>
      </c>
    </row>
    <row r="265" spans="1:18" x14ac:dyDescent="0.3">
      <c r="A265" t="s">
        <v>4</v>
      </c>
      <c r="B265" s="1">
        <v>45090</v>
      </c>
      <c r="C265" t="s">
        <v>7</v>
      </c>
      <c r="D265" t="s">
        <v>10</v>
      </c>
      <c r="E265">
        <v>7</v>
      </c>
      <c r="F265">
        <v>13.6</v>
      </c>
      <c r="G265">
        <v>0</v>
      </c>
      <c r="H265">
        <v>0</v>
      </c>
      <c r="I265">
        <f t="shared" si="85"/>
        <v>0</v>
      </c>
      <c r="J265">
        <f t="shared" si="86"/>
        <v>13.6</v>
      </c>
      <c r="K265">
        <f t="shared" si="87"/>
        <v>9.9999999999999645E-2</v>
      </c>
      <c r="L265">
        <f t="shared" si="91"/>
        <v>6.1000000000000014</v>
      </c>
      <c r="M265">
        <f t="shared" si="93"/>
        <v>0.42622950819672129</v>
      </c>
      <c r="N265">
        <v>18</v>
      </c>
      <c r="O265">
        <f t="shared" si="88"/>
        <v>5</v>
      </c>
      <c r="P265">
        <f t="shared" si="89"/>
        <v>350</v>
      </c>
      <c r="Q265">
        <f t="shared" si="90"/>
        <v>0.55377049180327864</v>
      </c>
      <c r="R265">
        <f t="shared" si="92"/>
        <v>3.8731147540983586</v>
      </c>
    </row>
    <row r="266" spans="1:18" x14ac:dyDescent="0.3">
      <c r="A266" t="s">
        <v>5</v>
      </c>
      <c r="B266" s="1">
        <v>45091</v>
      </c>
      <c r="C266" t="s">
        <v>7</v>
      </c>
      <c r="D266" t="s">
        <v>10</v>
      </c>
      <c r="E266">
        <v>7</v>
      </c>
      <c r="F266">
        <v>13.5</v>
      </c>
      <c r="G266">
        <v>0</v>
      </c>
      <c r="H266">
        <v>0</v>
      </c>
      <c r="I266">
        <f t="shared" si="85"/>
        <v>0</v>
      </c>
      <c r="J266">
        <f t="shared" si="86"/>
        <v>13.5</v>
      </c>
      <c r="K266">
        <f t="shared" si="87"/>
        <v>0.40000000000000036</v>
      </c>
      <c r="L266">
        <f t="shared" si="91"/>
        <v>6.5000000000000018</v>
      </c>
      <c r="M266">
        <f t="shared" si="93"/>
        <v>0.4098360655737705</v>
      </c>
      <c r="N266">
        <v>19</v>
      </c>
      <c r="O266">
        <f t="shared" si="88"/>
        <v>5</v>
      </c>
      <c r="P266">
        <f t="shared" si="89"/>
        <v>350</v>
      </c>
      <c r="Q266">
        <f t="shared" si="90"/>
        <v>0.57016393442622948</v>
      </c>
      <c r="R266">
        <f t="shared" si="92"/>
        <v>4.4432786885245878</v>
      </c>
    </row>
    <row r="267" spans="1:18" x14ac:dyDescent="0.3">
      <c r="A267" t="s">
        <v>6</v>
      </c>
      <c r="B267" s="1">
        <v>45092</v>
      </c>
      <c r="C267" t="s">
        <v>7</v>
      </c>
      <c r="D267" t="s">
        <v>10</v>
      </c>
      <c r="E267">
        <v>7</v>
      </c>
      <c r="F267">
        <v>13.1</v>
      </c>
      <c r="G267">
        <v>0</v>
      </c>
      <c r="H267">
        <v>0</v>
      </c>
      <c r="I267">
        <f t="shared" si="85"/>
        <v>0</v>
      </c>
      <c r="J267">
        <f t="shared" si="86"/>
        <v>13.1</v>
      </c>
      <c r="K267">
        <f t="shared" si="87"/>
        <v>0.19999999999999929</v>
      </c>
      <c r="L267">
        <f t="shared" si="91"/>
        <v>6.7000000000000011</v>
      </c>
      <c r="M267">
        <f t="shared" si="93"/>
        <v>0.34426229508196715</v>
      </c>
      <c r="N267">
        <v>20</v>
      </c>
      <c r="O267">
        <f t="shared" si="88"/>
        <v>5</v>
      </c>
      <c r="P267">
        <f t="shared" si="89"/>
        <v>350</v>
      </c>
      <c r="Q267">
        <f t="shared" si="90"/>
        <v>0.63573770491803283</v>
      </c>
      <c r="R267">
        <f t="shared" si="92"/>
        <v>5.0790163934426209</v>
      </c>
    </row>
    <row r="268" spans="1:18" x14ac:dyDescent="0.3">
      <c r="A268" t="s">
        <v>0</v>
      </c>
      <c r="B268" s="1">
        <v>45093</v>
      </c>
      <c r="C268" t="s">
        <v>7</v>
      </c>
      <c r="D268" t="s">
        <v>10</v>
      </c>
      <c r="E268">
        <v>7</v>
      </c>
      <c r="F268">
        <v>12.9</v>
      </c>
      <c r="G268">
        <v>0.5</v>
      </c>
      <c r="H268">
        <v>0</v>
      </c>
      <c r="I268">
        <f t="shared" si="85"/>
        <v>0.5</v>
      </c>
      <c r="J268">
        <f t="shared" si="86"/>
        <v>13.4</v>
      </c>
      <c r="K268">
        <f t="shared" si="87"/>
        <v>0.59999999999999964</v>
      </c>
      <c r="L268">
        <f t="shared" si="91"/>
        <v>7.3000000000000007</v>
      </c>
      <c r="M268">
        <f t="shared" si="93"/>
        <v>0.39344262295081978</v>
      </c>
      <c r="N268">
        <v>21</v>
      </c>
      <c r="O268">
        <f t="shared" si="88"/>
        <v>5.5</v>
      </c>
      <c r="P268">
        <f t="shared" si="89"/>
        <v>385</v>
      </c>
      <c r="Q268">
        <f t="shared" si="90"/>
        <v>0.58655737704918021</v>
      </c>
      <c r="R268">
        <f t="shared" si="92"/>
        <v>5.6655737704918012</v>
      </c>
    </row>
    <row r="269" spans="1:18" x14ac:dyDescent="0.3">
      <c r="A269" t="s">
        <v>1</v>
      </c>
      <c r="B269" s="1">
        <v>45094</v>
      </c>
      <c r="C269" t="s">
        <v>7</v>
      </c>
      <c r="D269" t="s">
        <v>10</v>
      </c>
      <c r="E269">
        <v>7</v>
      </c>
      <c r="F269">
        <v>12.8</v>
      </c>
      <c r="G269">
        <v>0</v>
      </c>
      <c r="H269">
        <f>13-F269-G269</f>
        <v>0.19999999999999929</v>
      </c>
      <c r="I269">
        <f t="shared" si="85"/>
        <v>0.19999999999999929</v>
      </c>
      <c r="J269">
        <f t="shared" si="86"/>
        <v>13</v>
      </c>
      <c r="K269">
        <f>J269-F270</f>
        <v>9.9999999999999645E-2</v>
      </c>
      <c r="L269">
        <f t="shared" si="91"/>
        <v>7.4</v>
      </c>
      <c r="M269">
        <f t="shared" si="93"/>
        <v>0.32786885245901642</v>
      </c>
      <c r="N269">
        <v>22</v>
      </c>
      <c r="O269">
        <f t="shared" si="88"/>
        <v>5.5</v>
      </c>
      <c r="P269">
        <f t="shared" si="89"/>
        <v>385</v>
      </c>
      <c r="Q269">
        <f t="shared" si="90"/>
        <v>0.65213114754098356</v>
      </c>
      <c r="R269">
        <f t="shared" si="92"/>
        <v>6.3177049180327849</v>
      </c>
    </row>
    <row r="270" spans="1:18" x14ac:dyDescent="0.3">
      <c r="A270" t="s">
        <v>2</v>
      </c>
      <c r="B270" s="1">
        <v>45095</v>
      </c>
      <c r="C270" t="s">
        <v>7</v>
      </c>
      <c r="D270" t="s">
        <v>10</v>
      </c>
      <c r="E270">
        <v>7</v>
      </c>
      <c r="F270">
        <v>12.9</v>
      </c>
      <c r="G270">
        <v>0</v>
      </c>
      <c r="H270">
        <f t="shared" ref="H270" si="94">13-F270-G270</f>
        <v>9.9999999999999645E-2</v>
      </c>
      <c r="I270">
        <f t="shared" si="85"/>
        <v>9.9999999999999645E-2</v>
      </c>
      <c r="J270">
        <f t="shared" si="86"/>
        <v>13</v>
      </c>
      <c r="K270">
        <f t="shared" si="87"/>
        <v>0.40000000000000036</v>
      </c>
      <c r="L270">
        <f t="shared" si="91"/>
        <v>7.8000000000000007</v>
      </c>
      <c r="M270">
        <f t="shared" si="93"/>
        <v>0.32786885245901642</v>
      </c>
      <c r="N270">
        <v>23</v>
      </c>
      <c r="O270">
        <f t="shared" si="88"/>
        <v>5.5</v>
      </c>
      <c r="P270">
        <f t="shared" si="89"/>
        <v>385</v>
      </c>
      <c r="Q270">
        <f t="shared" si="90"/>
        <v>0.65213114754098356</v>
      </c>
      <c r="R270">
        <f t="shared" si="92"/>
        <v>6.9698360655737686</v>
      </c>
    </row>
    <row r="271" spans="1:18" x14ac:dyDescent="0.3">
      <c r="A271" t="s">
        <v>3</v>
      </c>
      <c r="B271" s="1">
        <v>45096</v>
      </c>
      <c r="C271" t="s">
        <v>7</v>
      </c>
      <c r="D271" t="s">
        <v>10</v>
      </c>
      <c r="E271">
        <v>7</v>
      </c>
      <c r="F271">
        <v>12.6</v>
      </c>
      <c r="G271">
        <v>0.5</v>
      </c>
      <c r="H271">
        <v>0</v>
      </c>
      <c r="I271">
        <f t="shared" si="85"/>
        <v>0.5</v>
      </c>
      <c r="J271">
        <f t="shared" si="86"/>
        <v>13.1</v>
      </c>
      <c r="K271">
        <f t="shared" si="87"/>
        <v>0.29999999999999893</v>
      </c>
      <c r="L271">
        <f t="shared" si="91"/>
        <v>8.1</v>
      </c>
      <c r="M271">
        <f t="shared" si="93"/>
        <v>0.34426229508196715</v>
      </c>
      <c r="N271">
        <v>24</v>
      </c>
      <c r="O271">
        <f t="shared" si="88"/>
        <v>6</v>
      </c>
      <c r="P271">
        <f t="shared" si="89"/>
        <v>420</v>
      </c>
      <c r="Q271">
        <f t="shared" si="90"/>
        <v>0.63573770491803283</v>
      </c>
      <c r="R271">
        <f t="shared" si="92"/>
        <v>7.6055737704918016</v>
      </c>
    </row>
    <row r="272" spans="1:18" x14ac:dyDescent="0.3">
      <c r="A272" t="s">
        <v>4</v>
      </c>
      <c r="B272" s="1">
        <v>45097</v>
      </c>
      <c r="C272" t="s">
        <v>7</v>
      </c>
      <c r="D272" t="s">
        <v>10</v>
      </c>
      <c r="E272">
        <v>7</v>
      </c>
      <c r="F272">
        <v>12.8</v>
      </c>
      <c r="G272">
        <v>0</v>
      </c>
      <c r="H272">
        <f>12.8-F272-G272</f>
        <v>0</v>
      </c>
      <c r="I272">
        <f t="shared" si="85"/>
        <v>0</v>
      </c>
      <c r="J272">
        <f t="shared" si="86"/>
        <v>12.8</v>
      </c>
      <c r="K272">
        <f t="shared" si="87"/>
        <v>0.40000000000000036</v>
      </c>
      <c r="L272">
        <f>L271+K272</f>
        <v>8.5</v>
      </c>
      <c r="M272">
        <f t="shared" si="93"/>
        <v>0.29508196721311492</v>
      </c>
      <c r="N272">
        <v>25</v>
      </c>
      <c r="O272">
        <f t="shared" si="88"/>
        <v>6</v>
      </c>
      <c r="P272">
        <f t="shared" si="89"/>
        <v>420</v>
      </c>
      <c r="Q272">
        <f t="shared" si="90"/>
        <v>0.68491803278688512</v>
      </c>
      <c r="R272">
        <f t="shared" si="92"/>
        <v>8.2904918032786874</v>
      </c>
    </row>
    <row r="273" spans="1:18" x14ac:dyDescent="0.3">
      <c r="A273" t="s">
        <v>5</v>
      </c>
      <c r="B273" s="1">
        <v>45098</v>
      </c>
      <c r="C273" t="s">
        <v>7</v>
      </c>
      <c r="D273" t="s">
        <v>10</v>
      </c>
      <c r="E273">
        <v>7</v>
      </c>
      <c r="F273">
        <v>12.4</v>
      </c>
      <c r="G273">
        <v>0</v>
      </c>
      <c r="H273">
        <v>0</v>
      </c>
      <c r="I273">
        <f t="shared" si="85"/>
        <v>0</v>
      </c>
      <c r="J273">
        <f t="shared" si="86"/>
        <v>12.4</v>
      </c>
      <c r="K273">
        <f t="shared" si="87"/>
        <v>0.40000000000000036</v>
      </c>
      <c r="L273">
        <f t="shared" ref="L273:L288" si="95">L272+K273</f>
        <v>8.9</v>
      </c>
      <c r="M273">
        <f t="shared" si="93"/>
        <v>0.22950819672131154</v>
      </c>
      <c r="N273">
        <v>26</v>
      </c>
      <c r="O273">
        <f t="shared" si="88"/>
        <v>6</v>
      </c>
      <c r="P273">
        <f t="shared" si="89"/>
        <v>420</v>
      </c>
      <c r="Q273">
        <f t="shared" si="90"/>
        <v>0.75049180327868847</v>
      </c>
      <c r="R273">
        <f t="shared" si="92"/>
        <v>9.0409836065573757</v>
      </c>
    </row>
    <row r="274" spans="1:18" x14ac:dyDescent="0.3">
      <c r="A274" t="s">
        <v>6</v>
      </c>
      <c r="B274" s="1">
        <v>45099</v>
      </c>
      <c r="C274" t="s">
        <v>7</v>
      </c>
      <c r="D274" t="s">
        <v>10</v>
      </c>
      <c r="E274">
        <v>7</v>
      </c>
      <c r="F274">
        <v>12</v>
      </c>
      <c r="G274">
        <v>0.5</v>
      </c>
      <c r="H274">
        <v>0</v>
      </c>
      <c r="I274">
        <f t="shared" si="85"/>
        <v>0.5</v>
      </c>
      <c r="J274">
        <f t="shared" si="86"/>
        <v>12.5</v>
      </c>
      <c r="K274">
        <f t="shared" si="87"/>
        <v>0.40000000000000036</v>
      </c>
      <c r="L274">
        <f t="shared" si="95"/>
        <v>9.3000000000000007</v>
      </c>
      <c r="M274">
        <f t="shared" si="93"/>
        <v>0.24590163934426232</v>
      </c>
      <c r="N274">
        <v>27</v>
      </c>
      <c r="O274">
        <f t="shared" si="88"/>
        <v>6.5</v>
      </c>
      <c r="P274">
        <f t="shared" si="89"/>
        <v>455</v>
      </c>
      <c r="Q274">
        <f t="shared" si="90"/>
        <v>0.73409836065573764</v>
      </c>
      <c r="R274">
        <f t="shared" si="92"/>
        <v>9.7750819672131133</v>
      </c>
    </row>
    <row r="275" spans="1:18" x14ac:dyDescent="0.3">
      <c r="A275" t="s">
        <v>0</v>
      </c>
      <c r="B275" s="1">
        <v>45100</v>
      </c>
      <c r="C275" t="s">
        <v>7</v>
      </c>
      <c r="D275" t="s">
        <v>10</v>
      </c>
      <c r="E275">
        <v>7</v>
      </c>
      <c r="F275">
        <v>12.1</v>
      </c>
      <c r="G275">
        <v>0</v>
      </c>
      <c r="H275">
        <f>12.2-F275-G275</f>
        <v>9.9999999999999645E-2</v>
      </c>
      <c r="I275">
        <f t="shared" si="85"/>
        <v>9.9999999999999645E-2</v>
      </c>
      <c r="J275">
        <f t="shared" si="86"/>
        <v>12.2</v>
      </c>
      <c r="K275">
        <f t="shared" si="87"/>
        <v>0.29999999999999893</v>
      </c>
      <c r="L275">
        <f t="shared" si="95"/>
        <v>9.6</v>
      </c>
      <c r="M275">
        <f t="shared" si="93"/>
        <v>0.19672131147540972</v>
      </c>
      <c r="N275">
        <v>28</v>
      </c>
      <c r="O275">
        <f t="shared" si="88"/>
        <v>6.5</v>
      </c>
      <c r="P275">
        <f t="shared" si="89"/>
        <v>455</v>
      </c>
      <c r="Q275">
        <f t="shared" si="90"/>
        <v>0.78327868852459026</v>
      </c>
      <c r="R275">
        <f>R274+Q275</f>
        <v>10.558360655737703</v>
      </c>
    </row>
    <row r="276" spans="1:18" x14ac:dyDescent="0.3">
      <c r="A276" t="s">
        <v>1</v>
      </c>
      <c r="B276" s="1">
        <v>45101</v>
      </c>
      <c r="C276" t="s">
        <v>7</v>
      </c>
      <c r="D276" t="s">
        <v>10</v>
      </c>
      <c r="E276">
        <v>7</v>
      </c>
      <c r="F276">
        <v>11.9</v>
      </c>
      <c r="G276">
        <v>0</v>
      </c>
      <c r="H276">
        <f>12.2-F276-G276</f>
        <v>0.29999999999999893</v>
      </c>
      <c r="I276">
        <f t="shared" si="85"/>
        <v>0.29999999999999893</v>
      </c>
      <c r="J276">
        <f t="shared" si="86"/>
        <v>12.2</v>
      </c>
      <c r="K276">
        <f t="shared" si="87"/>
        <v>0.59999999999999964</v>
      </c>
      <c r="L276">
        <f t="shared" si="95"/>
        <v>10.199999999999999</v>
      </c>
      <c r="M276">
        <f t="shared" si="93"/>
        <v>0.19672131147540972</v>
      </c>
      <c r="N276">
        <v>29</v>
      </c>
      <c r="O276">
        <f t="shared" si="88"/>
        <v>6.5</v>
      </c>
      <c r="P276">
        <f t="shared" si="89"/>
        <v>455</v>
      </c>
      <c r="Q276">
        <f t="shared" si="90"/>
        <v>0.78327868852459026</v>
      </c>
      <c r="R276">
        <f t="shared" ref="R276:R285" si="96">R275+Q276</f>
        <v>11.341639344262292</v>
      </c>
    </row>
    <row r="277" spans="1:18" x14ac:dyDescent="0.3">
      <c r="A277" t="s">
        <v>2</v>
      </c>
      <c r="B277" s="1">
        <v>45102</v>
      </c>
      <c r="C277" t="s">
        <v>7</v>
      </c>
      <c r="D277" t="s">
        <v>10</v>
      </c>
      <c r="E277">
        <v>7</v>
      </c>
      <c r="F277">
        <v>11.6</v>
      </c>
      <c r="G277">
        <v>0</v>
      </c>
      <c r="H277">
        <f>12.2-F277-G277</f>
        <v>0.59999999999999964</v>
      </c>
      <c r="I277">
        <f t="shared" si="85"/>
        <v>0.59999999999999964</v>
      </c>
      <c r="J277">
        <f t="shared" si="86"/>
        <v>12.2</v>
      </c>
      <c r="K277">
        <f t="shared" si="87"/>
        <v>0.39999999999999858</v>
      </c>
      <c r="L277">
        <f t="shared" si="95"/>
        <v>10.599999999999998</v>
      </c>
      <c r="M277">
        <f t="shared" si="93"/>
        <v>0.19672131147540972</v>
      </c>
      <c r="N277">
        <v>30</v>
      </c>
      <c r="O277">
        <f t="shared" si="88"/>
        <v>6.5</v>
      </c>
      <c r="P277">
        <f t="shared" si="89"/>
        <v>455</v>
      </c>
      <c r="Q277">
        <f t="shared" si="90"/>
        <v>0.78327868852459026</v>
      </c>
      <c r="R277">
        <f t="shared" si="96"/>
        <v>12.124918032786882</v>
      </c>
    </row>
    <row r="278" spans="1:18" x14ac:dyDescent="0.3">
      <c r="A278" t="s">
        <v>3</v>
      </c>
      <c r="B278" s="1">
        <v>45103</v>
      </c>
      <c r="C278" t="s">
        <v>7</v>
      </c>
      <c r="D278" t="s">
        <v>10</v>
      </c>
      <c r="E278">
        <v>7</v>
      </c>
      <c r="F278">
        <v>11.8</v>
      </c>
      <c r="G278">
        <v>0.5</v>
      </c>
      <c r="H278">
        <v>0</v>
      </c>
      <c r="I278">
        <f t="shared" si="85"/>
        <v>0.5</v>
      </c>
      <c r="J278">
        <f t="shared" si="86"/>
        <v>12.3</v>
      </c>
      <c r="K278">
        <f t="shared" si="87"/>
        <v>0.30000000000000071</v>
      </c>
      <c r="L278">
        <f t="shared" si="95"/>
        <v>10.899999999999999</v>
      </c>
      <c r="M278">
        <f t="shared" si="93"/>
        <v>0.21311475409836078</v>
      </c>
      <c r="N278">
        <v>31</v>
      </c>
      <c r="O278">
        <f t="shared" si="88"/>
        <v>7</v>
      </c>
      <c r="P278">
        <f t="shared" si="89"/>
        <v>490</v>
      </c>
      <c r="Q278">
        <f t="shared" si="90"/>
        <v>0.7668852459016392</v>
      </c>
      <c r="R278">
        <f t="shared" si="96"/>
        <v>12.891803278688521</v>
      </c>
    </row>
    <row r="279" spans="1:18" x14ac:dyDescent="0.3">
      <c r="A279" t="s">
        <v>4</v>
      </c>
      <c r="B279" s="1">
        <v>45104</v>
      </c>
      <c r="C279" t="s">
        <v>7</v>
      </c>
      <c r="D279" t="s">
        <v>10</v>
      </c>
      <c r="E279">
        <v>7</v>
      </c>
      <c r="F279">
        <v>12</v>
      </c>
      <c r="G279">
        <v>0</v>
      </c>
      <c r="H279">
        <f>12.1-F279-G279</f>
        <v>9.9999999999999645E-2</v>
      </c>
      <c r="I279">
        <f t="shared" si="85"/>
        <v>9.9999999999999645E-2</v>
      </c>
      <c r="J279">
        <f t="shared" si="86"/>
        <v>12.1</v>
      </c>
      <c r="K279">
        <f t="shared" si="87"/>
        <v>0.40000000000000036</v>
      </c>
      <c r="L279">
        <f t="shared" si="95"/>
        <v>11.299999999999999</v>
      </c>
      <c r="M279">
        <f t="shared" si="93"/>
        <v>0.18032786885245897</v>
      </c>
      <c r="N279">
        <v>32</v>
      </c>
      <c r="O279">
        <f t="shared" si="88"/>
        <v>7</v>
      </c>
      <c r="P279">
        <f t="shared" si="89"/>
        <v>490</v>
      </c>
      <c r="Q279">
        <f t="shared" si="90"/>
        <v>0.79967213114754099</v>
      </c>
      <c r="R279">
        <f t="shared" si="96"/>
        <v>13.691475409836062</v>
      </c>
    </row>
    <row r="280" spans="1:18" x14ac:dyDescent="0.3">
      <c r="A280" t="s">
        <v>5</v>
      </c>
      <c r="B280" s="1">
        <v>45105</v>
      </c>
      <c r="C280" t="s">
        <v>7</v>
      </c>
      <c r="D280" t="s">
        <v>10</v>
      </c>
      <c r="E280">
        <v>7</v>
      </c>
      <c r="F280">
        <v>11.7</v>
      </c>
      <c r="G280">
        <v>0</v>
      </c>
      <c r="H280">
        <f t="shared" ref="H280:H281" si="97">12.1-F280-G280</f>
        <v>0.40000000000000036</v>
      </c>
      <c r="I280">
        <f t="shared" si="85"/>
        <v>0.40000000000000036</v>
      </c>
      <c r="J280">
        <f t="shared" si="86"/>
        <v>12.1</v>
      </c>
      <c r="K280">
        <f t="shared" si="87"/>
        <v>0.5</v>
      </c>
      <c r="L280">
        <f t="shared" si="95"/>
        <v>11.799999999999999</v>
      </c>
      <c r="M280">
        <f t="shared" si="93"/>
        <v>0.18032786885245897</v>
      </c>
      <c r="N280">
        <v>33</v>
      </c>
      <c r="O280">
        <f t="shared" si="88"/>
        <v>7</v>
      </c>
      <c r="P280">
        <f t="shared" si="89"/>
        <v>490</v>
      </c>
      <c r="Q280">
        <f t="shared" si="90"/>
        <v>0.79967213114754099</v>
      </c>
      <c r="R280">
        <f t="shared" si="96"/>
        <v>14.491147540983604</v>
      </c>
    </row>
    <row r="281" spans="1:18" x14ac:dyDescent="0.3">
      <c r="A281" t="s">
        <v>6</v>
      </c>
      <c r="B281" s="1">
        <v>45106</v>
      </c>
      <c r="C281" t="s">
        <v>7</v>
      </c>
      <c r="D281" t="s">
        <v>10</v>
      </c>
      <c r="E281">
        <v>7</v>
      </c>
      <c r="F281">
        <v>11.6</v>
      </c>
      <c r="G281">
        <v>0.5</v>
      </c>
      <c r="H281">
        <f t="shared" si="97"/>
        <v>0</v>
      </c>
      <c r="I281">
        <f t="shared" si="85"/>
        <v>0.5</v>
      </c>
      <c r="J281">
        <f t="shared" si="86"/>
        <v>12.1</v>
      </c>
      <c r="K281">
        <f t="shared" si="87"/>
        <v>0.29999999999999893</v>
      </c>
      <c r="L281">
        <f t="shared" si="95"/>
        <v>12.099999999999998</v>
      </c>
      <c r="M281">
        <f t="shared" si="93"/>
        <v>0.18032786885245897</v>
      </c>
      <c r="N281">
        <v>34</v>
      </c>
      <c r="O281">
        <f t="shared" si="88"/>
        <v>7.5</v>
      </c>
      <c r="P281">
        <f t="shared" si="89"/>
        <v>525</v>
      </c>
      <c r="Q281">
        <f t="shared" si="90"/>
        <v>0.79967213114754099</v>
      </c>
      <c r="R281">
        <f t="shared" si="96"/>
        <v>15.290819672131146</v>
      </c>
    </row>
    <row r="282" spans="1:18" x14ac:dyDescent="0.3">
      <c r="A282" t="s">
        <v>0</v>
      </c>
      <c r="B282" s="1">
        <v>45107</v>
      </c>
      <c r="C282" t="s">
        <v>7</v>
      </c>
      <c r="D282" t="s">
        <v>10</v>
      </c>
      <c r="E282">
        <v>7</v>
      </c>
      <c r="F282">
        <v>11.8</v>
      </c>
      <c r="G282">
        <v>0</v>
      </c>
      <c r="H282">
        <f>12.1-F282-G282</f>
        <v>0.29999999999999893</v>
      </c>
      <c r="I282">
        <f t="shared" si="85"/>
        <v>0.29999999999999893</v>
      </c>
      <c r="J282">
        <f t="shared" si="86"/>
        <v>12.1</v>
      </c>
      <c r="K282">
        <f t="shared" si="87"/>
        <v>0.29999999999999893</v>
      </c>
      <c r="L282">
        <f t="shared" si="95"/>
        <v>12.399999999999997</v>
      </c>
      <c r="M282">
        <f t="shared" si="93"/>
        <v>0.18032786885245897</v>
      </c>
      <c r="N282">
        <v>35</v>
      </c>
      <c r="O282">
        <f t="shared" si="88"/>
        <v>7.5</v>
      </c>
      <c r="P282">
        <f t="shared" si="89"/>
        <v>525</v>
      </c>
      <c r="Q282">
        <f t="shared" si="90"/>
        <v>0.79967213114754099</v>
      </c>
      <c r="R282">
        <f t="shared" si="96"/>
        <v>16.090491803278688</v>
      </c>
    </row>
    <row r="283" spans="1:18" x14ac:dyDescent="0.3">
      <c r="A283" t="s">
        <v>1</v>
      </c>
      <c r="B283" s="1">
        <v>45108</v>
      </c>
      <c r="C283" t="s">
        <v>7</v>
      </c>
      <c r="D283" t="s">
        <v>10</v>
      </c>
      <c r="E283">
        <v>7</v>
      </c>
      <c r="F283">
        <v>11.8</v>
      </c>
      <c r="G283">
        <v>0</v>
      </c>
      <c r="H283">
        <v>4.2</v>
      </c>
      <c r="I283">
        <f t="shared" si="85"/>
        <v>4.2</v>
      </c>
      <c r="J283">
        <f t="shared" si="86"/>
        <v>16</v>
      </c>
      <c r="K283">
        <f t="shared" si="87"/>
        <v>0.19999999999999929</v>
      </c>
      <c r="L283">
        <f t="shared" si="95"/>
        <v>12.599999999999996</v>
      </c>
      <c r="M283">
        <f t="shared" si="93"/>
        <v>0.81967213114754101</v>
      </c>
      <c r="N283">
        <v>36</v>
      </c>
      <c r="O283">
        <f t="shared" si="88"/>
        <v>7.5</v>
      </c>
      <c r="P283">
        <f t="shared" si="89"/>
        <v>525</v>
      </c>
      <c r="Q283">
        <f t="shared" si="90"/>
        <v>0.16032786885245898</v>
      </c>
      <c r="R283">
        <f t="shared" si="96"/>
        <v>16.250819672131147</v>
      </c>
    </row>
    <row r="284" spans="1:18" x14ac:dyDescent="0.3">
      <c r="A284" t="s">
        <v>2</v>
      </c>
      <c r="B284" s="1">
        <v>45109</v>
      </c>
      <c r="C284" t="s">
        <v>7</v>
      </c>
      <c r="D284" t="s">
        <v>10</v>
      </c>
      <c r="E284">
        <v>7</v>
      </c>
      <c r="F284">
        <v>15.8</v>
      </c>
      <c r="G284">
        <v>0</v>
      </c>
      <c r="H284">
        <v>0</v>
      </c>
      <c r="I284">
        <f t="shared" si="85"/>
        <v>0</v>
      </c>
      <c r="J284">
        <f t="shared" si="86"/>
        <v>15.8</v>
      </c>
      <c r="K284">
        <f t="shared" si="87"/>
        <v>0.30000000000000071</v>
      </c>
      <c r="L284">
        <f t="shared" si="95"/>
        <v>12.899999999999997</v>
      </c>
      <c r="M284">
        <f t="shared" si="93"/>
        <v>0.78688524590163955</v>
      </c>
      <c r="N284">
        <v>37</v>
      </c>
      <c r="O284">
        <f t="shared" si="88"/>
        <v>7.5</v>
      </c>
      <c r="P284">
        <f t="shared" si="89"/>
        <v>525</v>
      </c>
      <c r="Q284">
        <f t="shared" si="90"/>
        <v>0.19311475409836043</v>
      </c>
      <c r="R284">
        <f t="shared" si="96"/>
        <v>16.443934426229507</v>
      </c>
    </row>
    <row r="285" spans="1:18" x14ac:dyDescent="0.3">
      <c r="A285" t="s">
        <v>3</v>
      </c>
      <c r="B285" s="1">
        <v>45110</v>
      </c>
      <c r="C285" t="s">
        <v>7</v>
      </c>
      <c r="D285" t="s">
        <v>10</v>
      </c>
      <c r="E285">
        <v>7</v>
      </c>
      <c r="F285">
        <v>15.5</v>
      </c>
      <c r="G285">
        <v>0.5</v>
      </c>
      <c r="H285">
        <v>0</v>
      </c>
      <c r="I285">
        <f t="shared" si="85"/>
        <v>0.5</v>
      </c>
      <c r="J285">
        <f t="shared" si="86"/>
        <v>16</v>
      </c>
      <c r="K285">
        <f t="shared" si="87"/>
        <v>0.30000000000000071</v>
      </c>
      <c r="L285">
        <f t="shared" si="95"/>
        <v>13.199999999999998</v>
      </c>
      <c r="M285">
        <f t="shared" si="93"/>
        <v>0.81967213114754101</v>
      </c>
      <c r="N285">
        <v>38</v>
      </c>
      <c r="O285">
        <f t="shared" si="88"/>
        <v>8</v>
      </c>
      <c r="P285">
        <f t="shared" si="89"/>
        <v>560</v>
      </c>
      <c r="Q285">
        <f t="shared" si="90"/>
        <v>0.16032786885245898</v>
      </c>
      <c r="R285">
        <f t="shared" si="96"/>
        <v>16.604262295081966</v>
      </c>
    </row>
    <row r="286" spans="1:18" x14ac:dyDescent="0.3">
      <c r="A286" t="s">
        <v>4</v>
      </c>
      <c r="B286" s="1">
        <v>45111</v>
      </c>
      <c r="C286" t="s">
        <v>7</v>
      </c>
      <c r="D286" t="s">
        <v>10</v>
      </c>
      <c r="E286">
        <v>7</v>
      </c>
      <c r="F286">
        <v>15.7</v>
      </c>
      <c r="G286">
        <v>0</v>
      </c>
      <c r="H286">
        <v>0</v>
      </c>
      <c r="I286">
        <f t="shared" si="85"/>
        <v>0</v>
      </c>
      <c r="J286">
        <f t="shared" si="86"/>
        <v>15.7</v>
      </c>
      <c r="K286">
        <f t="shared" si="87"/>
        <v>0.29999999999999893</v>
      </c>
      <c r="L286">
        <f t="shared" si="95"/>
        <v>13.499999999999996</v>
      </c>
      <c r="M286">
        <f t="shared" si="93"/>
        <v>0.77049180327868849</v>
      </c>
      <c r="N286">
        <v>39</v>
      </c>
      <c r="O286">
        <f t="shared" si="88"/>
        <v>8</v>
      </c>
      <c r="P286">
        <f t="shared" si="89"/>
        <v>560</v>
      </c>
      <c r="Q286">
        <f t="shared" si="90"/>
        <v>0.20950819672131149</v>
      </c>
      <c r="R286">
        <f t="shared" ref="R286:R288" si="98">R285+Q286</f>
        <v>16.813770491803279</v>
      </c>
    </row>
    <row r="287" spans="1:18" x14ac:dyDescent="0.3">
      <c r="A287" t="s">
        <v>5</v>
      </c>
      <c r="B287" s="1">
        <v>45112</v>
      </c>
      <c r="C287" t="s">
        <v>7</v>
      </c>
      <c r="D287" t="s">
        <v>10</v>
      </c>
      <c r="E287">
        <v>7</v>
      </c>
      <c r="F287">
        <v>15.4</v>
      </c>
      <c r="G287">
        <v>0</v>
      </c>
      <c r="H287">
        <v>0</v>
      </c>
      <c r="I287">
        <f t="shared" si="85"/>
        <v>0</v>
      </c>
      <c r="J287">
        <f t="shared" si="86"/>
        <v>15.4</v>
      </c>
      <c r="K287">
        <f t="shared" si="87"/>
        <v>0.5</v>
      </c>
      <c r="L287">
        <f t="shared" si="95"/>
        <v>13.999999999999996</v>
      </c>
      <c r="M287">
        <f t="shared" si="93"/>
        <v>0.7213114754098362</v>
      </c>
      <c r="N287">
        <v>40</v>
      </c>
      <c r="O287">
        <f t="shared" si="88"/>
        <v>8</v>
      </c>
      <c r="P287">
        <f t="shared" si="89"/>
        <v>560</v>
      </c>
      <c r="Q287">
        <f t="shared" si="90"/>
        <v>0.25868852459016378</v>
      </c>
      <c r="R287">
        <f t="shared" si="98"/>
        <v>17.072459016393442</v>
      </c>
    </row>
    <row r="288" spans="1:18" x14ac:dyDescent="0.3">
      <c r="A288" t="s">
        <v>6</v>
      </c>
      <c r="B288" s="1">
        <v>45113</v>
      </c>
      <c r="C288" t="s">
        <v>7</v>
      </c>
      <c r="D288" t="s">
        <v>10</v>
      </c>
      <c r="E288">
        <v>7</v>
      </c>
      <c r="F288">
        <v>14.9</v>
      </c>
      <c r="G288">
        <v>0</v>
      </c>
      <c r="H288">
        <v>0</v>
      </c>
      <c r="I288">
        <f t="shared" si="85"/>
        <v>0</v>
      </c>
      <c r="J288">
        <f t="shared" si="86"/>
        <v>14.9</v>
      </c>
      <c r="K288">
        <f t="shared" si="87"/>
        <v>0.40000000000000036</v>
      </c>
      <c r="L288">
        <f t="shared" si="95"/>
        <v>14.399999999999997</v>
      </c>
      <c r="M288">
        <f t="shared" si="93"/>
        <v>0.63934426229508201</v>
      </c>
      <c r="N288">
        <v>41</v>
      </c>
      <c r="O288">
        <f t="shared" si="88"/>
        <v>8</v>
      </c>
      <c r="P288">
        <f t="shared" si="89"/>
        <v>560</v>
      </c>
      <c r="Q288">
        <f t="shared" si="90"/>
        <v>0.34065573770491797</v>
      </c>
      <c r="R288">
        <f t="shared" si="98"/>
        <v>17.413114754098359</v>
      </c>
    </row>
    <row r="289" spans="1:18" x14ac:dyDescent="0.3">
      <c r="A289" t="s">
        <v>0</v>
      </c>
      <c r="B289" s="1">
        <v>45114</v>
      </c>
      <c r="C289" t="s">
        <v>7</v>
      </c>
      <c r="D289" t="s">
        <v>10</v>
      </c>
      <c r="E289">
        <v>7</v>
      </c>
      <c r="F289">
        <v>14.5</v>
      </c>
    </row>
    <row r="290" spans="1:18" x14ac:dyDescent="0.3">
      <c r="A290" t="s">
        <v>1</v>
      </c>
      <c r="B290" s="1">
        <v>45073</v>
      </c>
      <c r="C290" t="s">
        <v>7</v>
      </c>
      <c r="D290" t="s">
        <v>10</v>
      </c>
      <c r="E290">
        <v>8</v>
      </c>
      <c r="F290">
        <v>17</v>
      </c>
      <c r="G290">
        <v>0</v>
      </c>
      <c r="H290">
        <v>0</v>
      </c>
      <c r="I290">
        <f>H290+G290</f>
        <v>0</v>
      </c>
      <c r="J290">
        <f>I290+F290</f>
        <v>17</v>
      </c>
      <c r="K290">
        <f>J290-F291</f>
        <v>0.5</v>
      </c>
      <c r="M290">
        <f t="shared" si="93"/>
        <v>0.98360655737704927</v>
      </c>
      <c r="N290">
        <v>1</v>
      </c>
      <c r="O290">
        <v>2.5</v>
      </c>
      <c r="P290">
        <f>O290*70</f>
        <v>175</v>
      </c>
    </row>
    <row r="291" spans="1:18" x14ac:dyDescent="0.3">
      <c r="A291" t="s">
        <v>2</v>
      </c>
      <c r="B291" s="1">
        <v>45074</v>
      </c>
      <c r="C291" t="s">
        <v>7</v>
      </c>
      <c r="D291" t="s">
        <v>10</v>
      </c>
      <c r="E291">
        <v>8</v>
      </c>
      <c r="F291">
        <v>16.5</v>
      </c>
      <c r="G291">
        <v>0</v>
      </c>
      <c r="H291">
        <v>0</v>
      </c>
      <c r="I291">
        <f t="shared" ref="I291:I331" si="99">H291+G291</f>
        <v>0</v>
      </c>
      <c r="J291">
        <f t="shared" ref="J291:J330" si="100">I291+F291</f>
        <v>16.5</v>
      </c>
      <c r="K291">
        <f t="shared" ref="K291:K310" si="101">J291-F292</f>
        <v>0.5</v>
      </c>
      <c r="L291">
        <f>K290+K291</f>
        <v>1</v>
      </c>
      <c r="M291">
        <f t="shared" si="93"/>
        <v>0.90163934426229508</v>
      </c>
      <c r="N291">
        <v>2</v>
      </c>
      <c r="O291">
        <f t="shared" ref="O291:O330" si="102">O290+G291</f>
        <v>2.5</v>
      </c>
      <c r="P291">
        <f t="shared" ref="P291:P330" si="103">O291*70</f>
        <v>175</v>
      </c>
      <c r="Q291">
        <f t="shared" ref="Q291:Q330" si="104">0.98-M291</f>
        <v>7.8360655737704898E-2</v>
      </c>
      <c r="R291">
        <f>Q290+Q291</f>
        <v>7.8360655737704898E-2</v>
      </c>
    </row>
    <row r="292" spans="1:18" x14ac:dyDescent="0.3">
      <c r="A292" t="s">
        <v>3</v>
      </c>
      <c r="B292" s="1">
        <v>45075</v>
      </c>
      <c r="C292" t="s">
        <v>7</v>
      </c>
      <c r="D292" t="s">
        <v>10</v>
      </c>
      <c r="E292">
        <v>8</v>
      </c>
      <c r="F292">
        <v>16</v>
      </c>
      <c r="G292">
        <v>0.25</v>
      </c>
      <c r="H292">
        <v>0</v>
      </c>
      <c r="I292">
        <f t="shared" si="99"/>
        <v>0.25</v>
      </c>
      <c r="J292">
        <f t="shared" si="100"/>
        <v>16.25</v>
      </c>
      <c r="K292">
        <f t="shared" si="101"/>
        <v>0.44999999999999929</v>
      </c>
      <c r="L292">
        <f>L291+K292</f>
        <v>1.4499999999999993</v>
      </c>
      <c r="M292">
        <f t="shared" si="93"/>
        <v>0.8606557377049181</v>
      </c>
      <c r="N292">
        <v>3</v>
      </c>
      <c r="O292">
        <f t="shared" si="102"/>
        <v>2.75</v>
      </c>
      <c r="P292">
        <f t="shared" si="103"/>
        <v>192.5</v>
      </c>
      <c r="Q292">
        <f t="shared" si="104"/>
        <v>0.11934426229508188</v>
      </c>
      <c r="R292">
        <f>R291+Q292</f>
        <v>0.19770491803278678</v>
      </c>
    </row>
    <row r="293" spans="1:18" x14ac:dyDescent="0.3">
      <c r="A293" t="s">
        <v>4</v>
      </c>
      <c r="B293" s="1">
        <v>45076</v>
      </c>
      <c r="C293" t="s">
        <v>7</v>
      </c>
      <c r="D293" t="s">
        <v>10</v>
      </c>
      <c r="E293">
        <v>8</v>
      </c>
      <c r="F293">
        <v>15.8</v>
      </c>
      <c r="G293">
        <v>0.25</v>
      </c>
      <c r="H293">
        <v>0</v>
      </c>
      <c r="I293">
        <f t="shared" si="99"/>
        <v>0.25</v>
      </c>
      <c r="J293">
        <f t="shared" si="100"/>
        <v>16.05</v>
      </c>
      <c r="K293">
        <f t="shared" si="101"/>
        <v>0.75</v>
      </c>
      <c r="L293">
        <f t="shared" ref="L293:L313" si="105">L292+K293</f>
        <v>2.1999999999999993</v>
      </c>
      <c r="M293">
        <f t="shared" si="93"/>
        <v>0.82786885245901654</v>
      </c>
      <c r="N293">
        <v>4</v>
      </c>
      <c r="O293">
        <f t="shared" si="102"/>
        <v>3</v>
      </c>
      <c r="P293">
        <f t="shared" si="103"/>
        <v>210</v>
      </c>
      <c r="Q293">
        <f t="shared" si="104"/>
        <v>0.15213114754098345</v>
      </c>
      <c r="R293">
        <f t="shared" ref="R293:R316" si="106">R292+Q293</f>
        <v>0.34983606557377023</v>
      </c>
    </row>
    <row r="294" spans="1:18" x14ac:dyDescent="0.3">
      <c r="A294" t="s">
        <v>5</v>
      </c>
      <c r="B294" s="1">
        <v>45077</v>
      </c>
      <c r="C294" t="s">
        <v>7</v>
      </c>
      <c r="D294" t="s">
        <v>10</v>
      </c>
      <c r="E294">
        <v>8</v>
      </c>
      <c r="F294">
        <v>15.3</v>
      </c>
      <c r="G294">
        <v>0</v>
      </c>
      <c r="H294">
        <v>0</v>
      </c>
      <c r="I294">
        <f t="shared" si="99"/>
        <v>0</v>
      </c>
      <c r="J294">
        <f t="shared" si="100"/>
        <v>15.3</v>
      </c>
      <c r="K294">
        <f t="shared" si="101"/>
        <v>0.5</v>
      </c>
      <c r="L294">
        <f t="shared" si="105"/>
        <v>2.6999999999999993</v>
      </c>
      <c r="M294">
        <f t="shared" si="93"/>
        <v>0.70491803278688536</v>
      </c>
      <c r="N294">
        <v>5</v>
      </c>
      <c r="O294">
        <f t="shared" si="102"/>
        <v>3</v>
      </c>
      <c r="P294">
        <f t="shared" si="103"/>
        <v>210</v>
      </c>
      <c r="Q294">
        <f t="shared" si="104"/>
        <v>0.27508196721311462</v>
      </c>
      <c r="R294">
        <f t="shared" si="106"/>
        <v>0.62491803278688485</v>
      </c>
    </row>
    <row r="295" spans="1:18" x14ac:dyDescent="0.3">
      <c r="A295" t="s">
        <v>6</v>
      </c>
      <c r="B295" s="1">
        <v>45078</v>
      </c>
      <c r="C295" t="s">
        <v>7</v>
      </c>
      <c r="D295" t="s">
        <v>10</v>
      </c>
      <c r="E295">
        <v>8</v>
      </c>
      <c r="F295">
        <v>14.8</v>
      </c>
      <c r="G295">
        <v>0.25</v>
      </c>
      <c r="H295">
        <v>0</v>
      </c>
      <c r="I295">
        <f t="shared" si="99"/>
        <v>0.25</v>
      </c>
      <c r="J295">
        <f t="shared" si="100"/>
        <v>15.05</v>
      </c>
      <c r="K295">
        <f t="shared" si="101"/>
        <v>0.35000000000000142</v>
      </c>
      <c r="L295">
        <f t="shared" si="105"/>
        <v>3.0500000000000007</v>
      </c>
      <c r="M295">
        <f t="shared" si="93"/>
        <v>0.66393442622950838</v>
      </c>
      <c r="N295">
        <v>6</v>
      </c>
      <c r="O295">
        <f t="shared" si="102"/>
        <v>3.25</v>
      </c>
      <c r="P295">
        <f t="shared" si="103"/>
        <v>227.5</v>
      </c>
      <c r="Q295">
        <f t="shared" si="104"/>
        <v>0.3160655737704916</v>
      </c>
      <c r="R295">
        <f t="shared" si="106"/>
        <v>0.94098360655737645</v>
      </c>
    </row>
    <row r="296" spans="1:18" x14ac:dyDescent="0.3">
      <c r="A296" t="s">
        <v>0</v>
      </c>
      <c r="B296" s="1">
        <v>45079</v>
      </c>
      <c r="C296" t="s">
        <v>7</v>
      </c>
      <c r="D296" t="s">
        <v>10</v>
      </c>
      <c r="E296">
        <v>8</v>
      </c>
      <c r="F296">
        <v>14.7</v>
      </c>
      <c r="G296">
        <v>0.25</v>
      </c>
      <c r="H296">
        <v>0</v>
      </c>
      <c r="I296">
        <f t="shared" si="99"/>
        <v>0.25</v>
      </c>
      <c r="J296">
        <f t="shared" si="100"/>
        <v>14.95</v>
      </c>
      <c r="K296">
        <f t="shared" si="101"/>
        <v>0.25</v>
      </c>
      <c r="L296">
        <f t="shared" si="105"/>
        <v>3.3000000000000007</v>
      </c>
      <c r="M296">
        <f t="shared" si="93"/>
        <v>0.64754098360655732</v>
      </c>
      <c r="N296">
        <v>7</v>
      </c>
      <c r="O296">
        <f t="shared" si="102"/>
        <v>3.5</v>
      </c>
      <c r="P296">
        <f t="shared" si="103"/>
        <v>245</v>
      </c>
      <c r="Q296">
        <f t="shared" si="104"/>
        <v>0.33245901639344266</v>
      </c>
      <c r="R296">
        <f t="shared" si="106"/>
        <v>1.2734426229508191</v>
      </c>
    </row>
    <row r="297" spans="1:18" x14ac:dyDescent="0.3">
      <c r="A297" t="s">
        <v>1</v>
      </c>
      <c r="B297" s="1">
        <v>45080</v>
      </c>
      <c r="C297" t="s">
        <v>7</v>
      </c>
      <c r="D297" t="s">
        <v>10</v>
      </c>
      <c r="E297">
        <v>8</v>
      </c>
      <c r="F297">
        <v>14.7</v>
      </c>
      <c r="G297">
        <v>0</v>
      </c>
      <c r="H297">
        <v>0</v>
      </c>
      <c r="I297">
        <f t="shared" si="99"/>
        <v>0</v>
      </c>
      <c r="J297">
        <f t="shared" si="100"/>
        <v>14.7</v>
      </c>
      <c r="K297">
        <f t="shared" si="101"/>
        <v>0.39999999999999858</v>
      </c>
      <c r="L297">
        <f t="shared" si="105"/>
        <v>3.6999999999999993</v>
      </c>
      <c r="M297">
        <f t="shared" si="93"/>
        <v>0.60655737704918022</v>
      </c>
      <c r="N297">
        <v>8</v>
      </c>
      <c r="O297">
        <f t="shared" si="102"/>
        <v>3.5</v>
      </c>
      <c r="P297">
        <f t="shared" si="103"/>
        <v>245</v>
      </c>
      <c r="Q297">
        <f t="shared" si="104"/>
        <v>0.37344262295081976</v>
      </c>
      <c r="R297">
        <f t="shared" si="106"/>
        <v>1.6468852459016388</v>
      </c>
    </row>
    <row r="298" spans="1:18" x14ac:dyDescent="0.3">
      <c r="A298" t="s">
        <v>2</v>
      </c>
      <c r="B298" s="1">
        <v>45081</v>
      </c>
      <c r="C298" t="s">
        <v>7</v>
      </c>
      <c r="D298" t="s">
        <v>10</v>
      </c>
      <c r="E298">
        <v>8</v>
      </c>
      <c r="F298">
        <v>14.3</v>
      </c>
      <c r="G298">
        <v>0</v>
      </c>
      <c r="H298">
        <v>0</v>
      </c>
      <c r="I298">
        <f t="shared" si="99"/>
        <v>0</v>
      </c>
      <c r="J298">
        <f t="shared" si="100"/>
        <v>14.3</v>
      </c>
      <c r="K298">
        <f t="shared" si="101"/>
        <v>0.5</v>
      </c>
      <c r="L298">
        <f t="shared" si="105"/>
        <v>4.1999999999999993</v>
      </c>
      <c r="M298">
        <f t="shared" si="93"/>
        <v>0.54098360655737721</v>
      </c>
      <c r="N298">
        <v>9</v>
      </c>
      <c r="O298">
        <f t="shared" si="102"/>
        <v>3.5</v>
      </c>
      <c r="P298">
        <f t="shared" si="103"/>
        <v>245</v>
      </c>
      <c r="Q298">
        <f t="shared" si="104"/>
        <v>0.43901639344262278</v>
      </c>
      <c r="R298">
        <f t="shared" si="106"/>
        <v>2.0859016393442618</v>
      </c>
    </row>
    <row r="299" spans="1:18" x14ac:dyDescent="0.3">
      <c r="A299" t="s">
        <v>3</v>
      </c>
      <c r="B299" s="1">
        <v>45082</v>
      </c>
      <c r="C299" t="s">
        <v>7</v>
      </c>
      <c r="D299" t="s">
        <v>10</v>
      </c>
      <c r="E299">
        <v>8</v>
      </c>
      <c r="F299">
        <v>13.8</v>
      </c>
      <c r="G299">
        <v>0.25</v>
      </c>
      <c r="H299">
        <v>0</v>
      </c>
      <c r="I299">
        <f t="shared" si="99"/>
        <v>0.25</v>
      </c>
      <c r="J299">
        <f t="shared" si="100"/>
        <v>14.05</v>
      </c>
      <c r="K299">
        <f t="shared" si="101"/>
        <v>0.45000000000000107</v>
      </c>
      <c r="L299">
        <f t="shared" si="105"/>
        <v>4.6500000000000004</v>
      </c>
      <c r="M299">
        <f t="shared" si="93"/>
        <v>0.50000000000000011</v>
      </c>
      <c r="N299">
        <v>10</v>
      </c>
      <c r="O299">
        <f t="shared" si="102"/>
        <v>3.75</v>
      </c>
      <c r="P299">
        <f t="shared" si="103"/>
        <v>262.5</v>
      </c>
      <c r="Q299">
        <f t="shared" si="104"/>
        <v>0.47999999999999987</v>
      </c>
      <c r="R299">
        <f t="shared" si="106"/>
        <v>2.5659016393442617</v>
      </c>
    </row>
    <row r="300" spans="1:18" x14ac:dyDescent="0.3">
      <c r="A300" t="s">
        <v>4</v>
      </c>
      <c r="B300" s="1">
        <v>45083</v>
      </c>
      <c r="C300" t="s">
        <v>7</v>
      </c>
      <c r="D300" t="s">
        <v>10</v>
      </c>
      <c r="E300">
        <v>8</v>
      </c>
      <c r="F300">
        <v>13.6</v>
      </c>
      <c r="G300">
        <v>0.25</v>
      </c>
      <c r="H300">
        <v>0</v>
      </c>
      <c r="I300">
        <f t="shared" si="99"/>
        <v>0.25</v>
      </c>
      <c r="J300">
        <f t="shared" si="100"/>
        <v>13.85</v>
      </c>
      <c r="K300">
        <f t="shared" si="101"/>
        <v>0.65000000000000036</v>
      </c>
      <c r="L300">
        <f t="shared" si="105"/>
        <v>5.3000000000000007</v>
      </c>
      <c r="M300">
        <f t="shared" si="93"/>
        <v>0.46721311475409832</v>
      </c>
      <c r="N300">
        <v>11</v>
      </c>
      <c r="O300">
        <f t="shared" si="102"/>
        <v>4</v>
      </c>
      <c r="P300">
        <f t="shared" si="103"/>
        <v>280</v>
      </c>
      <c r="Q300">
        <f t="shared" si="104"/>
        <v>0.51278688524590166</v>
      </c>
      <c r="R300">
        <f t="shared" si="106"/>
        <v>3.0786885245901634</v>
      </c>
    </row>
    <row r="301" spans="1:18" x14ac:dyDescent="0.3">
      <c r="A301" t="s">
        <v>5</v>
      </c>
      <c r="B301" s="1">
        <v>45084</v>
      </c>
      <c r="C301" t="s">
        <v>7</v>
      </c>
      <c r="D301" t="s">
        <v>10</v>
      </c>
      <c r="E301">
        <v>8</v>
      </c>
      <c r="F301">
        <v>13.2</v>
      </c>
      <c r="G301">
        <v>0</v>
      </c>
      <c r="H301">
        <v>0</v>
      </c>
      <c r="I301">
        <f t="shared" si="99"/>
        <v>0</v>
      </c>
      <c r="J301">
        <f t="shared" si="100"/>
        <v>13.2</v>
      </c>
      <c r="K301">
        <f t="shared" si="101"/>
        <v>0.5</v>
      </c>
      <c r="L301">
        <f t="shared" si="105"/>
        <v>5.8000000000000007</v>
      </c>
      <c r="M301">
        <f t="shared" si="93"/>
        <v>0.36065573770491793</v>
      </c>
      <c r="N301">
        <v>12</v>
      </c>
      <c r="O301">
        <f t="shared" si="102"/>
        <v>4</v>
      </c>
      <c r="P301">
        <f t="shared" si="103"/>
        <v>280</v>
      </c>
      <c r="Q301">
        <f t="shared" si="104"/>
        <v>0.61934426229508199</v>
      </c>
      <c r="R301">
        <f t="shared" si="106"/>
        <v>3.6980327868852454</v>
      </c>
    </row>
    <row r="302" spans="1:18" x14ac:dyDescent="0.3">
      <c r="A302" t="s">
        <v>6</v>
      </c>
      <c r="B302" s="1">
        <v>45085</v>
      </c>
      <c r="C302" t="s">
        <v>7</v>
      </c>
      <c r="D302" t="s">
        <v>10</v>
      </c>
      <c r="E302">
        <v>8</v>
      </c>
      <c r="F302">
        <v>12.7</v>
      </c>
      <c r="G302">
        <v>0.25</v>
      </c>
      <c r="H302">
        <f t="shared" ref="H302:H306" si="107">13-F302-G302</f>
        <v>5.0000000000000711E-2</v>
      </c>
      <c r="I302">
        <f t="shared" si="99"/>
        <v>0.30000000000000071</v>
      </c>
      <c r="J302">
        <f t="shared" si="100"/>
        <v>13</v>
      </c>
      <c r="K302">
        <f t="shared" si="101"/>
        <v>0.5</v>
      </c>
      <c r="L302">
        <f t="shared" si="105"/>
        <v>6.3000000000000007</v>
      </c>
      <c r="M302">
        <f t="shared" si="93"/>
        <v>0.32786885245901642</v>
      </c>
      <c r="N302">
        <v>13</v>
      </c>
      <c r="O302">
        <f t="shared" si="102"/>
        <v>4.25</v>
      </c>
      <c r="P302">
        <f t="shared" si="103"/>
        <v>297.5</v>
      </c>
      <c r="Q302">
        <f t="shared" si="104"/>
        <v>0.65213114754098356</v>
      </c>
      <c r="R302">
        <f t="shared" si="106"/>
        <v>4.3501639344262291</v>
      </c>
    </row>
    <row r="303" spans="1:18" x14ac:dyDescent="0.3">
      <c r="A303" t="s">
        <v>0</v>
      </c>
      <c r="B303" s="1">
        <v>45086</v>
      </c>
      <c r="C303" t="s">
        <v>7</v>
      </c>
      <c r="D303" t="s">
        <v>10</v>
      </c>
      <c r="E303">
        <v>8</v>
      </c>
      <c r="F303">
        <v>12.5</v>
      </c>
      <c r="G303">
        <v>0.25</v>
      </c>
      <c r="H303">
        <f t="shared" si="107"/>
        <v>0.25</v>
      </c>
      <c r="I303">
        <f t="shared" si="99"/>
        <v>0.5</v>
      </c>
      <c r="J303">
        <f t="shared" si="100"/>
        <v>13</v>
      </c>
      <c r="K303">
        <f t="shared" si="101"/>
        <v>0.80000000000000071</v>
      </c>
      <c r="L303">
        <f t="shared" si="105"/>
        <v>7.1000000000000014</v>
      </c>
      <c r="M303">
        <f t="shared" si="93"/>
        <v>0.32786885245901642</v>
      </c>
      <c r="N303">
        <v>14</v>
      </c>
      <c r="O303">
        <f t="shared" si="102"/>
        <v>4.5</v>
      </c>
      <c r="P303">
        <f t="shared" si="103"/>
        <v>315</v>
      </c>
      <c r="Q303">
        <f t="shared" si="104"/>
        <v>0.65213114754098356</v>
      </c>
      <c r="R303">
        <f t="shared" si="106"/>
        <v>5.0022950819672127</v>
      </c>
    </row>
    <row r="304" spans="1:18" x14ac:dyDescent="0.3">
      <c r="A304" t="s">
        <v>1</v>
      </c>
      <c r="B304" s="1">
        <v>45087</v>
      </c>
      <c r="C304" t="s">
        <v>7</v>
      </c>
      <c r="D304" t="s">
        <v>10</v>
      </c>
      <c r="E304">
        <v>8</v>
      </c>
      <c r="F304">
        <v>12.2</v>
      </c>
      <c r="G304">
        <v>0</v>
      </c>
      <c r="H304">
        <f t="shared" si="107"/>
        <v>0.80000000000000071</v>
      </c>
      <c r="I304">
        <f t="shared" si="99"/>
        <v>0.80000000000000071</v>
      </c>
      <c r="J304">
        <f t="shared" si="100"/>
        <v>13</v>
      </c>
      <c r="K304">
        <f t="shared" si="101"/>
        <v>0.5</v>
      </c>
      <c r="L304">
        <f t="shared" si="105"/>
        <v>7.6000000000000014</v>
      </c>
      <c r="M304">
        <f t="shared" si="93"/>
        <v>0.32786885245901642</v>
      </c>
      <c r="N304">
        <v>15</v>
      </c>
      <c r="O304">
        <f t="shared" si="102"/>
        <v>4.5</v>
      </c>
      <c r="P304">
        <f t="shared" si="103"/>
        <v>315</v>
      </c>
      <c r="Q304">
        <f t="shared" si="104"/>
        <v>0.65213114754098356</v>
      </c>
      <c r="R304">
        <f t="shared" si="106"/>
        <v>5.6544262295081964</v>
      </c>
    </row>
    <row r="305" spans="1:18" x14ac:dyDescent="0.3">
      <c r="A305" t="s">
        <v>2</v>
      </c>
      <c r="B305" s="1">
        <v>45088</v>
      </c>
      <c r="C305" t="s">
        <v>7</v>
      </c>
      <c r="D305" t="s">
        <v>10</v>
      </c>
      <c r="E305">
        <v>8</v>
      </c>
      <c r="F305">
        <v>12.5</v>
      </c>
      <c r="G305">
        <v>0</v>
      </c>
      <c r="H305">
        <f t="shared" si="107"/>
        <v>0.5</v>
      </c>
      <c r="I305">
        <f t="shared" si="99"/>
        <v>0.5</v>
      </c>
      <c r="J305">
        <f t="shared" si="100"/>
        <v>13</v>
      </c>
      <c r="K305">
        <f t="shared" si="101"/>
        <v>0.5</v>
      </c>
      <c r="L305">
        <f t="shared" si="105"/>
        <v>8.1000000000000014</v>
      </c>
      <c r="M305">
        <f t="shared" si="93"/>
        <v>0.32786885245901642</v>
      </c>
      <c r="N305">
        <v>16</v>
      </c>
      <c r="O305">
        <f t="shared" si="102"/>
        <v>4.5</v>
      </c>
      <c r="P305">
        <f t="shared" si="103"/>
        <v>315</v>
      </c>
      <c r="Q305">
        <f t="shared" si="104"/>
        <v>0.65213114754098356</v>
      </c>
      <c r="R305">
        <f t="shared" si="106"/>
        <v>6.3065573770491801</v>
      </c>
    </row>
    <row r="306" spans="1:18" x14ac:dyDescent="0.3">
      <c r="A306" t="s">
        <v>3</v>
      </c>
      <c r="B306" s="1">
        <v>45089</v>
      </c>
      <c r="C306" t="s">
        <v>7</v>
      </c>
      <c r="D306" t="s">
        <v>10</v>
      </c>
      <c r="E306">
        <v>8</v>
      </c>
      <c r="F306">
        <v>12.5</v>
      </c>
      <c r="G306">
        <v>0.5</v>
      </c>
      <c r="H306">
        <f t="shared" si="107"/>
        <v>0</v>
      </c>
      <c r="I306">
        <f t="shared" si="99"/>
        <v>0.5</v>
      </c>
      <c r="J306">
        <f t="shared" si="100"/>
        <v>13</v>
      </c>
      <c r="K306">
        <f t="shared" si="101"/>
        <v>0.30000000000000071</v>
      </c>
      <c r="L306">
        <f t="shared" si="105"/>
        <v>8.4000000000000021</v>
      </c>
      <c r="M306">
        <f t="shared" si="93"/>
        <v>0.32786885245901642</v>
      </c>
      <c r="N306">
        <v>17</v>
      </c>
      <c r="O306">
        <f t="shared" si="102"/>
        <v>5</v>
      </c>
      <c r="P306">
        <f t="shared" si="103"/>
        <v>350</v>
      </c>
      <c r="Q306">
        <f t="shared" si="104"/>
        <v>0.65213114754098356</v>
      </c>
      <c r="R306">
        <f t="shared" si="106"/>
        <v>6.9586885245901637</v>
      </c>
    </row>
    <row r="307" spans="1:18" x14ac:dyDescent="0.3">
      <c r="A307" t="s">
        <v>4</v>
      </c>
      <c r="B307" s="1">
        <v>45090</v>
      </c>
      <c r="C307" t="s">
        <v>7</v>
      </c>
      <c r="D307" t="s">
        <v>10</v>
      </c>
      <c r="E307">
        <v>8</v>
      </c>
      <c r="F307">
        <v>12.7</v>
      </c>
      <c r="G307">
        <v>0</v>
      </c>
      <c r="H307">
        <f t="shared" ref="H307:H308" si="108">13-F307-G307</f>
        <v>0.30000000000000071</v>
      </c>
      <c r="I307">
        <f t="shared" si="99"/>
        <v>0.30000000000000071</v>
      </c>
      <c r="J307">
        <f t="shared" si="100"/>
        <v>13</v>
      </c>
      <c r="K307">
        <f t="shared" si="101"/>
        <v>0.5</v>
      </c>
      <c r="L307">
        <f t="shared" si="105"/>
        <v>8.9000000000000021</v>
      </c>
      <c r="M307">
        <f t="shared" si="93"/>
        <v>0.32786885245901642</v>
      </c>
      <c r="N307">
        <v>18</v>
      </c>
      <c r="O307">
        <f t="shared" si="102"/>
        <v>5</v>
      </c>
      <c r="P307">
        <f t="shared" si="103"/>
        <v>350</v>
      </c>
      <c r="Q307">
        <f t="shared" si="104"/>
        <v>0.65213114754098356</v>
      </c>
      <c r="R307">
        <f t="shared" si="106"/>
        <v>7.6108196721311474</v>
      </c>
    </row>
    <row r="308" spans="1:18" x14ac:dyDescent="0.3">
      <c r="A308" t="s">
        <v>5</v>
      </c>
      <c r="B308" s="1">
        <v>45091</v>
      </c>
      <c r="C308" t="s">
        <v>7</v>
      </c>
      <c r="D308" t="s">
        <v>10</v>
      </c>
      <c r="E308">
        <v>8</v>
      </c>
      <c r="F308">
        <v>12.5</v>
      </c>
      <c r="G308">
        <v>0</v>
      </c>
      <c r="H308">
        <f t="shared" si="108"/>
        <v>0.5</v>
      </c>
      <c r="I308">
        <f t="shared" si="99"/>
        <v>0.5</v>
      </c>
      <c r="J308">
        <f t="shared" si="100"/>
        <v>13</v>
      </c>
      <c r="K308">
        <f t="shared" si="101"/>
        <v>0.5</v>
      </c>
      <c r="L308">
        <f t="shared" si="105"/>
        <v>9.4000000000000021</v>
      </c>
      <c r="M308">
        <f t="shared" si="93"/>
        <v>0.32786885245901642</v>
      </c>
      <c r="N308">
        <v>19</v>
      </c>
      <c r="O308">
        <f t="shared" si="102"/>
        <v>5</v>
      </c>
      <c r="P308">
        <f t="shared" si="103"/>
        <v>350</v>
      </c>
      <c r="Q308">
        <f t="shared" si="104"/>
        <v>0.65213114754098356</v>
      </c>
      <c r="R308">
        <f t="shared" si="106"/>
        <v>8.2629508196721311</v>
      </c>
    </row>
    <row r="309" spans="1:18" x14ac:dyDescent="0.3">
      <c r="A309" t="s">
        <v>6</v>
      </c>
      <c r="B309" s="1">
        <v>45092</v>
      </c>
      <c r="C309" t="s">
        <v>7</v>
      </c>
      <c r="D309" t="s">
        <v>10</v>
      </c>
      <c r="E309">
        <v>8</v>
      </c>
      <c r="F309">
        <v>12.5</v>
      </c>
      <c r="G309">
        <v>0</v>
      </c>
      <c r="H309">
        <v>0</v>
      </c>
      <c r="I309">
        <f t="shared" si="99"/>
        <v>0</v>
      </c>
      <c r="J309">
        <f t="shared" si="100"/>
        <v>12.5</v>
      </c>
      <c r="K309">
        <f t="shared" si="101"/>
        <v>0.69999999999999929</v>
      </c>
      <c r="L309">
        <f t="shared" si="105"/>
        <v>10.100000000000001</v>
      </c>
      <c r="M309">
        <f t="shared" si="93"/>
        <v>0.24590163934426232</v>
      </c>
      <c r="N309">
        <v>20</v>
      </c>
      <c r="O309">
        <f t="shared" si="102"/>
        <v>5</v>
      </c>
      <c r="P309">
        <f t="shared" si="103"/>
        <v>350</v>
      </c>
      <c r="Q309">
        <f t="shared" si="104"/>
        <v>0.73409836065573764</v>
      </c>
      <c r="R309">
        <f t="shared" si="106"/>
        <v>8.9970491803278687</v>
      </c>
    </row>
    <row r="310" spans="1:18" x14ac:dyDescent="0.3">
      <c r="A310" t="s">
        <v>0</v>
      </c>
      <c r="B310" s="1">
        <v>45093</v>
      </c>
      <c r="C310" t="s">
        <v>7</v>
      </c>
      <c r="D310" t="s">
        <v>10</v>
      </c>
      <c r="E310">
        <v>8</v>
      </c>
      <c r="F310">
        <v>11.8</v>
      </c>
      <c r="G310">
        <v>0.5</v>
      </c>
      <c r="H310">
        <v>0</v>
      </c>
      <c r="I310">
        <f t="shared" si="99"/>
        <v>0.5</v>
      </c>
      <c r="J310">
        <f t="shared" si="100"/>
        <v>12.3</v>
      </c>
      <c r="K310">
        <f t="shared" si="101"/>
        <v>0.70000000000000107</v>
      </c>
      <c r="L310">
        <f t="shared" si="105"/>
        <v>10.800000000000002</v>
      </c>
      <c r="M310">
        <f t="shared" si="93"/>
        <v>0.21311475409836078</v>
      </c>
      <c r="N310">
        <v>21</v>
      </c>
      <c r="O310">
        <f t="shared" si="102"/>
        <v>5.5</v>
      </c>
      <c r="P310">
        <f t="shared" si="103"/>
        <v>385</v>
      </c>
      <c r="Q310">
        <f t="shared" si="104"/>
        <v>0.7668852459016392</v>
      </c>
      <c r="R310">
        <f t="shared" si="106"/>
        <v>9.7639344262295076</v>
      </c>
    </row>
    <row r="311" spans="1:18" x14ac:dyDescent="0.3">
      <c r="A311" t="s">
        <v>1</v>
      </c>
      <c r="B311" s="1">
        <v>45094</v>
      </c>
      <c r="C311" t="s">
        <v>7</v>
      </c>
      <c r="D311" t="s">
        <v>10</v>
      </c>
      <c r="E311">
        <v>8</v>
      </c>
      <c r="F311">
        <v>11.6</v>
      </c>
      <c r="G311">
        <v>0</v>
      </c>
      <c r="H311">
        <f>12.2-F311-G311</f>
        <v>0.59999999999999964</v>
      </c>
      <c r="I311">
        <f t="shared" si="99"/>
        <v>0.59999999999999964</v>
      </c>
      <c r="J311">
        <f t="shared" si="100"/>
        <v>12.2</v>
      </c>
      <c r="K311">
        <f>J311-F312</f>
        <v>0.5</v>
      </c>
      <c r="L311">
        <f t="shared" si="105"/>
        <v>11.300000000000002</v>
      </c>
      <c r="M311">
        <f t="shared" si="93"/>
        <v>0.19672131147540972</v>
      </c>
      <c r="N311">
        <v>22</v>
      </c>
      <c r="O311">
        <f t="shared" si="102"/>
        <v>5.5</v>
      </c>
      <c r="P311">
        <f t="shared" si="103"/>
        <v>385</v>
      </c>
      <c r="Q311">
        <f t="shared" si="104"/>
        <v>0.78327868852459026</v>
      </c>
      <c r="R311">
        <f t="shared" si="106"/>
        <v>10.547213114754097</v>
      </c>
    </row>
    <row r="312" spans="1:18" x14ac:dyDescent="0.3">
      <c r="A312" t="s">
        <v>2</v>
      </c>
      <c r="B312" s="1">
        <v>45095</v>
      </c>
      <c r="C312" t="s">
        <v>7</v>
      </c>
      <c r="D312" t="s">
        <v>10</v>
      </c>
      <c r="E312">
        <v>8</v>
      </c>
      <c r="F312">
        <v>11.7</v>
      </c>
      <c r="G312">
        <v>0</v>
      </c>
      <c r="H312">
        <f>12.2-F312-G312</f>
        <v>0.5</v>
      </c>
      <c r="I312">
        <f t="shared" si="99"/>
        <v>0.5</v>
      </c>
      <c r="J312">
        <f t="shared" si="100"/>
        <v>12.2</v>
      </c>
      <c r="K312">
        <f t="shared" ref="K312:K330" si="109">J312-F313</f>
        <v>0.59999999999999964</v>
      </c>
      <c r="L312">
        <f t="shared" si="105"/>
        <v>11.900000000000002</v>
      </c>
      <c r="M312">
        <f t="shared" si="93"/>
        <v>0.19672131147540972</v>
      </c>
      <c r="N312">
        <v>23</v>
      </c>
      <c r="O312">
        <f t="shared" si="102"/>
        <v>5.5</v>
      </c>
      <c r="P312">
        <f t="shared" si="103"/>
        <v>385</v>
      </c>
      <c r="Q312">
        <f t="shared" si="104"/>
        <v>0.78327868852459026</v>
      </c>
      <c r="R312">
        <f t="shared" si="106"/>
        <v>11.330491803278687</v>
      </c>
    </row>
    <row r="313" spans="1:18" x14ac:dyDescent="0.3">
      <c r="A313" t="s">
        <v>3</v>
      </c>
      <c r="B313" s="1">
        <v>45096</v>
      </c>
      <c r="C313" t="s">
        <v>7</v>
      </c>
      <c r="D313" t="s">
        <v>10</v>
      </c>
      <c r="E313">
        <v>8</v>
      </c>
      <c r="F313">
        <v>11.6</v>
      </c>
      <c r="G313">
        <v>0.5</v>
      </c>
      <c r="H313">
        <f t="shared" ref="H313:H314" si="110">12.2-F313-G313</f>
        <v>9.9999999999999645E-2</v>
      </c>
      <c r="I313">
        <f t="shared" si="99"/>
        <v>0.59999999999999964</v>
      </c>
      <c r="J313">
        <f t="shared" si="100"/>
        <v>12.2</v>
      </c>
      <c r="K313">
        <f t="shared" si="109"/>
        <v>0.69999999999999929</v>
      </c>
      <c r="L313">
        <f t="shared" si="105"/>
        <v>12.600000000000001</v>
      </c>
      <c r="M313">
        <f t="shared" si="93"/>
        <v>0.19672131147540972</v>
      </c>
      <c r="N313">
        <v>24</v>
      </c>
      <c r="O313">
        <f t="shared" si="102"/>
        <v>6</v>
      </c>
      <c r="P313">
        <f t="shared" si="103"/>
        <v>420</v>
      </c>
      <c r="Q313">
        <f t="shared" si="104"/>
        <v>0.78327868852459026</v>
      </c>
      <c r="R313">
        <f t="shared" si="106"/>
        <v>12.113770491803276</v>
      </c>
    </row>
    <row r="314" spans="1:18" x14ac:dyDescent="0.3">
      <c r="A314" t="s">
        <v>4</v>
      </c>
      <c r="B314" s="1">
        <v>45097</v>
      </c>
      <c r="C314" t="s">
        <v>7</v>
      </c>
      <c r="D314" t="s">
        <v>10</v>
      </c>
      <c r="E314">
        <v>8</v>
      </c>
      <c r="F314">
        <v>11.5</v>
      </c>
      <c r="G314">
        <v>0</v>
      </c>
      <c r="H314">
        <f t="shared" si="110"/>
        <v>0.69999999999999929</v>
      </c>
      <c r="I314">
        <f t="shared" si="99"/>
        <v>0.69999999999999929</v>
      </c>
      <c r="J314">
        <f t="shared" si="100"/>
        <v>12.2</v>
      </c>
      <c r="K314">
        <f t="shared" si="109"/>
        <v>0.69999999999999929</v>
      </c>
      <c r="L314">
        <f>L313+K314</f>
        <v>13.3</v>
      </c>
      <c r="M314">
        <f t="shared" si="93"/>
        <v>0.19672131147540972</v>
      </c>
      <c r="N314">
        <v>25</v>
      </c>
      <c r="O314">
        <f t="shared" si="102"/>
        <v>6</v>
      </c>
      <c r="P314">
        <f t="shared" si="103"/>
        <v>420</v>
      </c>
      <c r="Q314">
        <f t="shared" si="104"/>
        <v>0.78327868852459026</v>
      </c>
      <c r="R314">
        <f t="shared" si="106"/>
        <v>12.897049180327866</v>
      </c>
    </row>
    <row r="315" spans="1:18" x14ac:dyDescent="0.3">
      <c r="A315" t="s">
        <v>5</v>
      </c>
      <c r="B315" s="1">
        <v>45098</v>
      </c>
      <c r="C315" t="s">
        <v>7</v>
      </c>
      <c r="D315" t="s">
        <v>10</v>
      </c>
      <c r="E315">
        <v>8</v>
      </c>
      <c r="F315">
        <v>11.5</v>
      </c>
      <c r="G315">
        <v>0</v>
      </c>
      <c r="H315">
        <f>12.2-F315-G315</f>
        <v>0.69999999999999929</v>
      </c>
      <c r="I315">
        <f t="shared" si="99"/>
        <v>0.69999999999999929</v>
      </c>
      <c r="J315">
        <f t="shared" si="100"/>
        <v>12.2</v>
      </c>
      <c r="K315">
        <f t="shared" si="109"/>
        <v>0.69999999999999929</v>
      </c>
      <c r="L315">
        <f t="shared" ref="L315:L330" si="111">L314+K315</f>
        <v>14</v>
      </c>
      <c r="M315">
        <f t="shared" si="93"/>
        <v>0.19672131147540972</v>
      </c>
      <c r="N315">
        <v>26</v>
      </c>
      <c r="O315">
        <f t="shared" si="102"/>
        <v>6</v>
      </c>
      <c r="P315">
        <f t="shared" si="103"/>
        <v>420</v>
      </c>
      <c r="Q315">
        <f t="shared" si="104"/>
        <v>0.78327868852459026</v>
      </c>
      <c r="R315">
        <f t="shared" si="106"/>
        <v>13.680327868852455</v>
      </c>
    </row>
    <row r="316" spans="1:18" x14ac:dyDescent="0.3">
      <c r="A316" t="s">
        <v>6</v>
      </c>
      <c r="B316" s="1">
        <v>45099</v>
      </c>
      <c r="C316" t="s">
        <v>7</v>
      </c>
      <c r="D316" t="s">
        <v>10</v>
      </c>
      <c r="E316">
        <v>8</v>
      </c>
      <c r="F316">
        <v>11.5</v>
      </c>
      <c r="G316">
        <v>0.5</v>
      </c>
      <c r="H316">
        <f>12.1-F316-G316</f>
        <v>9.9999999999999645E-2</v>
      </c>
      <c r="I316">
        <f t="shared" si="99"/>
        <v>0.59999999999999964</v>
      </c>
      <c r="J316">
        <f t="shared" si="100"/>
        <v>12.1</v>
      </c>
      <c r="K316">
        <f t="shared" si="109"/>
        <v>0.5</v>
      </c>
      <c r="L316">
        <f t="shared" si="111"/>
        <v>14.5</v>
      </c>
      <c r="M316">
        <f t="shared" si="93"/>
        <v>0.18032786885245897</v>
      </c>
      <c r="N316">
        <v>27</v>
      </c>
      <c r="O316">
        <f t="shared" si="102"/>
        <v>6.5</v>
      </c>
      <c r="P316">
        <f t="shared" si="103"/>
        <v>455</v>
      </c>
      <c r="Q316">
        <f t="shared" si="104"/>
        <v>0.79967213114754099</v>
      </c>
      <c r="R316">
        <f t="shared" si="106"/>
        <v>14.479999999999997</v>
      </c>
    </row>
    <row r="317" spans="1:18" x14ac:dyDescent="0.3">
      <c r="A317" t="s">
        <v>0</v>
      </c>
      <c r="B317" s="1">
        <v>45100</v>
      </c>
      <c r="C317" t="s">
        <v>7</v>
      </c>
      <c r="D317" t="s">
        <v>10</v>
      </c>
      <c r="E317">
        <v>8</v>
      </c>
      <c r="F317">
        <v>11.6</v>
      </c>
      <c r="G317">
        <v>0</v>
      </c>
      <c r="H317">
        <f>12.1-F317-G317</f>
        <v>0.5</v>
      </c>
      <c r="I317">
        <f t="shared" si="99"/>
        <v>0.5</v>
      </c>
      <c r="J317">
        <f t="shared" si="100"/>
        <v>12.1</v>
      </c>
      <c r="K317">
        <f t="shared" si="109"/>
        <v>0.59999999999999964</v>
      </c>
      <c r="L317">
        <f t="shared" si="111"/>
        <v>15.1</v>
      </c>
      <c r="M317">
        <f t="shared" si="93"/>
        <v>0.18032786885245897</v>
      </c>
      <c r="N317">
        <v>28</v>
      </c>
      <c r="O317">
        <f t="shared" si="102"/>
        <v>6.5</v>
      </c>
      <c r="P317">
        <f t="shared" si="103"/>
        <v>455</v>
      </c>
      <c r="Q317">
        <f t="shared" si="104"/>
        <v>0.79967213114754099</v>
      </c>
      <c r="R317">
        <f>R316+Q317</f>
        <v>15.279672131147539</v>
      </c>
    </row>
    <row r="318" spans="1:18" x14ac:dyDescent="0.3">
      <c r="A318" t="s">
        <v>1</v>
      </c>
      <c r="B318" s="1">
        <v>45101</v>
      </c>
      <c r="C318" t="s">
        <v>7</v>
      </c>
      <c r="D318" t="s">
        <v>10</v>
      </c>
      <c r="E318">
        <v>8</v>
      </c>
      <c r="F318">
        <v>11.5</v>
      </c>
      <c r="G318">
        <v>0</v>
      </c>
      <c r="H318">
        <f>12.1-F318-G318</f>
        <v>0.59999999999999964</v>
      </c>
      <c r="I318">
        <f t="shared" si="99"/>
        <v>0.59999999999999964</v>
      </c>
      <c r="J318">
        <f t="shared" si="100"/>
        <v>12.1</v>
      </c>
      <c r="K318">
        <f t="shared" si="109"/>
        <v>0.59999999999999964</v>
      </c>
      <c r="L318">
        <f t="shared" si="111"/>
        <v>15.7</v>
      </c>
      <c r="M318">
        <f t="shared" si="93"/>
        <v>0.18032786885245897</v>
      </c>
      <c r="N318">
        <v>29</v>
      </c>
      <c r="O318">
        <f t="shared" si="102"/>
        <v>6.5</v>
      </c>
      <c r="P318">
        <f t="shared" si="103"/>
        <v>455</v>
      </c>
      <c r="Q318">
        <f t="shared" si="104"/>
        <v>0.79967213114754099</v>
      </c>
      <c r="R318">
        <f t="shared" ref="R318:R327" si="112">R317+Q318</f>
        <v>16.079344262295081</v>
      </c>
    </row>
    <row r="319" spans="1:18" x14ac:dyDescent="0.3">
      <c r="A319" t="s">
        <v>2</v>
      </c>
      <c r="B319" s="1">
        <v>45102</v>
      </c>
      <c r="C319" t="s">
        <v>7</v>
      </c>
      <c r="D319" t="s">
        <v>10</v>
      </c>
      <c r="E319">
        <v>8</v>
      </c>
      <c r="F319">
        <v>11.5</v>
      </c>
      <c r="G319">
        <v>0</v>
      </c>
      <c r="H319">
        <v>4.7</v>
      </c>
      <c r="I319">
        <f t="shared" si="99"/>
        <v>4.7</v>
      </c>
      <c r="J319">
        <f t="shared" si="100"/>
        <v>16.2</v>
      </c>
      <c r="K319">
        <f t="shared" si="109"/>
        <v>0.5</v>
      </c>
      <c r="L319">
        <f t="shared" si="111"/>
        <v>16.2</v>
      </c>
      <c r="M319">
        <f t="shared" si="93"/>
        <v>0.85245901639344257</v>
      </c>
      <c r="N319">
        <v>30</v>
      </c>
      <c r="O319">
        <f t="shared" si="102"/>
        <v>6.5</v>
      </c>
      <c r="P319">
        <f t="shared" si="103"/>
        <v>455</v>
      </c>
      <c r="Q319">
        <f t="shared" si="104"/>
        <v>0.12754098360655741</v>
      </c>
      <c r="R319">
        <f t="shared" si="112"/>
        <v>16.206885245901638</v>
      </c>
    </row>
    <row r="320" spans="1:18" x14ac:dyDescent="0.3">
      <c r="A320" t="s">
        <v>3</v>
      </c>
      <c r="B320" s="1">
        <v>45103</v>
      </c>
      <c r="C320" t="s">
        <v>7</v>
      </c>
      <c r="D320" t="s">
        <v>10</v>
      </c>
      <c r="E320">
        <v>8</v>
      </c>
      <c r="F320">
        <v>15.7</v>
      </c>
      <c r="G320">
        <v>0.5</v>
      </c>
      <c r="H320">
        <v>0</v>
      </c>
      <c r="I320">
        <f t="shared" si="99"/>
        <v>0.5</v>
      </c>
      <c r="J320">
        <f t="shared" si="100"/>
        <v>16.2</v>
      </c>
      <c r="K320">
        <f t="shared" si="109"/>
        <v>0.39999999999999858</v>
      </c>
      <c r="L320">
        <f t="shared" si="111"/>
        <v>16.599999999999998</v>
      </c>
      <c r="M320">
        <f t="shared" si="93"/>
        <v>0.85245901639344257</v>
      </c>
      <c r="N320">
        <v>31</v>
      </c>
      <c r="O320">
        <f t="shared" si="102"/>
        <v>7</v>
      </c>
      <c r="P320">
        <f t="shared" si="103"/>
        <v>490</v>
      </c>
      <c r="Q320">
        <f t="shared" si="104"/>
        <v>0.12754098360655741</v>
      </c>
      <c r="R320">
        <f t="shared" si="112"/>
        <v>16.334426229508196</v>
      </c>
    </row>
    <row r="321" spans="1:18" x14ac:dyDescent="0.3">
      <c r="A321" t="s">
        <v>4</v>
      </c>
      <c r="B321" s="1">
        <v>45104</v>
      </c>
      <c r="C321" t="s">
        <v>7</v>
      </c>
      <c r="D321" t="s">
        <v>10</v>
      </c>
      <c r="E321">
        <v>8</v>
      </c>
      <c r="F321">
        <v>15.8</v>
      </c>
      <c r="G321">
        <v>0</v>
      </c>
      <c r="H321">
        <v>0</v>
      </c>
      <c r="I321">
        <f t="shared" si="99"/>
        <v>0</v>
      </c>
      <c r="J321">
        <f t="shared" si="100"/>
        <v>15.8</v>
      </c>
      <c r="K321">
        <f t="shared" si="109"/>
        <v>0.70000000000000107</v>
      </c>
      <c r="L321">
        <f t="shared" si="111"/>
        <v>17.299999999999997</v>
      </c>
      <c r="M321">
        <f t="shared" si="93"/>
        <v>0.78688524590163955</v>
      </c>
      <c r="N321">
        <v>32</v>
      </c>
      <c r="O321">
        <f t="shared" si="102"/>
        <v>7</v>
      </c>
      <c r="P321">
        <f t="shared" si="103"/>
        <v>490</v>
      </c>
      <c r="Q321">
        <f t="shared" si="104"/>
        <v>0.19311475409836043</v>
      </c>
      <c r="R321">
        <f t="shared" si="112"/>
        <v>16.527540983606556</v>
      </c>
    </row>
    <row r="322" spans="1:18" x14ac:dyDescent="0.3">
      <c r="A322" t="s">
        <v>5</v>
      </c>
      <c r="B322" s="1">
        <v>45105</v>
      </c>
      <c r="C322" t="s">
        <v>7</v>
      </c>
      <c r="D322" t="s">
        <v>10</v>
      </c>
      <c r="E322">
        <v>8</v>
      </c>
      <c r="F322">
        <v>15.1</v>
      </c>
      <c r="G322">
        <v>0</v>
      </c>
      <c r="H322">
        <v>0</v>
      </c>
      <c r="I322">
        <f t="shared" si="99"/>
        <v>0</v>
      </c>
      <c r="J322">
        <f t="shared" si="100"/>
        <v>15.1</v>
      </c>
      <c r="K322">
        <f t="shared" si="109"/>
        <v>0.40000000000000036</v>
      </c>
      <c r="L322">
        <f t="shared" si="111"/>
        <v>17.699999999999996</v>
      </c>
      <c r="M322">
        <f t="shared" si="93"/>
        <v>0.67213114754098358</v>
      </c>
      <c r="N322">
        <v>33</v>
      </c>
      <c r="O322">
        <f t="shared" si="102"/>
        <v>7</v>
      </c>
      <c r="P322">
        <f t="shared" si="103"/>
        <v>490</v>
      </c>
      <c r="Q322">
        <f t="shared" si="104"/>
        <v>0.30786885245901641</v>
      </c>
      <c r="R322">
        <f t="shared" si="112"/>
        <v>16.835409836065573</v>
      </c>
    </row>
    <row r="323" spans="1:18" x14ac:dyDescent="0.3">
      <c r="A323" t="s">
        <v>6</v>
      </c>
      <c r="B323" s="1">
        <v>45106</v>
      </c>
      <c r="C323" t="s">
        <v>7</v>
      </c>
      <c r="D323" t="s">
        <v>10</v>
      </c>
      <c r="E323">
        <v>8</v>
      </c>
      <c r="F323">
        <v>14.7</v>
      </c>
      <c r="G323">
        <v>0.5</v>
      </c>
      <c r="H323">
        <v>0</v>
      </c>
      <c r="I323">
        <f t="shared" si="99"/>
        <v>0.5</v>
      </c>
      <c r="J323">
        <f t="shared" si="100"/>
        <v>15.2</v>
      </c>
      <c r="K323">
        <f t="shared" si="109"/>
        <v>0.5</v>
      </c>
      <c r="L323">
        <f t="shared" si="111"/>
        <v>18.199999999999996</v>
      </c>
      <c r="M323">
        <f t="shared" ref="M323:M330" si="113">(J323-11)/6.1</f>
        <v>0.6885245901639343</v>
      </c>
      <c r="N323">
        <v>34</v>
      </c>
      <c r="O323">
        <f t="shared" si="102"/>
        <v>7.5</v>
      </c>
      <c r="P323">
        <f t="shared" si="103"/>
        <v>525</v>
      </c>
      <c r="Q323">
        <f t="shared" si="104"/>
        <v>0.29147540983606568</v>
      </c>
      <c r="R323">
        <f t="shared" si="112"/>
        <v>17.12688524590164</v>
      </c>
    </row>
    <row r="324" spans="1:18" x14ac:dyDescent="0.3">
      <c r="A324" t="s">
        <v>0</v>
      </c>
      <c r="B324" s="1">
        <v>45107</v>
      </c>
      <c r="C324" t="s">
        <v>7</v>
      </c>
      <c r="D324" t="s">
        <v>10</v>
      </c>
      <c r="E324">
        <v>8</v>
      </c>
      <c r="F324">
        <v>14.7</v>
      </c>
      <c r="G324">
        <v>0</v>
      </c>
      <c r="H324">
        <v>0</v>
      </c>
      <c r="I324">
        <f t="shared" si="99"/>
        <v>0</v>
      </c>
      <c r="J324">
        <f t="shared" si="100"/>
        <v>14.7</v>
      </c>
      <c r="K324">
        <f t="shared" si="109"/>
        <v>0.29999999999999893</v>
      </c>
      <c r="L324">
        <f t="shared" si="111"/>
        <v>18.499999999999993</v>
      </c>
      <c r="M324">
        <f t="shared" si="113"/>
        <v>0.60655737704918022</v>
      </c>
      <c r="N324">
        <v>35</v>
      </c>
      <c r="O324">
        <f t="shared" si="102"/>
        <v>7.5</v>
      </c>
      <c r="P324">
        <f t="shared" si="103"/>
        <v>525</v>
      </c>
      <c r="Q324">
        <f t="shared" si="104"/>
        <v>0.37344262295081976</v>
      </c>
      <c r="R324">
        <f t="shared" si="112"/>
        <v>17.500327868852459</v>
      </c>
    </row>
    <row r="325" spans="1:18" x14ac:dyDescent="0.3">
      <c r="A325" t="s">
        <v>1</v>
      </c>
      <c r="B325" s="1">
        <v>45108</v>
      </c>
      <c r="C325" t="s">
        <v>7</v>
      </c>
      <c r="D325" t="s">
        <v>10</v>
      </c>
      <c r="E325">
        <v>8</v>
      </c>
      <c r="F325">
        <v>14.4</v>
      </c>
      <c r="G325">
        <v>0</v>
      </c>
      <c r="H325">
        <v>0</v>
      </c>
      <c r="I325">
        <f t="shared" si="99"/>
        <v>0</v>
      </c>
      <c r="J325">
        <f t="shared" si="100"/>
        <v>14.4</v>
      </c>
      <c r="K325">
        <f t="shared" si="109"/>
        <v>9.9999999999999645E-2</v>
      </c>
      <c r="L325">
        <f t="shared" si="111"/>
        <v>18.599999999999994</v>
      </c>
      <c r="M325">
        <f t="shared" si="113"/>
        <v>0.55737704918032793</v>
      </c>
      <c r="N325">
        <v>36</v>
      </c>
      <c r="O325">
        <f t="shared" si="102"/>
        <v>7.5</v>
      </c>
      <c r="P325">
        <f t="shared" si="103"/>
        <v>525</v>
      </c>
      <c r="Q325">
        <f t="shared" si="104"/>
        <v>0.42262295081967205</v>
      </c>
      <c r="R325">
        <f t="shared" si="112"/>
        <v>17.922950819672131</v>
      </c>
    </row>
    <row r="326" spans="1:18" x14ac:dyDescent="0.3">
      <c r="A326" t="s">
        <v>2</v>
      </c>
      <c r="B326" s="1">
        <v>45109</v>
      </c>
      <c r="C326" t="s">
        <v>7</v>
      </c>
      <c r="D326" t="s">
        <v>10</v>
      </c>
      <c r="E326">
        <v>8</v>
      </c>
      <c r="F326">
        <v>14.3</v>
      </c>
      <c r="G326">
        <v>0</v>
      </c>
      <c r="H326">
        <v>0</v>
      </c>
      <c r="I326">
        <f t="shared" si="99"/>
        <v>0</v>
      </c>
      <c r="J326">
        <f t="shared" si="100"/>
        <v>14.3</v>
      </c>
      <c r="K326">
        <f t="shared" si="109"/>
        <v>0.40000000000000036</v>
      </c>
      <c r="L326">
        <f t="shared" si="111"/>
        <v>18.999999999999993</v>
      </c>
      <c r="M326">
        <f t="shared" si="113"/>
        <v>0.54098360655737721</v>
      </c>
      <c r="N326">
        <v>37</v>
      </c>
      <c r="O326">
        <f t="shared" si="102"/>
        <v>7.5</v>
      </c>
      <c r="P326">
        <f t="shared" si="103"/>
        <v>525</v>
      </c>
      <c r="Q326">
        <f t="shared" si="104"/>
        <v>0.43901639344262278</v>
      </c>
      <c r="R326">
        <f t="shared" si="112"/>
        <v>18.361967213114752</v>
      </c>
    </row>
    <row r="327" spans="1:18" x14ac:dyDescent="0.3">
      <c r="A327" t="s">
        <v>3</v>
      </c>
      <c r="B327" s="1">
        <v>45110</v>
      </c>
      <c r="C327" t="s">
        <v>7</v>
      </c>
      <c r="D327" t="s">
        <v>10</v>
      </c>
      <c r="E327">
        <v>8</v>
      </c>
      <c r="F327">
        <v>13.9</v>
      </c>
      <c r="G327">
        <v>0.5</v>
      </c>
      <c r="H327">
        <v>0</v>
      </c>
      <c r="I327">
        <f t="shared" si="99"/>
        <v>0.5</v>
      </c>
      <c r="J327">
        <f t="shared" si="100"/>
        <v>14.4</v>
      </c>
      <c r="K327">
        <f t="shared" si="109"/>
        <v>0.40000000000000036</v>
      </c>
      <c r="L327">
        <f t="shared" si="111"/>
        <v>19.399999999999991</v>
      </c>
      <c r="M327">
        <f t="shared" si="113"/>
        <v>0.55737704918032793</v>
      </c>
      <c r="N327">
        <v>38</v>
      </c>
      <c r="O327">
        <f t="shared" si="102"/>
        <v>8</v>
      </c>
      <c r="P327">
        <f t="shared" si="103"/>
        <v>560</v>
      </c>
      <c r="Q327">
        <f t="shared" si="104"/>
        <v>0.42262295081967205</v>
      </c>
      <c r="R327">
        <f t="shared" si="112"/>
        <v>18.784590163934425</v>
      </c>
    </row>
    <row r="328" spans="1:18" x14ac:dyDescent="0.3">
      <c r="A328" t="s">
        <v>4</v>
      </c>
      <c r="B328" s="1">
        <v>45111</v>
      </c>
      <c r="C328" t="s">
        <v>7</v>
      </c>
      <c r="D328" t="s">
        <v>10</v>
      </c>
      <c r="E328">
        <v>8</v>
      </c>
      <c r="F328">
        <v>14</v>
      </c>
      <c r="G328">
        <v>0</v>
      </c>
      <c r="H328">
        <v>0</v>
      </c>
      <c r="I328">
        <f t="shared" si="99"/>
        <v>0</v>
      </c>
      <c r="J328">
        <f t="shared" si="100"/>
        <v>14</v>
      </c>
      <c r="K328">
        <f t="shared" si="109"/>
        <v>0.5</v>
      </c>
      <c r="L328">
        <f t="shared" si="111"/>
        <v>19.899999999999991</v>
      </c>
      <c r="M328">
        <f t="shared" si="113"/>
        <v>0.49180327868852464</v>
      </c>
      <c r="N328">
        <v>39</v>
      </c>
      <c r="O328">
        <f t="shared" si="102"/>
        <v>8</v>
      </c>
      <c r="P328">
        <f t="shared" si="103"/>
        <v>560</v>
      </c>
      <c r="Q328">
        <f t="shared" si="104"/>
        <v>0.48819672131147535</v>
      </c>
      <c r="R328">
        <f t="shared" ref="R328:R330" si="114">R327+Q328</f>
        <v>19.2727868852459</v>
      </c>
    </row>
    <row r="329" spans="1:18" x14ac:dyDescent="0.3">
      <c r="A329" t="s">
        <v>5</v>
      </c>
      <c r="B329" s="1">
        <v>45112</v>
      </c>
      <c r="C329" t="s">
        <v>7</v>
      </c>
      <c r="D329" t="s">
        <v>10</v>
      </c>
      <c r="E329">
        <v>8</v>
      </c>
      <c r="F329">
        <v>13.5</v>
      </c>
      <c r="G329">
        <v>0</v>
      </c>
      <c r="H329">
        <v>0</v>
      </c>
      <c r="I329">
        <f t="shared" si="99"/>
        <v>0</v>
      </c>
      <c r="J329">
        <f t="shared" si="100"/>
        <v>13.5</v>
      </c>
      <c r="K329">
        <f t="shared" si="109"/>
        <v>0.5</v>
      </c>
      <c r="L329">
        <f t="shared" si="111"/>
        <v>20.399999999999991</v>
      </c>
      <c r="M329">
        <f t="shared" si="113"/>
        <v>0.4098360655737705</v>
      </c>
      <c r="N329">
        <v>40</v>
      </c>
      <c r="O329">
        <f t="shared" si="102"/>
        <v>8</v>
      </c>
      <c r="P329">
        <f t="shared" si="103"/>
        <v>560</v>
      </c>
      <c r="Q329">
        <f t="shared" si="104"/>
        <v>0.57016393442622948</v>
      </c>
      <c r="R329">
        <f t="shared" si="114"/>
        <v>19.842950819672129</v>
      </c>
    </row>
    <row r="330" spans="1:18" x14ac:dyDescent="0.3">
      <c r="A330" t="s">
        <v>6</v>
      </c>
      <c r="B330" s="1">
        <v>45113</v>
      </c>
      <c r="C330" t="s">
        <v>7</v>
      </c>
      <c r="D330" t="s">
        <v>10</v>
      </c>
      <c r="E330">
        <v>8</v>
      </c>
      <c r="F330">
        <v>13</v>
      </c>
      <c r="G330">
        <v>0</v>
      </c>
      <c r="H330">
        <v>0</v>
      </c>
      <c r="I330">
        <f t="shared" si="99"/>
        <v>0</v>
      </c>
      <c r="J330">
        <f t="shared" si="100"/>
        <v>13</v>
      </c>
      <c r="K330">
        <f t="shared" si="109"/>
        <v>0.30000000000000071</v>
      </c>
      <c r="L330">
        <f t="shared" si="111"/>
        <v>20.699999999999992</v>
      </c>
      <c r="M330">
        <f t="shared" si="113"/>
        <v>0.32786885245901642</v>
      </c>
      <c r="N330">
        <v>41</v>
      </c>
      <c r="O330">
        <f t="shared" si="102"/>
        <v>8</v>
      </c>
      <c r="P330">
        <f t="shared" si="103"/>
        <v>560</v>
      </c>
      <c r="Q330">
        <f t="shared" si="104"/>
        <v>0.65213114754098356</v>
      </c>
      <c r="R330">
        <f t="shared" si="114"/>
        <v>20.495081967213114</v>
      </c>
    </row>
    <row r="331" spans="1:18" x14ac:dyDescent="0.3">
      <c r="A331" t="s">
        <v>0</v>
      </c>
      <c r="B331" s="1">
        <v>45114</v>
      </c>
      <c r="C331" t="s">
        <v>7</v>
      </c>
      <c r="D331" t="s">
        <v>10</v>
      </c>
      <c r="E331">
        <v>8</v>
      </c>
      <c r="F331">
        <v>12.7</v>
      </c>
      <c r="G331">
        <v>0</v>
      </c>
      <c r="H331">
        <v>0</v>
      </c>
      <c r="I331">
        <f t="shared" si="9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Meta_data</vt:lpstr>
      <vt:lpstr>HN_WW</vt:lpstr>
      <vt:lpstr>HN_SPD</vt:lpstr>
      <vt:lpstr>HN_FDD</vt:lpstr>
      <vt:lpstr>LN_WW</vt:lpstr>
      <vt:lpstr>LN_SPD</vt:lpstr>
      <vt:lpstr>LN_FDD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Alissar Cheaib</dc:creator>
  <cp:lastModifiedBy>Alissar Cheaib</cp:lastModifiedBy>
  <dcterms:created xsi:type="dcterms:W3CDTF">2015-06-05T18:17:20Z</dcterms:created>
  <dcterms:modified xsi:type="dcterms:W3CDTF">2026-10-03T11:12:47Z</dcterms:modified>
</cp:coreProperties>
</file>